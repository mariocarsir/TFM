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\MASTER\Octubre 2025\Prática eólica 2025\"/>
    </mc:Choice>
  </mc:AlternateContent>
  <xr:revisionPtr revIDLastSave="0" documentId="13_ncr:1_{2435FAD6-521E-4F79-8A3C-787B88313D07}" xr6:coauthVersionLast="47" xr6:coauthVersionMax="47" xr10:uidLastSave="{00000000-0000-0000-0000-000000000000}"/>
  <bookViews>
    <workbookView xWindow="28680" yWindow="-120" windowWidth="29040" windowHeight="15720" xr2:uid="{A64BA338-187B-491F-B8DA-4A92E7A0C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1" i="1"/>
  <c r="H9" i="1"/>
  <c r="I10" i="1" s="1"/>
  <c r="I8" i="1"/>
  <c r="I7" i="1"/>
  <c r="I5" i="1"/>
  <c r="I4" i="1"/>
  <c r="I9" i="1" l="1"/>
  <c r="I14" i="1" s="1"/>
</calcChain>
</file>

<file path=xl/sharedStrings.xml><?xml version="1.0" encoding="utf-8"?>
<sst xmlns="http://schemas.openxmlformats.org/spreadsheetml/2006/main" count="33" uniqueCount="33">
  <si>
    <t>Contenido del Libro</t>
  </si>
  <si>
    <t>I90DIA01</t>
  </si>
  <si>
    <t>Resultado de la Programación Horaria del PVP</t>
  </si>
  <si>
    <t>I90DIA02</t>
  </si>
  <si>
    <t>Resultado de la Programación del P48</t>
  </si>
  <si>
    <t>I90DIA03</t>
  </si>
  <si>
    <t>Resultado de la Resolución de Restricciones en el Mercado Diario</t>
  </si>
  <si>
    <t>I90DIA06</t>
  </si>
  <si>
    <t>I90DIA07</t>
  </si>
  <si>
    <t>I90DIA08</t>
  </si>
  <si>
    <t>Resultado de la Resolución de Restricciones en Tiempo Real</t>
  </si>
  <si>
    <t>I90DIA19</t>
  </si>
  <si>
    <t>Resultado de la Programación Horaria del PHF-1</t>
  </si>
  <si>
    <t>I90DIA20</t>
  </si>
  <si>
    <t>Resultado de la Programación Horaria del PHF-2</t>
  </si>
  <si>
    <t>I90DIA21</t>
  </si>
  <si>
    <t>Resultado de la Programación Horaria del PHF-3</t>
  </si>
  <si>
    <t>I90DIA26</t>
  </si>
  <si>
    <t>Resultado de la Programación Horaria del PBF</t>
  </si>
  <si>
    <t>I90DIA36</t>
  </si>
  <si>
    <t>Resultado de la Programación Horaria del PHFC</t>
  </si>
  <si>
    <t xml:space="preserve">Resultado de la Programación del servicio de Energías de balance de tipo RR. </t>
  </si>
  <si>
    <t xml:space="preserve">Resultado de la Programación del Mercado de Terciaria. </t>
  </si>
  <si>
    <t>PROGRAMA</t>
  </si>
  <si>
    <t>INCREMENTAL</t>
  </si>
  <si>
    <t>Hay que sumar las 12 primeras horas de la IDA 2</t>
  </si>
  <si>
    <t>Diario + Bilateral + Restricciones del Diario</t>
  </si>
  <si>
    <t>Diario + Bilateral</t>
  </si>
  <si>
    <t>Son acumulados de otro programa</t>
  </si>
  <si>
    <t>PBF = Diario+Bilateral</t>
  </si>
  <si>
    <t>PVP = PBF+Restricciones del diario</t>
  </si>
  <si>
    <t>P48 = Programa Final</t>
  </si>
  <si>
    <t>PHF y PHFC tiene que calcularse el incremental respecto al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</si>
</sst>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1" fontId="3" fillId="2" borderId="0" xfId="0" applyNumberFormat="1" applyFont="1" applyFill="1"/>
    <xf numFmtId="164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3168-B303-46E2-99EC-198B4068D936}">
  <dimension ref="A2:K21"/>
  <sheetViews>
    <sheetView tabSelected="1" zoomScale="83" workbookViewId="0">
      <selection activeCell="E30" sqref="E30"/>
    </sheetView>
  </sheetViews>
  <sheetFormatPr baseColWidth="10" defaultRowHeight="15" x14ac:dyDescent="0.25"/>
  <cols>
    <col min="7" max="7" width="19.5703125" customWidth="1"/>
  </cols>
  <sheetData>
    <row r="2" spans="1:11" x14ac:dyDescent="0.25">
      <c r="A2" s="1" t="s">
        <v>0</v>
      </c>
    </row>
    <row r="3" spans="1:11" x14ac:dyDescent="0.25">
      <c r="H3" t="s">
        <v>23</v>
      </c>
      <c r="I3" t="s">
        <v>24</v>
      </c>
    </row>
    <row r="4" spans="1:11" x14ac:dyDescent="0.25">
      <c r="A4" s="5" t="s">
        <v>17</v>
      </c>
      <c r="B4" s="5" t="s">
        <v>18</v>
      </c>
      <c r="C4" s="5"/>
      <c r="D4" s="5"/>
      <c r="E4" s="5"/>
      <c r="F4" s="5"/>
      <c r="G4" s="5"/>
      <c r="H4" s="7">
        <v>12974.4</v>
      </c>
      <c r="I4" s="8">
        <f>H4</f>
        <v>12974.4</v>
      </c>
      <c r="K4" t="s">
        <v>27</v>
      </c>
    </row>
    <row r="5" spans="1:11" x14ac:dyDescent="0.25">
      <c r="A5" t="s">
        <v>5</v>
      </c>
      <c r="B5" t="s">
        <v>6</v>
      </c>
      <c r="H5" s="4">
        <v>-2127.1</v>
      </c>
      <c r="I5" s="3">
        <f>H5</f>
        <v>-2127.1</v>
      </c>
    </row>
    <row r="6" spans="1:11" x14ac:dyDescent="0.25">
      <c r="A6" s="5" t="s">
        <v>1</v>
      </c>
      <c r="B6" s="5" t="s">
        <v>2</v>
      </c>
      <c r="C6" s="5"/>
      <c r="D6" s="5"/>
      <c r="E6" s="5"/>
      <c r="F6" s="5"/>
      <c r="G6" s="5"/>
      <c r="H6" s="7">
        <v>10847.3</v>
      </c>
      <c r="I6" s="5"/>
      <c r="K6" t="s">
        <v>26</v>
      </c>
    </row>
    <row r="7" spans="1:11" x14ac:dyDescent="0.25">
      <c r="A7" s="2" t="s">
        <v>11</v>
      </c>
      <c r="B7" t="s">
        <v>12</v>
      </c>
      <c r="H7" s="4">
        <v>10976.2</v>
      </c>
      <c r="I7">
        <f>H7-H6</f>
        <v>128.90000000000146</v>
      </c>
    </row>
    <row r="8" spans="1:11" x14ac:dyDescent="0.25">
      <c r="A8" t="s">
        <v>13</v>
      </c>
      <c r="B8" t="s">
        <v>14</v>
      </c>
      <c r="H8" s="4">
        <v>10913.7</v>
      </c>
      <c r="I8">
        <f>H8-H7</f>
        <v>-62.5</v>
      </c>
    </row>
    <row r="9" spans="1:11" x14ac:dyDescent="0.25">
      <c r="A9" t="s">
        <v>15</v>
      </c>
      <c r="B9" t="s">
        <v>16</v>
      </c>
      <c r="H9" s="4">
        <f>7064.8+3810</f>
        <v>10874.8</v>
      </c>
      <c r="I9">
        <f>H9-H8</f>
        <v>-38.900000000001455</v>
      </c>
      <c r="K9" t="s">
        <v>25</v>
      </c>
    </row>
    <row r="10" spans="1:11" x14ac:dyDescent="0.25">
      <c r="A10" s="2" t="s">
        <v>19</v>
      </c>
      <c r="B10" t="s">
        <v>20</v>
      </c>
      <c r="H10" s="4">
        <v>10882.2</v>
      </c>
      <c r="I10">
        <f>H10-H9</f>
        <v>7.4000000000014552</v>
      </c>
    </row>
    <row r="11" spans="1:11" x14ac:dyDescent="0.25">
      <c r="A11" t="s">
        <v>7</v>
      </c>
      <c r="B11" t="s">
        <v>21</v>
      </c>
      <c r="H11" s="4">
        <v>13</v>
      </c>
      <c r="I11">
        <f>H11</f>
        <v>13</v>
      </c>
    </row>
    <row r="12" spans="1:11" x14ac:dyDescent="0.25">
      <c r="A12" t="s">
        <v>8</v>
      </c>
      <c r="B12" t="s">
        <v>22</v>
      </c>
      <c r="H12" s="4">
        <v>48.5</v>
      </c>
      <c r="I12">
        <f t="shared" ref="I12:I13" si="0">H12</f>
        <v>48.5</v>
      </c>
    </row>
    <row r="13" spans="1:11" x14ac:dyDescent="0.25">
      <c r="A13" t="s">
        <v>9</v>
      </c>
      <c r="B13" s="2" t="s">
        <v>10</v>
      </c>
      <c r="H13" s="4">
        <v>-371.7</v>
      </c>
      <c r="I13">
        <f t="shared" si="0"/>
        <v>-371.7</v>
      </c>
    </row>
    <row r="14" spans="1:11" x14ac:dyDescent="0.25">
      <c r="A14" s="5" t="s">
        <v>3</v>
      </c>
      <c r="B14" s="5" t="s">
        <v>4</v>
      </c>
      <c r="C14" s="5"/>
      <c r="D14" s="5"/>
      <c r="E14" s="5"/>
      <c r="F14" s="5"/>
      <c r="G14" s="5"/>
      <c r="H14" s="6">
        <v>10571.532999999999</v>
      </c>
      <c r="I14" s="6">
        <f>SUM(I4:I13)</f>
        <v>10572</v>
      </c>
    </row>
    <row r="17" spans="2:11" x14ac:dyDescent="0.25">
      <c r="B17" s="5"/>
      <c r="C17" t="s">
        <v>28</v>
      </c>
    </row>
    <row r="18" spans="2:11" x14ac:dyDescent="0.25">
      <c r="C18" t="s">
        <v>29</v>
      </c>
      <c r="K18" s="4"/>
    </row>
    <row r="19" spans="2:11" x14ac:dyDescent="0.25">
      <c r="C19" t="s">
        <v>30</v>
      </c>
      <c r="K19" s="4"/>
    </row>
    <row r="20" spans="2:11" x14ac:dyDescent="0.25">
      <c r="C20" t="s">
        <v>31</v>
      </c>
    </row>
    <row r="21" spans="2:11" x14ac:dyDescent="0.25">
      <c r="C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Naturgy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Bello, Mª Carmen</dc:creator>
  <cp:lastModifiedBy>Gomez Bello, Mª Carmen</cp:lastModifiedBy>
  <dcterms:created xsi:type="dcterms:W3CDTF">2024-10-12T12:28:19Z</dcterms:created>
  <dcterms:modified xsi:type="dcterms:W3CDTF">2025-10-09T15:16:58Z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fdb0a8-4a6b-4f00-936d-33796aec780e_Enabled">
    <vt:lpwstr>true</vt:lpwstr>
  </property>
  <property fmtid="{D5CDD505-2E9C-101B-9397-08002B2CF9AE}" pid="3" name="MSIP_Label_04fdb0a8-4a6b-4f00-936d-33796aec780e_SetDate">
    <vt:lpwstr>2025-10-05T21:04:11Z</vt:lpwstr>
  </property>
  <property fmtid="{D5CDD505-2E9C-101B-9397-08002B2CF9AE}" pid="4" name="MSIP_Label_04fdb0a8-4a6b-4f00-936d-33796aec780e_Method">
    <vt:lpwstr>Standard</vt:lpwstr>
  </property>
  <property fmtid="{D5CDD505-2E9C-101B-9397-08002B2CF9AE}" pid="5" name="MSIP_Label_04fdb0a8-4a6b-4f00-936d-33796aec780e_Name">
    <vt:lpwstr>Interna</vt:lpwstr>
  </property>
  <property fmtid="{D5CDD505-2E9C-101B-9397-08002B2CF9AE}" pid="6" name="MSIP_Label_04fdb0a8-4a6b-4f00-936d-33796aec780e_SiteId">
    <vt:lpwstr>4671ebb9-5444-457d-a9ef-c8888adaf03b</vt:lpwstr>
  </property>
  <property fmtid="{D5CDD505-2E9C-101B-9397-08002B2CF9AE}" pid="7" name="MSIP_Label_04fdb0a8-4a6b-4f00-936d-33796aec780e_ActionId">
    <vt:lpwstr>bf1edb6f-b8f7-4382-b09a-24df78a29a10</vt:lpwstr>
  </property>
  <property fmtid="{D5CDD505-2E9C-101B-9397-08002B2CF9AE}" pid="8" name="MSIP_Label_04fdb0a8-4a6b-4f00-936d-33796aec780e_ContentBits">
    <vt:lpwstr>0</vt:lpwstr>
  </property>
  <property fmtid="{D5CDD505-2E9C-101B-9397-08002B2CF9AE}" pid="9" name="MSIP_Label_04fdb0a8-4a6b-4f00-936d-33796aec780e_Tag">
    <vt:lpwstr>10, 3, 0, 1</vt:lpwstr>
  </property>
</Properties>
</file>