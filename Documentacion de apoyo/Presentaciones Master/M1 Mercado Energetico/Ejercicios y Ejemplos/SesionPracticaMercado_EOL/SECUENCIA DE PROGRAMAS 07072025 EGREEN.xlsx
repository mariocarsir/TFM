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JO\MASTER\Octubre 2025\Prática eólica 2025\"/>
    </mc:Choice>
  </mc:AlternateContent>
  <xr:revisionPtr revIDLastSave="0" documentId="13_ncr:1_{7F655517-D00E-4C6F-B4A7-90D6BFD939B5}" xr6:coauthVersionLast="47" xr6:coauthVersionMax="47" xr10:uidLastSave="{00000000-0000-0000-0000-000000000000}"/>
  <bookViews>
    <workbookView xWindow="-110" yWindow="-110" windowWidth="19420" windowHeight="12300" xr2:uid="{7C266A59-032A-47FF-944E-A101B52C5F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1" l="1"/>
  <c r="E51" i="1"/>
  <c r="E42" i="1"/>
  <c r="E33" i="1"/>
</calcChain>
</file>

<file path=xl/sharedStrings.xml><?xml version="1.0" encoding="utf-8"?>
<sst xmlns="http://schemas.openxmlformats.org/spreadsheetml/2006/main" count="347" uniqueCount="91">
  <si>
    <t>Indicadores</t>
  </si>
  <si>
    <t>Programa (MWh)</t>
  </si>
  <si>
    <t>Dia</t>
  </si>
  <si>
    <t>Programa</t>
  </si>
  <si>
    <t>PDBF</t>
  </si>
  <si>
    <t>Unidad de Programación</t>
  </si>
  <si>
    <t>Tipo Oferta</t>
  </si>
  <si>
    <t>Tipo Transacción</t>
  </si>
  <si>
    <t>Hora</t>
  </si>
  <si>
    <t>Total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</si>
  <si>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</si>
  <si>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</si>
  <si>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</si>
  <si>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</si>
  <si>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</si>
  <si>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</si>
  <si>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</si>
  <si>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</si>
  <si>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</si>
  <si>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</si>
  <si>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</si>
  <si>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</si>
  <si>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</si>
  <si>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</si>
  <si>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</si>
  <si>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</si>
  <si>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</si>
  <si>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</si>
  <si>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</si>
  <si>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</si>
  <si>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</si>
  <si>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</si>
  <si>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</si>
  <si>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</si>
  <si>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EGREEN</t>
  </si>
  <si>
    <t>Mercado</t>
  </si>
  <si>
    <t>Bilateral</t>
  </si>
  <si>
    <t xml:space="preserve">PROGRAMA DIARIO+BILATERAL </t>
  </si>
  <si>
    <t>I90DIA26</t>
  </si>
  <si>
    <t>=</t>
  </si>
  <si>
    <t>RESTRICCIONES DEL DIARIO</t>
  </si>
  <si>
    <t>MWh</t>
  </si>
  <si>
    <t>Redespacho</t>
  </si>
  <si>
    <t>Sentido</t>
  </si>
  <si>
    <t>Nm Oferta asignada</t>
  </si>
  <si>
    <t>Tipo cálculo</t>
  </si>
  <si>
    <t>Tipo Restricción</t>
  </si>
  <si>
    <t>UPLPVPV</t>
  </si>
  <si>
    <t>Bajar</t>
  </si>
  <si>
    <t>Simple</t>
  </si>
  <si>
    <t>SCB</t>
  </si>
  <si>
    <t>ECO</t>
  </si>
  <si>
    <t>No aplica</t>
  </si>
  <si>
    <t>N/A</t>
  </si>
  <si>
    <t>I90DIA03</t>
  </si>
  <si>
    <t>PDVP</t>
  </si>
  <si>
    <t>I90DIA01</t>
  </si>
  <si>
    <t>PDVP que es DIARIO+BILATERAL+ RESTRICCIONES DEL DIARIO</t>
  </si>
  <si>
    <t>PHF-1</t>
  </si>
  <si>
    <t>PHF1 QUE ES IGUAL  DIARIO+BILATERAL+ RESTRICCIONES DEL DIARIO+ 1 IDA (EN ESTE CASO 128,9)</t>
  </si>
  <si>
    <t>1 IDA</t>
  </si>
  <si>
    <t>I90DIA19</t>
  </si>
  <si>
    <t>PHF-2</t>
  </si>
  <si>
    <t>2  IDA</t>
  </si>
  <si>
    <t>I90DIA20</t>
  </si>
  <si>
    <t>PHF-3</t>
  </si>
  <si>
    <t>I90DIA21</t>
  </si>
  <si>
    <t>PHF2 QUE ES IGUAL  DIARIO+BILATERAL+ RESTRICCIONES DEL DIARIO+ 1 IDA (EN ESTE CASO 128,9) + 2 IDA (EN ESTE CASO ES -62,5)</t>
  </si>
  <si>
    <t>3  IDA</t>
  </si>
  <si>
    <t>PHF3 QUE ES IGUAL  DIARIO+BILATERAL+ RESTRICCIONES DEL DIARIO+ 1 IDA (EN ESTE CASO 128,9) + 2 IDA (EN ESTE CASO ES -62,5) + 3 IDA (EN ESTE CASO ES -3848,9)</t>
  </si>
  <si>
    <t>I90DIA36</t>
  </si>
  <si>
    <t>PHFC</t>
  </si>
  <si>
    <t>PHFC QUE ES IGUAL  DIARIO+BILATERAL+ RESTRICCIONES DEL DIARIO+ 1 IDA (EN ESTE CASO 128,9) + 2 IDA (EN ESTE CASO ES -62,5) + 3 IDA (EN ESTE CASO ES -3848,9)+ INTRADIARIO CONTINUO (EN ESTE CASO ES  3817,4)</t>
  </si>
  <si>
    <t>CONTINUO</t>
  </si>
  <si>
    <t>Sesión</t>
  </si>
  <si>
    <t>Cuarto de Hora del dia</t>
  </si>
  <si>
    <t>S.23</t>
  </si>
  <si>
    <t>RR</t>
  </si>
  <si>
    <t>Subir</t>
  </si>
  <si>
    <t>I90DIA06 = ENERGÍA DE RESERVA RR</t>
  </si>
  <si>
    <t>TERPRO</t>
  </si>
  <si>
    <t>I90DIA07 = ENERGÍA DE TERCIARIA</t>
  </si>
  <si>
    <t>I90DIA08 = ENERGÍA DE RESTRICCIONES EN TIEMPO REAL</t>
  </si>
  <si>
    <t>Tipo</t>
  </si>
  <si>
    <t>Signo de Energía</t>
  </si>
  <si>
    <t>Restricciones Técnicas</t>
  </si>
  <si>
    <t>UPLTROR</t>
  </si>
  <si>
    <t>Negativo</t>
  </si>
  <si>
    <t>SCA</t>
  </si>
  <si>
    <t>P48</t>
  </si>
  <si>
    <t>I90DIA08 = ENERGÍA P48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</si>
</sst>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"/>
  </numFmts>
  <fonts count="4" x14ac:knownFonts="1">
    <font>
      <sz val="11"/>
      <color theme="1"/>
      <name val="Aptos Narrow"/>
      <family val="2"/>
      <scheme val="minor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/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8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8"/>
      </right>
      <top/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1" fillId="2" borderId="3" xfId="0" applyFont="1" applyFill="1" applyBorder="1" applyAlignment="1" applyProtection="1">
      <alignment horizontal="left" vertical="center" wrapText="1"/>
      <protection locked="0"/>
    </xf>
    <xf numFmtId="164" fontId="1" fillId="2" borderId="3" xfId="0" applyNumberFormat="1" applyFont="1" applyFill="1" applyBorder="1" applyAlignment="1" applyProtection="1">
      <alignment horizontal="center" wrapText="1"/>
      <protection locked="0"/>
    </xf>
    <xf numFmtId="0" fontId="1" fillId="2" borderId="3" xfId="0" applyFont="1" applyFill="1" applyBorder="1" applyAlignment="1" applyProtection="1">
      <alignment horizontal="center" wrapText="1"/>
      <protection locked="0"/>
    </xf>
    <xf numFmtId="0" fontId="1" fillId="2" borderId="4" xfId="0" applyFont="1" applyFill="1" applyBorder="1" applyAlignment="1" applyProtection="1">
      <alignment horizontal="center" wrapText="1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left" vertical="center" wrapText="1"/>
      <protection locked="0"/>
    </xf>
    <xf numFmtId="165" fontId="3" fillId="4" borderId="3" xfId="0" applyNumberFormat="1" applyFont="1" applyFill="1" applyBorder="1" applyAlignment="1" applyProtection="1">
      <alignment horizontal="right" vertical="center"/>
      <protection locked="0"/>
    </xf>
    <xf numFmtId="165" fontId="2" fillId="3" borderId="3" xfId="0" applyNumberFormat="1" applyFont="1" applyFill="1" applyBorder="1" applyAlignment="1" applyProtection="1">
      <alignment horizontal="right" vertical="center"/>
      <protection locked="0"/>
    </xf>
    <xf numFmtId="165" fontId="2" fillId="3" borderId="4" xfId="0" applyNumberFormat="1" applyFont="1" applyFill="1" applyBorder="1" applyAlignment="1" applyProtection="1">
      <alignment horizontal="right" vertical="center"/>
      <protection locked="0"/>
    </xf>
    <xf numFmtId="0" fontId="0" fillId="5" borderId="0" xfId="0" applyFill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5466-CF6E-49DB-961B-2FEC0B1413C8}">
  <dimension ref="A2:DB92"/>
  <sheetViews>
    <sheetView tabSelected="1" topLeftCell="A65" workbookViewId="0">
      <selection activeCell="M93" sqref="M93"/>
    </sheetView>
  </sheetViews>
  <sheetFormatPr baseColWidth="10" defaultRowHeight="14.5" x14ac:dyDescent="0.35"/>
  <sheetData>
    <row r="2" spans="1:33" x14ac:dyDescent="0.35">
      <c r="B2" t="s">
        <v>38</v>
      </c>
      <c r="C2" t="s">
        <v>39</v>
      </c>
      <c r="D2" t="s">
        <v>37</v>
      </c>
    </row>
    <row r="3" spans="1:33" ht="22" x14ac:dyDescent="0.35">
      <c r="A3" s="1"/>
      <c r="B3" s="1"/>
      <c r="C3" s="1"/>
      <c r="D3" s="1" t="s">
        <v>0</v>
      </c>
      <c r="E3" s="2" t="s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</row>
    <row r="4" spans="1:33" x14ac:dyDescent="0.35">
      <c r="A4" s="4"/>
      <c r="B4" s="4"/>
      <c r="C4" s="4"/>
      <c r="D4" s="4" t="s">
        <v>2</v>
      </c>
      <c r="E4" s="5">
        <v>45845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7"/>
    </row>
    <row r="5" spans="1:33" x14ac:dyDescent="0.35">
      <c r="A5" s="4"/>
      <c r="B5" s="4"/>
      <c r="C5" s="4"/>
      <c r="D5" s="4" t="s">
        <v>3</v>
      </c>
      <c r="E5" s="6" t="s">
        <v>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7"/>
    </row>
    <row r="6" spans="1:33" ht="21" x14ac:dyDescent="0.35">
      <c r="A6" s="4" t="s">
        <v>5</v>
      </c>
      <c r="B6" s="4" t="s">
        <v>6</v>
      </c>
      <c r="C6" s="4" t="s">
        <v>7</v>
      </c>
      <c r="D6" s="4" t="s">
        <v>8</v>
      </c>
      <c r="E6" s="8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  <c r="Q6" s="6" t="s">
        <v>21</v>
      </c>
      <c r="R6" s="6" t="s">
        <v>22</v>
      </c>
      <c r="S6" s="6" t="s">
        <v>23</v>
      </c>
      <c r="T6" s="6" t="s">
        <v>24</v>
      </c>
      <c r="U6" s="6" t="s">
        <v>25</v>
      </c>
      <c r="V6" s="6" t="s">
        <v>26</v>
      </c>
      <c r="W6" s="6" t="s">
        <v>27</v>
      </c>
      <c r="X6" s="6" t="s">
        <v>28</v>
      </c>
      <c r="Y6" s="6" t="s">
        <v>29</v>
      </c>
      <c r="Z6" s="6" t="s">
        <v>30</v>
      </c>
      <c r="AA6" s="6" t="s">
        <v>31</v>
      </c>
      <c r="AB6" s="6" t="s">
        <v>32</v>
      </c>
      <c r="AC6" s="7" t="s">
        <v>33</v>
      </c>
    </row>
    <row r="7" spans="1:33" x14ac:dyDescent="0.35">
      <c r="A7" s="9" t="s">
        <v>34</v>
      </c>
      <c r="B7" s="9">
        <v>10</v>
      </c>
      <c r="C7" s="9" t="s">
        <v>35</v>
      </c>
      <c r="D7" s="9"/>
      <c r="E7" s="10">
        <v>12089.8</v>
      </c>
      <c r="F7" s="11">
        <v>428.5</v>
      </c>
      <c r="G7" s="11">
        <v>363.4</v>
      </c>
      <c r="H7" s="11">
        <v>318.7</v>
      </c>
      <c r="I7" s="11">
        <v>300.10000000000002</v>
      </c>
      <c r="J7" s="11">
        <v>312.2</v>
      </c>
      <c r="K7" s="11">
        <v>347.2</v>
      </c>
      <c r="L7" s="11">
        <v>383.4</v>
      </c>
      <c r="M7" s="11">
        <v>403.6</v>
      </c>
      <c r="N7" s="11">
        <v>409.2</v>
      </c>
      <c r="O7" s="11">
        <v>404.9</v>
      </c>
      <c r="P7" s="11">
        <v>403.6</v>
      </c>
      <c r="Q7" s="11">
        <v>416</v>
      </c>
      <c r="R7" s="11">
        <v>437.9</v>
      </c>
      <c r="S7" s="11">
        <v>464.3</v>
      </c>
      <c r="T7" s="11">
        <v>500.2</v>
      </c>
      <c r="U7" s="11">
        <v>547.5</v>
      </c>
      <c r="V7" s="11">
        <v>599</v>
      </c>
      <c r="W7" s="11">
        <v>645.20000000000005</v>
      </c>
      <c r="X7" s="11">
        <v>684</v>
      </c>
      <c r="Y7" s="11">
        <v>718</v>
      </c>
      <c r="Z7" s="11">
        <v>740.3</v>
      </c>
      <c r="AA7" s="11">
        <v>751.8</v>
      </c>
      <c r="AB7" s="11">
        <v>757</v>
      </c>
      <c r="AC7" s="12">
        <v>753.8</v>
      </c>
    </row>
    <row r="8" spans="1:33" x14ac:dyDescent="0.35">
      <c r="A8" s="9" t="s">
        <v>34</v>
      </c>
      <c r="B8" s="9">
        <v>10</v>
      </c>
      <c r="C8" s="9" t="s">
        <v>36</v>
      </c>
      <c r="D8" s="9"/>
      <c r="E8" s="10">
        <v>884.6</v>
      </c>
      <c r="F8" s="11">
        <v>21.3</v>
      </c>
      <c r="G8" s="11">
        <v>17</v>
      </c>
      <c r="H8" s="11">
        <v>14.4</v>
      </c>
      <c r="I8" s="11">
        <v>14</v>
      </c>
      <c r="J8" s="11">
        <v>14.9</v>
      </c>
      <c r="K8" s="11">
        <v>17.3</v>
      </c>
      <c r="L8" s="11">
        <v>19.100000000000001</v>
      </c>
      <c r="M8" s="11">
        <v>20.399999999999999</v>
      </c>
      <c r="N8" s="11">
        <v>22.9</v>
      </c>
      <c r="O8" s="11">
        <v>26.3</v>
      </c>
      <c r="P8" s="11">
        <v>30.3</v>
      </c>
      <c r="Q8" s="11">
        <v>34.4</v>
      </c>
      <c r="R8" s="11">
        <v>37.299999999999997</v>
      </c>
      <c r="S8" s="11">
        <v>38.799999999999997</v>
      </c>
      <c r="T8" s="11">
        <v>41.2</v>
      </c>
      <c r="U8" s="11">
        <v>45.7</v>
      </c>
      <c r="V8" s="11">
        <v>51.8</v>
      </c>
      <c r="W8" s="11">
        <v>55.9</v>
      </c>
      <c r="X8" s="11">
        <v>58.3</v>
      </c>
      <c r="Y8" s="11">
        <v>59.9</v>
      </c>
      <c r="Z8" s="11">
        <v>61.2</v>
      </c>
      <c r="AA8" s="11">
        <v>61</v>
      </c>
      <c r="AB8" s="11">
        <v>60.3</v>
      </c>
      <c r="AC8" s="12">
        <v>60.9</v>
      </c>
    </row>
    <row r="10" spans="1:33" x14ac:dyDescent="0.35">
      <c r="B10" t="s">
        <v>54</v>
      </c>
      <c r="C10" t="s">
        <v>39</v>
      </c>
      <c r="D10" t="s">
        <v>40</v>
      </c>
    </row>
    <row r="12" spans="1:33" x14ac:dyDescent="0.35">
      <c r="A12" s="1"/>
      <c r="B12" s="1"/>
      <c r="C12" s="1"/>
      <c r="D12" s="1"/>
      <c r="E12" s="1"/>
      <c r="F12" s="1"/>
      <c r="G12" s="1"/>
      <c r="H12" s="1" t="s">
        <v>0</v>
      </c>
      <c r="I12" s="2" t="s">
        <v>41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35">
      <c r="A13" s="4"/>
      <c r="B13" s="4"/>
      <c r="C13" s="4"/>
      <c r="D13" s="4"/>
      <c r="E13" s="4"/>
      <c r="F13" s="4"/>
      <c r="G13" s="4"/>
      <c r="H13" s="4" t="s">
        <v>2</v>
      </c>
      <c r="I13" s="5">
        <v>45845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7"/>
    </row>
    <row r="14" spans="1:33" ht="21" x14ac:dyDescent="0.35">
      <c r="A14" s="4" t="s">
        <v>42</v>
      </c>
      <c r="B14" s="4" t="s">
        <v>43</v>
      </c>
      <c r="C14" s="4" t="s">
        <v>5</v>
      </c>
      <c r="D14" s="4" t="s">
        <v>44</v>
      </c>
      <c r="E14" s="4" t="s">
        <v>6</v>
      </c>
      <c r="F14" s="4" t="s">
        <v>45</v>
      </c>
      <c r="G14" s="4" t="s">
        <v>46</v>
      </c>
      <c r="H14" s="4" t="s">
        <v>8</v>
      </c>
      <c r="I14" s="8" t="s">
        <v>9</v>
      </c>
      <c r="J14" s="6" t="s">
        <v>10</v>
      </c>
      <c r="K14" s="6" t="s">
        <v>11</v>
      </c>
      <c r="L14" s="6" t="s">
        <v>12</v>
      </c>
      <c r="M14" s="6" t="s">
        <v>13</v>
      </c>
      <c r="N14" s="6" t="s">
        <v>14</v>
      </c>
      <c r="O14" s="6" t="s">
        <v>15</v>
      </c>
      <c r="P14" s="6" t="s">
        <v>16</v>
      </c>
      <c r="Q14" s="6" t="s">
        <v>17</v>
      </c>
      <c r="R14" s="6" t="s">
        <v>18</v>
      </c>
      <c r="S14" s="6" t="s">
        <v>19</v>
      </c>
      <c r="T14" s="6" t="s">
        <v>20</v>
      </c>
      <c r="U14" s="6" t="s">
        <v>21</v>
      </c>
      <c r="V14" s="6" t="s">
        <v>22</v>
      </c>
      <c r="W14" s="6" t="s">
        <v>23</v>
      </c>
      <c r="X14" s="6" t="s">
        <v>24</v>
      </c>
      <c r="Y14" s="6" t="s">
        <v>25</v>
      </c>
      <c r="Z14" s="6" t="s">
        <v>26</v>
      </c>
      <c r="AA14" s="6" t="s">
        <v>27</v>
      </c>
      <c r="AB14" s="6" t="s">
        <v>28</v>
      </c>
      <c r="AC14" s="6" t="s">
        <v>29</v>
      </c>
      <c r="AD14" s="6" t="s">
        <v>30</v>
      </c>
      <c r="AE14" s="6" t="s">
        <v>31</v>
      </c>
      <c r="AF14" s="6" t="s">
        <v>32</v>
      </c>
      <c r="AG14" s="7" t="s">
        <v>33</v>
      </c>
    </row>
    <row r="15" spans="1:33" x14ac:dyDescent="0.35">
      <c r="A15" s="9" t="s">
        <v>47</v>
      </c>
      <c r="B15" s="9" t="s">
        <v>48</v>
      </c>
      <c r="C15" s="9" t="s">
        <v>34</v>
      </c>
      <c r="D15" s="9">
        <v>-1</v>
      </c>
      <c r="E15" s="9">
        <v>10</v>
      </c>
      <c r="F15" s="9" t="s">
        <v>49</v>
      </c>
      <c r="G15" s="9" t="s">
        <v>50</v>
      </c>
      <c r="H15" s="9"/>
      <c r="I15" s="10">
        <v>-1677.3</v>
      </c>
      <c r="J15" s="11"/>
      <c r="K15" s="11"/>
      <c r="L15" s="11"/>
      <c r="M15" s="11"/>
      <c r="N15" s="11"/>
      <c r="O15" s="11"/>
      <c r="P15" s="11"/>
      <c r="Q15" s="11"/>
      <c r="R15" s="11">
        <v>-176</v>
      </c>
      <c r="S15" s="11">
        <v>-142.9</v>
      </c>
      <c r="T15" s="11">
        <v>-142.1</v>
      </c>
      <c r="U15" s="11">
        <v>-144.6</v>
      </c>
      <c r="V15" s="11">
        <v>-151.80000000000001</v>
      </c>
      <c r="W15" s="11">
        <v>-149.19999999999999</v>
      </c>
      <c r="X15" s="11">
        <v>-128.9</v>
      </c>
      <c r="Y15" s="11">
        <v>-137.4</v>
      </c>
      <c r="Z15" s="11">
        <v>-152.6</v>
      </c>
      <c r="AA15" s="11">
        <v>-99.7</v>
      </c>
      <c r="AB15" s="11">
        <v>-236.8</v>
      </c>
      <c r="AC15" s="11">
        <v>-5.0999999999999996</v>
      </c>
      <c r="AD15" s="11">
        <v>-3.3</v>
      </c>
      <c r="AE15" s="11">
        <v>-2.4</v>
      </c>
      <c r="AF15" s="11">
        <v>-2.4</v>
      </c>
      <c r="AG15" s="12">
        <v>-2.1</v>
      </c>
    </row>
    <row r="16" spans="1:33" x14ac:dyDescent="0.35">
      <c r="A16" s="9" t="s">
        <v>51</v>
      </c>
      <c r="B16" s="9" t="s">
        <v>48</v>
      </c>
      <c r="C16" s="9" t="s">
        <v>34</v>
      </c>
      <c r="D16" s="9">
        <v>34244359</v>
      </c>
      <c r="E16" s="9">
        <v>10</v>
      </c>
      <c r="F16" s="9" t="s">
        <v>52</v>
      </c>
      <c r="G16" s="9" t="s">
        <v>53</v>
      </c>
      <c r="H16" s="9"/>
      <c r="I16" s="10">
        <v>-449.8</v>
      </c>
      <c r="J16" s="11">
        <v>-20</v>
      </c>
      <c r="K16" s="11">
        <v>-40</v>
      </c>
      <c r="L16" s="11">
        <v>-40</v>
      </c>
      <c r="M16" s="11">
        <v>-20</v>
      </c>
      <c r="N16" s="11">
        <v>-20</v>
      </c>
      <c r="O16" s="11">
        <v>-20</v>
      </c>
      <c r="P16" s="11">
        <v>-20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>
        <v>-16.7</v>
      </c>
      <c r="AE16" s="11">
        <v>-57.6</v>
      </c>
      <c r="AF16" s="11">
        <v>-97.6</v>
      </c>
      <c r="AG16" s="12">
        <v>-97.9</v>
      </c>
    </row>
    <row r="18" spans="1:28" x14ac:dyDescent="0.35">
      <c r="B18" t="s">
        <v>56</v>
      </c>
      <c r="C18" t="s">
        <v>39</v>
      </c>
      <c r="D18" t="s">
        <v>57</v>
      </c>
    </row>
    <row r="20" spans="1:28" ht="22" x14ac:dyDescent="0.35">
      <c r="A20" s="1"/>
      <c r="B20" s="1"/>
      <c r="C20" s="1" t="s">
        <v>0</v>
      </c>
      <c r="D20" s="2" t="s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</row>
    <row r="21" spans="1:28" x14ac:dyDescent="0.35">
      <c r="A21" s="4"/>
      <c r="B21" s="4"/>
      <c r="C21" s="4" t="s">
        <v>2</v>
      </c>
      <c r="D21" s="5">
        <v>45845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7"/>
    </row>
    <row r="22" spans="1:28" x14ac:dyDescent="0.35">
      <c r="A22" s="4"/>
      <c r="B22" s="4"/>
      <c r="C22" s="4" t="s">
        <v>3</v>
      </c>
      <c r="D22" s="6" t="s">
        <v>55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</row>
    <row r="23" spans="1:28" ht="21" x14ac:dyDescent="0.35">
      <c r="A23" s="4" t="s">
        <v>5</v>
      </c>
      <c r="B23" s="4" t="s">
        <v>6</v>
      </c>
      <c r="C23" s="4" t="s">
        <v>8</v>
      </c>
      <c r="D23" s="8" t="s">
        <v>9</v>
      </c>
      <c r="E23" s="6" t="s">
        <v>10</v>
      </c>
      <c r="F23" s="6" t="s">
        <v>11</v>
      </c>
      <c r="G23" s="6" t="s">
        <v>12</v>
      </c>
      <c r="H23" s="6" t="s">
        <v>13</v>
      </c>
      <c r="I23" s="6" t="s">
        <v>14</v>
      </c>
      <c r="J23" s="6" t="s">
        <v>15</v>
      </c>
      <c r="K23" s="6" t="s">
        <v>16</v>
      </c>
      <c r="L23" s="6" t="s">
        <v>17</v>
      </c>
      <c r="M23" s="6" t="s">
        <v>18</v>
      </c>
      <c r="N23" s="6" t="s">
        <v>19</v>
      </c>
      <c r="O23" s="6" t="s">
        <v>20</v>
      </c>
      <c r="P23" s="6" t="s">
        <v>21</v>
      </c>
      <c r="Q23" s="6" t="s">
        <v>22</v>
      </c>
      <c r="R23" s="6" t="s">
        <v>23</v>
      </c>
      <c r="S23" s="6" t="s">
        <v>24</v>
      </c>
      <c r="T23" s="6" t="s">
        <v>25</v>
      </c>
      <c r="U23" s="6" t="s">
        <v>26</v>
      </c>
      <c r="V23" s="6" t="s">
        <v>27</v>
      </c>
      <c r="W23" s="6" t="s">
        <v>28</v>
      </c>
      <c r="X23" s="6" t="s">
        <v>29</v>
      </c>
      <c r="Y23" s="6" t="s">
        <v>30</v>
      </c>
      <c r="Z23" s="6" t="s">
        <v>31</v>
      </c>
      <c r="AA23" s="6" t="s">
        <v>32</v>
      </c>
      <c r="AB23" s="7" t="s">
        <v>33</v>
      </c>
    </row>
    <row r="24" spans="1:28" x14ac:dyDescent="0.35">
      <c r="A24" s="9" t="s">
        <v>34</v>
      </c>
      <c r="B24" s="9">
        <v>10</v>
      </c>
      <c r="C24" s="9"/>
      <c r="D24" s="10">
        <v>10847.3</v>
      </c>
      <c r="E24" s="11">
        <v>429.8</v>
      </c>
      <c r="F24" s="11">
        <v>340.4</v>
      </c>
      <c r="G24" s="11">
        <v>293.10000000000002</v>
      </c>
      <c r="H24" s="11">
        <v>294.10000000000002</v>
      </c>
      <c r="I24" s="11">
        <v>307.10000000000002</v>
      </c>
      <c r="J24" s="11">
        <v>344.5</v>
      </c>
      <c r="K24" s="11">
        <v>382.5</v>
      </c>
      <c r="L24" s="11">
        <v>424</v>
      </c>
      <c r="M24" s="11">
        <v>256.10000000000002</v>
      </c>
      <c r="N24" s="11">
        <v>288.3</v>
      </c>
      <c r="O24" s="11">
        <v>291.8</v>
      </c>
      <c r="P24" s="11">
        <v>305.8</v>
      </c>
      <c r="Q24" s="11">
        <v>323.39999999999998</v>
      </c>
      <c r="R24" s="11">
        <v>353.9</v>
      </c>
      <c r="S24" s="11">
        <v>412.5</v>
      </c>
      <c r="T24" s="11">
        <v>455.8</v>
      </c>
      <c r="U24" s="11">
        <v>498.2</v>
      </c>
      <c r="V24" s="11">
        <v>601.4</v>
      </c>
      <c r="W24" s="11">
        <v>505.5</v>
      </c>
      <c r="X24" s="11">
        <v>772.8</v>
      </c>
      <c r="Y24" s="11">
        <v>781.5</v>
      </c>
      <c r="Z24" s="11">
        <v>752.8</v>
      </c>
      <c r="AA24" s="11">
        <v>717.3</v>
      </c>
      <c r="AB24" s="12">
        <v>714.7</v>
      </c>
    </row>
    <row r="26" spans="1:28" x14ac:dyDescent="0.35">
      <c r="B26" t="s">
        <v>61</v>
      </c>
      <c r="C26" t="s">
        <v>39</v>
      </c>
      <c r="D26" t="s">
        <v>59</v>
      </c>
    </row>
    <row r="28" spans="1:28" ht="22" x14ac:dyDescent="0.35">
      <c r="A28" s="1"/>
      <c r="B28" s="1"/>
      <c r="C28" s="1" t="s">
        <v>0</v>
      </c>
      <c r="D28" s="2" t="s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"/>
    </row>
    <row r="29" spans="1:28" x14ac:dyDescent="0.35">
      <c r="A29" s="4"/>
      <c r="B29" s="4"/>
      <c r="C29" s="4" t="s">
        <v>2</v>
      </c>
      <c r="D29" s="5">
        <v>45845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7"/>
    </row>
    <row r="30" spans="1:28" x14ac:dyDescent="0.35">
      <c r="A30" s="4"/>
      <c r="B30" s="4"/>
      <c r="C30" s="4" t="s">
        <v>3</v>
      </c>
      <c r="D30" s="6" t="s">
        <v>58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7"/>
    </row>
    <row r="31" spans="1:28" ht="21" x14ac:dyDescent="0.35">
      <c r="A31" s="4" t="s">
        <v>5</v>
      </c>
      <c r="B31" s="4" t="s">
        <v>6</v>
      </c>
      <c r="C31" s="4" t="s">
        <v>8</v>
      </c>
      <c r="D31" s="8" t="s">
        <v>9</v>
      </c>
      <c r="E31" s="6" t="s">
        <v>10</v>
      </c>
      <c r="F31" s="6" t="s">
        <v>11</v>
      </c>
      <c r="G31" s="6" t="s">
        <v>12</v>
      </c>
      <c r="H31" s="6" t="s">
        <v>13</v>
      </c>
      <c r="I31" s="6" t="s">
        <v>14</v>
      </c>
      <c r="J31" s="6" t="s">
        <v>15</v>
      </c>
      <c r="K31" s="6" t="s">
        <v>16</v>
      </c>
      <c r="L31" s="6" t="s">
        <v>17</v>
      </c>
      <c r="M31" s="6" t="s">
        <v>18</v>
      </c>
      <c r="N31" s="6" t="s">
        <v>19</v>
      </c>
      <c r="O31" s="6" t="s">
        <v>20</v>
      </c>
      <c r="P31" s="6" t="s">
        <v>21</v>
      </c>
      <c r="Q31" s="6" t="s">
        <v>22</v>
      </c>
      <c r="R31" s="6" t="s">
        <v>23</v>
      </c>
      <c r="S31" s="6" t="s">
        <v>24</v>
      </c>
      <c r="T31" s="6" t="s">
        <v>25</v>
      </c>
      <c r="U31" s="6" t="s">
        <v>26</v>
      </c>
      <c r="V31" s="6" t="s">
        <v>27</v>
      </c>
      <c r="W31" s="6" t="s">
        <v>28</v>
      </c>
      <c r="X31" s="6" t="s">
        <v>29</v>
      </c>
      <c r="Y31" s="6" t="s">
        <v>30</v>
      </c>
      <c r="Z31" s="6" t="s">
        <v>31</v>
      </c>
      <c r="AA31" s="6" t="s">
        <v>32</v>
      </c>
      <c r="AB31" s="7" t="s">
        <v>33</v>
      </c>
    </row>
    <row r="32" spans="1:28" x14ac:dyDescent="0.35">
      <c r="A32" s="9" t="s">
        <v>34</v>
      </c>
      <c r="B32" s="9">
        <v>10</v>
      </c>
      <c r="C32" s="9"/>
      <c r="D32" s="10">
        <v>10976.2</v>
      </c>
      <c r="E32" s="11">
        <v>445</v>
      </c>
      <c r="F32" s="11">
        <v>377.3</v>
      </c>
      <c r="G32" s="11">
        <v>325.89999999999998</v>
      </c>
      <c r="H32" s="11">
        <v>298.60000000000002</v>
      </c>
      <c r="I32" s="11">
        <v>304.5</v>
      </c>
      <c r="J32" s="11">
        <v>333.9</v>
      </c>
      <c r="K32" s="11">
        <v>364.3</v>
      </c>
      <c r="L32" s="11">
        <v>382.4</v>
      </c>
      <c r="M32" s="11">
        <v>237.2</v>
      </c>
      <c r="N32" s="11">
        <v>271.89999999999998</v>
      </c>
      <c r="O32" s="11">
        <v>274.7</v>
      </c>
      <c r="P32" s="11">
        <v>269</v>
      </c>
      <c r="Q32" s="11">
        <v>287.2</v>
      </c>
      <c r="R32" s="11">
        <v>341.5</v>
      </c>
      <c r="S32" s="11">
        <v>405.6</v>
      </c>
      <c r="T32" s="11">
        <v>455.9</v>
      </c>
      <c r="U32" s="11">
        <v>502.9</v>
      </c>
      <c r="V32" s="11">
        <v>605.5</v>
      </c>
      <c r="W32" s="11">
        <v>506.8</v>
      </c>
      <c r="X32" s="11">
        <v>771.4</v>
      </c>
      <c r="Y32" s="11">
        <v>797.5</v>
      </c>
      <c r="Z32" s="11">
        <v>806.5</v>
      </c>
      <c r="AA32" s="11">
        <v>805.1</v>
      </c>
      <c r="AB32" s="12">
        <v>805.6</v>
      </c>
    </row>
    <row r="33" spans="1:28" x14ac:dyDescent="0.35">
      <c r="D33" s="13" t="s">
        <v>60</v>
      </c>
      <c r="E33" s="14">
        <f>D32-D24</f>
        <v>128.90000000000146</v>
      </c>
    </row>
    <row r="35" spans="1:28" x14ac:dyDescent="0.35">
      <c r="B35" t="s">
        <v>64</v>
      </c>
      <c r="C35" t="s">
        <v>39</v>
      </c>
      <c r="D35" t="s">
        <v>67</v>
      </c>
    </row>
    <row r="37" spans="1:28" ht="22" x14ac:dyDescent="0.35">
      <c r="A37" s="1"/>
      <c r="B37" s="1"/>
      <c r="C37" s="1" t="s">
        <v>0</v>
      </c>
      <c r="D37" s="2" t="s">
        <v>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"/>
    </row>
    <row r="38" spans="1:28" x14ac:dyDescent="0.35">
      <c r="A38" s="4"/>
      <c r="B38" s="4"/>
      <c r="C38" s="4" t="s">
        <v>2</v>
      </c>
      <c r="D38" s="5">
        <v>45845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7"/>
    </row>
    <row r="39" spans="1:28" x14ac:dyDescent="0.35">
      <c r="A39" s="4"/>
      <c r="B39" s="4"/>
      <c r="C39" s="4" t="s">
        <v>3</v>
      </c>
      <c r="D39" s="6" t="s">
        <v>62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7"/>
    </row>
    <row r="40" spans="1:28" ht="21" x14ac:dyDescent="0.35">
      <c r="A40" s="4" t="s">
        <v>5</v>
      </c>
      <c r="B40" s="4" t="s">
        <v>6</v>
      </c>
      <c r="C40" s="4" t="s">
        <v>8</v>
      </c>
      <c r="D40" s="8" t="s">
        <v>9</v>
      </c>
      <c r="E40" s="6" t="s">
        <v>10</v>
      </c>
      <c r="F40" s="6" t="s">
        <v>11</v>
      </c>
      <c r="G40" s="6" t="s">
        <v>12</v>
      </c>
      <c r="H40" s="6" t="s">
        <v>13</v>
      </c>
      <c r="I40" s="6" t="s">
        <v>14</v>
      </c>
      <c r="J40" s="6" t="s">
        <v>15</v>
      </c>
      <c r="K40" s="6" t="s">
        <v>16</v>
      </c>
      <c r="L40" s="6" t="s">
        <v>17</v>
      </c>
      <c r="M40" s="6" t="s">
        <v>18</v>
      </c>
      <c r="N40" s="6" t="s">
        <v>19</v>
      </c>
      <c r="O40" s="6" t="s">
        <v>20</v>
      </c>
      <c r="P40" s="6" t="s">
        <v>21</v>
      </c>
      <c r="Q40" s="6" t="s">
        <v>22</v>
      </c>
      <c r="R40" s="6" t="s">
        <v>23</v>
      </c>
      <c r="S40" s="6" t="s">
        <v>24</v>
      </c>
      <c r="T40" s="6" t="s">
        <v>25</v>
      </c>
      <c r="U40" s="6" t="s">
        <v>26</v>
      </c>
      <c r="V40" s="6" t="s">
        <v>27</v>
      </c>
      <c r="W40" s="6" t="s">
        <v>28</v>
      </c>
      <c r="X40" s="6" t="s">
        <v>29</v>
      </c>
      <c r="Y40" s="6" t="s">
        <v>30</v>
      </c>
      <c r="Z40" s="6" t="s">
        <v>31</v>
      </c>
      <c r="AA40" s="6" t="s">
        <v>32</v>
      </c>
      <c r="AB40" s="7" t="s">
        <v>33</v>
      </c>
    </row>
    <row r="41" spans="1:28" x14ac:dyDescent="0.35">
      <c r="A41" s="9" t="s">
        <v>34</v>
      </c>
      <c r="B41" s="9">
        <v>10</v>
      </c>
      <c r="C41" s="9"/>
      <c r="D41" s="10">
        <v>10913.7</v>
      </c>
      <c r="E41" s="11">
        <v>447.9</v>
      </c>
      <c r="F41" s="11">
        <v>372.2</v>
      </c>
      <c r="G41" s="11">
        <v>314.5</v>
      </c>
      <c r="H41" s="11">
        <v>285.60000000000002</v>
      </c>
      <c r="I41" s="11">
        <v>285.3</v>
      </c>
      <c r="J41" s="11">
        <v>306.10000000000002</v>
      </c>
      <c r="K41" s="11">
        <v>341.5</v>
      </c>
      <c r="L41" s="11">
        <v>370.5</v>
      </c>
      <c r="M41" s="11">
        <v>247.1</v>
      </c>
      <c r="N41" s="11">
        <v>276.5</v>
      </c>
      <c r="O41" s="11">
        <v>282.8</v>
      </c>
      <c r="P41" s="11">
        <v>280</v>
      </c>
      <c r="Q41" s="11">
        <v>298.7</v>
      </c>
      <c r="R41" s="11">
        <v>333.6</v>
      </c>
      <c r="S41" s="11">
        <v>401.1</v>
      </c>
      <c r="T41" s="11">
        <v>455.9</v>
      </c>
      <c r="U41" s="11">
        <v>501.8</v>
      </c>
      <c r="V41" s="11">
        <v>600.5</v>
      </c>
      <c r="W41" s="11">
        <v>504.7</v>
      </c>
      <c r="X41" s="11">
        <v>776.7</v>
      </c>
      <c r="Y41" s="11">
        <v>800.6</v>
      </c>
      <c r="Z41" s="11">
        <v>811.7</v>
      </c>
      <c r="AA41" s="11">
        <v>812.6</v>
      </c>
      <c r="AB41" s="12">
        <v>805.8</v>
      </c>
    </row>
    <row r="42" spans="1:28" x14ac:dyDescent="0.35">
      <c r="D42" s="13" t="s">
        <v>63</v>
      </c>
      <c r="E42" s="14">
        <f>D41-D32</f>
        <v>-62.5</v>
      </c>
    </row>
    <row r="44" spans="1:28" x14ac:dyDescent="0.35">
      <c r="B44" t="s">
        <v>66</v>
      </c>
      <c r="C44" t="s">
        <v>39</v>
      </c>
      <c r="D44" t="s">
        <v>69</v>
      </c>
    </row>
    <row r="46" spans="1:28" ht="22" x14ac:dyDescent="0.35">
      <c r="A46" s="1"/>
      <c r="B46" s="1"/>
      <c r="C46" s="1" t="s">
        <v>0</v>
      </c>
      <c r="D46" s="2" t="s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"/>
    </row>
    <row r="47" spans="1:28" x14ac:dyDescent="0.35">
      <c r="A47" s="4"/>
      <c r="B47" s="4"/>
      <c r="C47" s="4" t="s">
        <v>2</v>
      </c>
      <c r="D47" s="5">
        <v>45845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7"/>
    </row>
    <row r="48" spans="1:28" x14ac:dyDescent="0.35">
      <c r="A48" s="4"/>
      <c r="B48" s="4"/>
      <c r="C48" s="4" t="s">
        <v>3</v>
      </c>
      <c r="D48" s="6" t="s">
        <v>65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7"/>
    </row>
    <row r="49" spans="1:104" ht="21" x14ac:dyDescent="0.35">
      <c r="A49" s="4" t="s">
        <v>5</v>
      </c>
      <c r="B49" s="4" t="s">
        <v>6</v>
      </c>
      <c r="C49" s="4" t="s">
        <v>8</v>
      </c>
      <c r="D49" s="8" t="s">
        <v>9</v>
      </c>
      <c r="E49" s="6" t="s">
        <v>10</v>
      </c>
      <c r="F49" s="6" t="s">
        <v>11</v>
      </c>
      <c r="G49" s="6" t="s">
        <v>12</v>
      </c>
      <c r="H49" s="6" t="s">
        <v>13</v>
      </c>
      <c r="I49" s="6" t="s">
        <v>14</v>
      </c>
      <c r="J49" s="6" t="s">
        <v>15</v>
      </c>
      <c r="K49" s="6" t="s">
        <v>16</v>
      </c>
      <c r="L49" s="6" t="s">
        <v>17</v>
      </c>
      <c r="M49" s="6" t="s">
        <v>18</v>
      </c>
      <c r="N49" s="6" t="s">
        <v>19</v>
      </c>
      <c r="O49" s="6" t="s">
        <v>20</v>
      </c>
      <c r="P49" s="6" t="s">
        <v>21</v>
      </c>
      <c r="Q49" s="6" t="s">
        <v>22</v>
      </c>
      <c r="R49" s="6" t="s">
        <v>23</v>
      </c>
      <c r="S49" s="6" t="s">
        <v>24</v>
      </c>
      <c r="T49" s="6" t="s">
        <v>25</v>
      </c>
      <c r="U49" s="6" t="s">
        <v>26</v>
      </c>
      <c r="V49" s="6" t="s">
        <v>27</v>
      </c>
      <c r="W49" s="6" t="s">
        <v>28</v>
      </c>
      <c r="X49" s="6" t="s">
        <v>29</v>
      </c>
      <c r="Y49" s="6" t="s">
        <v>30</v>
      </c>
      <c r="Z49" s="6" t="s">
        <v>31</v>
      </c>
      <c r="AA49" s="6" t="s">
        <v>32</v>
      </c>
      <c r="AB49" s="7" t="s">
        <v>33</v>
      </c>
    </row>
    <row r="50" spans="1:104" x14ac:dyDescent="0.35">
      <c r="A50" s="9" t="s">
        <v>34</v>
      </c>
      <c r="B50" s="9">
        <v>10</v>
      </c>
      <c r="C50" s="9"/>
      <c r="D50" s="10">
        <v>7064.8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>
        <v>293.7</v>
      </c>
      <c r="R50" s="11">
        <v>334.1</v>
      </c>
      <c r="S50" s="11">
        <v>400.3</v>
      </c>
      <c r="T50" s="11">
        <v>445.3</v>
      </c>
      <c r="U50" s="11">
        <v>488.9</v>
      </c>
      <c r="V50" s="11">
        <v>591.1</v>
      </c>
      <c r="W50" s="11">
        <v>493.7</v>
      </c>
      <c r="X50" s="11">
        <v>774.6</v>
      </c>
      <c r="Y50" s="11">
        <v>801.8</v>
      </c>
      <c r="Z50" s="11">
        <v>814.8</v>
      </c>
      <c r="AA50" s="11">
        <v>817.6</v>
      </c>
      <c r="AB50" s="12">
        <v>808.9</v>
      </c>
    </row>
    <row r="51" spans="1:104" x14ac:dyDescent="0.35">
      <c r="D51" s="13" t="s">
        <v>68</v>
      </c>
      <c r="E51" s="14">
        <f>D50+SUM(E41:P41)-D41</f>
        <v>-38.900000000001455</v>
      </c>
    </row>
    <row r="53" spans="1:104" x14ac:dyDescent="0.35">
      <c r="B53" t="s">
        <v>70</v>
      </c>
      <c r="C53" t="s">
        <v>39</v>
      </c>
      <c r="D53" t="s">
        <v>72</v>
      </c>
    </row>
    <row r="55" spans="1:104" ht="22" x14ac:dyDescent="0.35">
      <c r="A55" s="1"/>
      <c r="B55" s="1"/>
      <c r="C55" s="1" t="s">
        <v>0</v>
      </c>
      <c r="D55" s="2" t="s">
        <v>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"/>
    </row>
    <row r="56" spans="1:104" x14ac:dyDescent="0.35">
      <c r="A56" s="4"/>
      <c r="B56" s="4"/>
      <c r="C56" s="4" t="s">
        <v>2</v>
      </c>
      <c r="D56" s="5">
        <v>45845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7"/>
    </row>
    <row r="57" spans="1:104" x14ac:dyDescent="0.35">
      <c r="A57" s="4"/>
      <c r="B57" s="4"/>
      <c r="C57" s="4" t="s">
        <v>3</v>
      </c>
      <c r="D57" s="6" t="s">
        <v>71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7"/>
    </row>
    <row r="58" spans="1:104" ht="21" x14ac:dyDescent="0.35">
      <c r="A58" s="4" t="s">
        <v>5</v>
      </c>
      <c r="B58" s="4" t="s">
        <v>6</v>
      </c>
      <c r="C58" s="4" t="s">
        <v>8</v>
      </c>
      <c r="D58" s="8" t="s">
        <v>9</v>
      </c>
      <c r="E58" s="6" t="s">
        <v>10</v>
      </c>
      <c r="F58" s="6" t="s">
        <v>11</v>
      </c>
      <c r="G58" s="6" t="s">
        <v>12</v>
      </c>
      <c r="H58" s="6" t="s">
        <v>13</v>
      </c>
      <c r="I58" s="6" t="s">
        <v>14</v>
      </c>
      <c r="J58" s="6" t="s">
        <v>15</v>
      </c>
      <c r="K58" s="6" t="s">
        <v>16</v>
      </c>
      <c r="L58" s="6" t="s">
        <v>17</v>
      </c>
      <c r="M58" s="6" t="s">
        <v>18</v>
      </c>
      <c r="N58" s="6" t="s">
        <v>19</v>
      </c>
      <c r="O58" s="6" t="s">
        <v>20</v>
      </c>
      <c r="P58" s="6" t="s">
        <v>21</v>
      </c>
      <c r="Q58" s="6" t="s">
        <v>22</v>
      </c>
      <c r="R58" s="6" t="s">
        <v>23</v>
      </c>
      <c r="S58" s="6" t="s">
        <v>24</v>
      </c>
      <c r="T58" s="6" t="s">
        <v>25</v>
      </c>
      <c r="U58" s="6" t="s">
        <v>26</v>
      </c>
      <c r="V58" s="6" t="s">
        <v>27</v>
      </c>
      <c r="W58" s="6" t="s">
        <v>28</v>
      </c>
      <c r="X58" s="6" t="s">
        <v>29</v>
      </c>
      <c r="Y58" s="6" t="s">
        <v>30</v>
      </c>
      <c r="Z58" s="6" t="s">
        <v>31</v>
      </c>
      <c r="AA58" s="6" t="s">
        <v>32</v>
      </c>
      <c r="AB58" s="7" t="s">
        <v>33</v>
      </c>
    </row>
    <row r="59" spans="1:104" x14ac:dyDescent="0.35">
      <c r="A59" s="9" t="s">
        <v>34</v>
      </c>
      <c r="B59" s="9">
        <v>10</v>
      </c>
      <c r="C59" s="9"/>
      <c r="D59" s="10">
        <v>10882.2</v>
      </c>
      <c r="E59" s="11">
        <v>455.9</v>
      </c>
      <c r="F59" s="11">
        <v>387.2</v>
      </c>
      <c r="G59" s="11">
        <v>314.5</v>
      </c>
      <c r="H59" s="11">
        <v>285.60000000000002</v>
      </c>
      <c r="I59" s="11">
        <v>285.3</v>
      </c>
      <c r="J59" s="11">
        <v>306.10000000000002</v>
      </c>
      <c r="K59" s="11">
        <v>325.7</v>
      </c>
      <c r="L59" s="11">
        <v>370.5</v>
      </c>
      <c r="M59" s="11">
        <v>250</v>
      </c>
      <c r="N59" s="11">
        <v>279</v>
      </c>
      <c r="O59" s="11">
        <v>276.3</v>
      </c>
      <c r="P59" s="11">
        <v>278.39999999999998</v>
      </c>
      <c r="Q59" s="11">
        <v>293.7</v>
      </c>
      <c r="R59" s="11">
        <v>334.1</v>
      </c>
      <c r="S59" s="11">
        <v>400.1</v>
      </c>
      <c r="T59" s="11">
        <v>445.3</v>
      </c>
      <c r="U59" s="11">
        <v>488.9</v>
      </c>
      <c r="V59" s="11">
        <v>591.1</v>
      </c>
      <c r="W59" s="11">
        <v>493.7</v>
      </c>
      <c r="X59" s="11">
        <v>777.7</v>
      </c>
      <c r="Y59" s="11">
        <v>801.8</v>
      </c>
      <c r="Z59" s="11">
        <v>814.8</v>
      </c>
      <c r="AA59" s="11">
        <v>817.6</v>
      </c>
      <c r="AB59" s="12">
        <v>808.9</v>
      </c>
    </row>
    <row r="60" spans="1:104" x14ac:dyDescent="0.35">
      <c r="D60" s="13" t="s">
        <v>73</v>
      </c>
      <c r="E60" s="14">
        <f>D59-(D50+SUM(E41:P41))</f>
        <v>7.4000000000014552</v>
      </c>
    </row>
    <row r="62" spans="1:104" x14ac:dyDescent="0.35">
      <c r="B62" t="s">
        <v>79</v>
      </c>
    </row>
    <row r="64" spans="1:104" x14ac:dyDescent="0.35">
      <c r="A64" s="1"/>
      <c r="B64" s="1"/>
      <c r="C64" s="1"/>
      <c r="D64" s="1"/>
      <c r="E64" s="1"/>
      <c r="F64" s="1"/>
      <c r="G64" s="1" t="s">
        <v>0</v>
      </c>
      <c r="H64" s="2" t="s">
        <v>41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3"/>
    </row>
    <row r="65" spans="1:106" x14ac:dyDescent="0.35">
      <c r="A65" s="4"/>
      <c r="B65" s="4"/>
      <c r="C65" s="4"/>
      <c r="D65" s="4"/>
      <c r="E65" s="4"/>
      <c r="F65" s="4"/>
      <c r="G65" s="4" t="s">
        <v>2</v>
      </c>
      <c r="H65" s="5">
        <v>45845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7"/>
    </row>
    <row r="66" spans="1:106" ht="21" x14ac:dyDescent="0.35">
      <c r="A66" s="4" t="s">
        <v>74</v>
      </c>
      <c r="B66" s="4" t="s">
        <v>42</v>
      </c>
      <c r="C66" s="4" t="s">
        <v>43</v>
      </c>
      <c r="D66" s="4" t="s">
        <v>5</v>
      </c>
      <c r="E66" s="4" t="s">
        <v>44</v>
      </c>
      <c r="F66" s="4" t="s">
        <v>6</v>
      </c>
      <c r="G66" s="4" t="s">
        <v>75</v>
      </c>
      <c r="H66" s="8" t="s">
        <v>9</v>
      </c>
      <c r="I66" s="6">
        <v>1</v>
      </c>
      <c r="J66" s="6">
        <v>2</v>
      </c>
      <c r="K66" s="6">
        <v>3</v>
      </c>
      <c r="L66" s="6">
        <v>4</v>
      </c>
      <c r="M66" s="6">
        <v>5</v>
      </c>
      <c r="N66" s="6">
        <v>6</v>
      </c>
      <c r="O66" s="6">
        <v>7</v>
      </c>
      <c r="P66" s="6">
        <v>8</v>
      </c>
      <c r="Q66" s="6">
        <v>9</v>
      </c>
      <c r="R66" s="6">
        <v>10</v>
      </c>
      <c r="S66" s="6">
        <v>11</v>
      </c>
      <c r="T66" s="6">
        <v>12</v>
      </c>
      <c r="U66" s="6">
        <v>13</v>
      </c>
      <c r="V66" s="6">
        <v>14</v>
      </c>
      <c r="W66" s="6">
        <v>15</v>
      </c>
      <c r="X66" s="6">
        <v>16</v>
      </c>
      <c r="Y66" s="6">
        <v>17</v>
      </c>
      <c r="Z66" s="6">
        <v>18</v>
      </c>
      <c r="AA66" s="6">
        <v>19</v>
      </c>
      <c r="AB66" s="6">
        <v>20</v>
      </c>
      <c r="AC66" s="6">
        <v>21</v>
      </c>
      <c r="AD66" s="6">
        <v>22</v>
      </c>
      <c r="AE66" s="6">
        <v>23</v>
      </c>
      <c r="AF66" s="6">
        <v>24</v>
      </c>
      <c r="AG66" s="6">
        <v>25</v>
      </c>
      <c r="AH66" s="6">
        <v>26</v>
      </c>
      <c r="AI66" s="6">
        <v>27</v>
      </c>
      <c r="AJ66" s="6">
        <v>28</v>
      </c>
      <c r="AK66" s="6">
        <v>29</v>
      </c>
      <c r="AL66" s="6">
        <v>30</v>
      </c>
      <c r="AM66" s="6">
        <v>31</v>
      </c>
      <c r="AN66" s="6">
        <v>32</v>
      </c>
      <c r="AO66" s="6">
        <v>33</v>
      </c>
      <c r="AP66" s="6">
        <v>34</v>
      </c>
      <c r="AQ66" s="6">
        <v>35</v>
      </c>
      <c r="AR66" s="6">
        <v>36</v>
      </c>
      <c r="AS66" s="6">
        <v>37</v>
      </c>
      <c r="AT66" s="6">
        <v>38</v>
      </c>
      <c r="AU66" s="6">
        <v>39</v>
      </c>
      <c r="AV66" s="6">
        <v>40</v>
      </c>
      <c r="AW66" s="6">
        <v>41</v>
      </c>
      <c r="AX66" s="6">
        <v>42</v>
      </c>
      <c r="AY66" s="6">
        <v>43</v>
      </c>
      <c r="AZ66" s="6">
        <v>44</v>
      </c>
      <c r="BA66" s="6">
        <v>45</v>
      </c>
      <c r="BB66" s="6">
        <v>46</v>
      </c>
      <c r="BC66" s="6">
        <v>47</v>
      </c>
      <c r="BD66" s="6">
        <v>48</v>
      </c>
      <c r="BE66" s="6">
        <v>49</v>
      </c>
      <c r="BF66" s="6">
        <v>50</v>
      </c>
      <c r="BG66" s="6">
        <v>51</v>
      </c>
      <c r="BH66" s="6">
        <v>52</v>
      </c>
      <c r="BI66" s="6">
        <v>53</v>
      </c>
      <c r="BJ66" s="6">
        <v>54</v>
      </c>
      <c r="BK66" s="6">
        <v>55</v>
      </c>
      <c r="BL66" s="6">
        <v>56</v>
      </c>
      <c r="BM66" s="6">
        <v>57</v>
      </c>
      <c r="BN66" s="6">
        <v>58</v>
      </c>
      <c r="BO66" s="6">
        <v>59</v>
      </c>
      <c r="BP66" s="6">
        <v>60</v>
      </c>
      <c r="BQ66" s="6">
        <v>61</v>
      </c>
      <c r="BR66" s="6">
        <v>62</v>
      </c>
      <c r="BS66" s="6">
        <v>63</v>
      </c>
      <c r="BT66" s="6">
        <v>64</v>
      </c>
      <c r="BU66" s="6">
        <v>65</v>
      </c>
      <c r="BV66" s="6">
        <v>66</v>
      </c>
      <c r="BW66" s="6">
        <v>67</v>
      </c>
      <c r="BX66" s="6">
        <v>68</v>
      </c>
      <c r="BY66" s="6">
        <v>69</v>
      </c>
      <c r="BZ66" s="6">
        <v>70</v>
      </c>
      <c r="CA66" s="6">
        <v>71</v>
      </c>
      <c r="CB66" s="6">
        <v>72</v>
      </c>
      <c r="CC66" s="6">
        <v>73</v>
      </c>
      <c r="CD66" s="6">
        <v>74</v>
      </c>
      <c r="CE66" s="6">
        <v>75</v>
      </c>
      <c r="CF66" s="6">
        <v>76</v>
      </c>
      <c r="CG66" s="6">
        <v>77</v>
      </c>
      <c r="CH66" s="6">
        <v>78</v>
      </c>
      <c r="CI66" s="6">
        <v>79</v>
      </c>
      <c r="CJ66" s="6">
        <v>80</v>
      </c>
      <c r="CK66" s="6">
        <v>81</v>
      </c>
      <c r="CL66" s="6">
        <v>82</v>
      </c>
      <c r="CM66" s="6">
        <v>83</v>
      </c>
      <c r="CN66" s="6">
        <v>84</v>
      </c>
      <c r="CO66" s="6">
        <v>85</v>
      </c>
      <c r="CP66" s="6">
        <v>86</v>
      </c>
      <c r="CQ66" s="6">
        <v>87</v>
      </c>
      <c r="CR66" s="6">
        <v>88</v>
      </c>
      <c r="CS66" s="6">
        <v>89</v>
      </c>
      <c r="CT66" s="6">
        <v>90</v>
      </c>
      <c r="CU66" s="6">
        <v>91</v>
      </c>
      <c r="CV66" s="6">
        <v>92</v>
      </c>
      <c r="CW66" s="6">
        <v>93</v>
      </c>
      <c r="CX66" s="6">
        <v>94</v>
      </c>
      <c r="CY66" s="6">
        <v>95</v>
      </c>
      <c r="CZ66" s="7">
        <v>96</v>
      </c>
    </row>
    <row r="67" spans="1:106" x14ac:dyDescent="0.35">
      <c r="A67" s="9" t="s">
        <v>76</v>
      </c>
      <c r="B67" s="9" t="s">
        <v>77</v>
      </c>
      <c r="C67" s="9" t="s">
        <v>78</v>
      </c>
      <c r="D67" s="9" t="s">
        <v>34</v>
      </c>
      <c r="E67" s="9">
        <v>4044474</v>
      </c>
      <c r="F67" s="9">
        <v>10</v>
      </c>
      <c r="G67" s="9"/>
      <c r="H67" s="10">
        <v>13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1">
        <v>0</v>
      </c>
      <c r="BQ67" s="11">
        <v>0</v>
      </c>
      <c r="BR67" s="11">
        <v>0</v>
      </c>
      <c r="BS67" s="11">
        <v>0</v>
      </c>
      <c r="BT67" s="11">
        <v>0</v>
      </c>
      <c r="BU67" s="11">
        <v>0</v>
      </c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>
        <v>0</v>
      </c>
      <c r="CI67" s="11">
        <v>0</v>
      </c>
      <c r="CJ67" s="11">
        <v>0</v>
      </c>
      <c r="CK67" s="11">
        <v>0</v>
      </c>
      <c r="CL67" s="11">
        <v>0</v>
      </c>
      <c r="CM67" s="11">
        <v>0</v>
      </c>
      <c r="CN67" s="11">
        <v>0</v>
      </c>
      <c r="CO67" s="11">
        <v>0</v>
      </c>
      <c r="CP67" s="11">
        <v>0</v>
      </c>
      <c r="CQ67" s="11">
        <v>0</v>
      </c>
      <c r="CR67" s="11">
        <v>0</v>
      </c>
      <c r="CS67" s="11">
        <v>13</v>
      </c>
      <c r="CT67" s="11">
        <v>0</v>
      </c>
      <c r="CU67" s="11">
        <v>0</v>
      </c>
      <c r="CV67" s="11">
        <v>0</v>
      </c>
      <c r="CW67" s="11">
        <v>0</v>
      </c>
      <c r="CX67" s="11">
        <v>0</v>
      </c>
      <c r="CY67" s="11">
        <v>0</v>
      </c>
      <c r="CZ67" s="12">
        <v>0</v>
      </c>
    </row>
    <row r="71" spans="1:106" x14ac:dyDescent="0.35">
      <c r="B71" t="s">
        <v>81</v>
      </c>
    </row>
    <row r="73" spans="1:106" x14ac:dyDescent="0.35">
      <c r="A73" s="1"/>
      <c r="B73" s="1"/>
      <c r="C73" s="1"/>
      <c r="D73" s="1"/>
      <c r="E73" s="1" t="s">
        <v>0</v>
      </c>
      <c r="F73" s="2" t="s">
        <v>41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3"/>
    </row>
    <row r="74" spans="1:106" x14ac:dyDescent="0.35">
      <c r="A74" s="4"/>
      <c r="B74" s="4"/>
      <c r="C74" s="4"/>
      <c r="D74" s="4"/>
      <c r="E74" s="4" t="s">
        <v>2</v>
      </c>
      <c r="F74" s="5">
        <v>45845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7"/>
    </row>
    <row r="75" spans="1:106" ht="21" x14ac:dyDescent="0.35">
      <c r="A75" s="4" t="s">
        <v>43</v>
      </c>
      <c r="B75" s="4" t="s">
        <v>5</v>
      </c>
      <c r="C75" s="4" t="s">
        <v>6</v>
      </c>
      <c r="D75" s="4" t="s">
        <v>42</v>
      </c>
      <c r="E75" s="4" t="s">
        <v>75</v>
      </c>
      <c r="F75" s="8" t="s">
        <v>9</v>
      </c>
      <c r="G75" s="6">
        <v>1</v>
      </c>
      <c r="H75" s="6">
        <v>2</v>
      </c>
      <c r="I75" s="6">
        <v>3</v>
      </c>
      <c r="J75" s="6">
        <v>4</v>
      </c>
      <c r="K75" s="6">
        <v>5</v>
      </c>
      <c r="L75" s="6">
        <v>6</v>
      </c>
      <c r="M75" s="6">
        <v>7</v>
      </c>
      <c r="N75" s="6">
        <v>8</v>
      </c>
      <c r="O75" s="6">
        <v>9</v>
      </c>
      <c r="P75" s="6">
        <v>10</v>
      </c>
      <c r="Q75" s="6">
        <v>11</v>
      </c>
      <c r="R75" s="6">
        <v>12</v>
      </c>
      <c r="S75" s="6">
        <v>13</v>
      </c>
      <c r="T75" s="6">
        <v>14</v>
      </c>
      <c r="U75" s="6">
        <v>15</v>
      </c>
      <c r="V75" s="6">
        <v>16</v>
      </c>
      <c r="W75" s="6">
        <v>17</v>
      </c>
      <c r="X75" s="6">
        <v>18</v>
      </c>
      <c r="Y75" s="6">
        <v>19</v>
      </c>
      <c r="Z75" s="6">
        <v>20</v>
      </c>
      <c r="AA75" s="6">
        <v>21</v>
      </c>
      <c r="AB75" s="6">
        <v>22</v>
      </c>
      <c r="AC75" s="6">
        <v>23</v>
      </c>
      <c r="AD75" s="6">
        <v>24</v>
      </c>
      <c r="AE75" s="6">
        <v>25</v>
      </c>
      <c r="AF75" s="6">
        <v>26</v>
      </c>
      <c r="AG75" s="6">
        <v>27</v>
      </c>
      <c r="AH75" s="6">
        <v>28</v>
      </c>
      <c r="AI75" s="6">
        <v>29</v>
      </c>
      <c r="AJ75" s="6">
        <v>30</v>
      </c>
      <c r="AK75" s="6">
        <v>31</v>
      </c>
      <c r="AL75" s="6">
        <v>32</v>
      </c>
      <c r="AM75" s="6">
        <v>33</v>
      </c>
      <c r="AN75" s="6">
        <v>34</v>
      </c>
      <c r="AO75" s="6">
        <v>35</v>
      </c>
      <c r="AP75" s="6">
        <v>36</v>
      </c>
      <c r="AQ75" s="6">
        <v>37</v>
      </c>
      <c r="AR75" s="6">
        <v>38</v>
      </c>
      <c r="AS75" s="6">
        <v>39</v>
      </c>
      <c r="AT75" s="6">
        <v>40</v>
      </c>
      <c r="AU75" s="6">
        <v>41</v>
      </c>
      <c r="AV75" s="6">
        <v>42</v>
      </c>
      <c r="AW75" s="6">
        <v>43</v>
      </c>
      <c r="AX75" s="6">
        <v>44</v>
      </c>
      <c r="AY75" s="6">
        <v>45</v>
      </c>
      <c r="AZ75" s="6">
        <v>46</v>
      </c>
      <c r="BA75" s="6">
        <v>47</v>
      </c>
      <c r="BB75" s="6">
        <v>48</v>
      </c>
      <c r="BC75" s="6">
        <v>49</v>
      </c>
      <c r="BD75" s="6">
        <v>50</v>
      </c>
      <c r="BE75" s="6">
        <v>51</v>
      </c>
      <c r="BF75" s="6">
        <v>52</v>
      </c>
      <c r="BG75" s="6">
        <v>53</v>
      </c>
      <c r="BH75" s="6">
        <v>54</v>
      </c>
      <c r="BI75" s="6">
        <v>55</v>
      </c>
      <c r="BJ75" s="6">
        <v>56</v>
      </c>
      <c r="BK75" s="6">
        <v>57</v>
      </c>
      <c r="BL75" s="6">
        <v>58</v>
      </c>
      <c r="BM75" s="6">
        <v>59</v>
      </c>
      <c r="BN75" s="6">
        <v>60</v>
      </c>
      <c r="BO75" s="6">
        <v>61</v>
      </c>
      <c r="BP75" s="6">
        <v>62</v>
      </c>
      <c r="BQ75" s="6">
        <v>63</v>
      </c>
      <c r="BR75" s="6">
        <v>64</v>
      </c>
      <c r="BS75" s="6">
        <v>65</v>
      </c>
      <c r="BT75" s="6">
        <v>66</v>
      </c>
      <c r="BU75" s="6">
        <v>67</v>
      </c>
      <c r="BV75" s="6">
        <v>68</v>
      </c>
      <c r="BW75" s="6">
        <v>69</v>
      </c>
      <c r="BX75" s="6">
        <v>70</v>
      </c>
      <c r="BY75" s="6">
        <v>71</v>
      </c>
      <c r="BZ75" s="6">
        <v>72</v>
      </c>
      <c r="CA75" s="6">
        <v>73</v>
      </c>
      <c r="CB75" s="6">
        <v>74</v>
      </c>
      <c r="CC75" s="6">
        <v>75</v>
      </c>
      <c r="CD75" s="6">
        <v>76</v>
      </c>
      <c r="CE75" s="6">
        <v>77</v>
      </c>
      <c r="CF75" s="6">
        <v>78</v>
      </c>
      <c r="CG75" s="6">
        <v>79</v>
      </c>
      <c r="CH75" s="6">
        <v>80</v>
      </c>
      <c r="CI75" s="6">
        <v>81</v>
      </c>
      <c r="CJ75" s="6">
        <v>82</v>
      </c>
      <c r="CK75" s="6">
        <v>83</v>
      </c>
      <c r="CL75" s="6">
        <v>84</v>
      </c>
      <c r="CM75" s="6">
        <v>85</v>
      </c>
      <c r="CN75" s="6">
        <v>86</v>
      </c>
      <c r="CO75" s="6">
        <v>87</v>
      </c>
      <c r="CP75" s="6">
        <v>88</v>
      </c>
      <c r="CQ75" s="6">
        <v>89</v>
      </c>
      <c r="CR75" s="6">
        <v>90</v>
      </c>
      <c r="CS75" s="6">
        <v>91</v>
      </c>
      <c r="CT75" s="6">
        <v>92</v>
      </c>
      <c r="CU75" s="6">
        <v>93</v>
      </c>
      <c r="CV75" s="6">
        <v>94</v>
      </c>
      <c r="CW75" s="6">
        <v>95</v>
      </c>
      <c r="CX75" s="7">
        <v>96</v>
      </c>
    </row>
    <row r="76" spans="1:106" x14ac:dyDescent="0.35">
      <c r="A76" s="9" t="s">
        <v>78</v>
      </c>
      <c r="B76" s="9" t="s">
        <v>34</v>
      </c>
      <c r="C76" s="9">
        <v>10</v>
      </c>
      <c r="D76" s="9" t="s">
        <v>80</v>
      </c>
      <c r="E76" s="9"/>
      <c r="F76" s="10">
        <v>48.5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1">
        <v>18</v>
      </c>
      <c r="CO76" s="11">
        <v>16.25</v>
      </c>
      <c r="CP76" s="11">
        <v>14.25</v>
      </c>
      <c r="CQ76" s="11">
        <v>0</v>
      </c>
      <c r="CR76" s="11">
        <v>0</v>
      </c>
      <c r="CS76" s="11">
        <v>0</v>
      </c>
      <c r="CT76" s="11">
        <v>0</v>
      </c>
      <c r="CU76" s="11">
        <v>0</v>
      </c>
      <c r="CV76" s="11">
        <v>0</v>
      </c>
      <c r="CW76" s="11">
        <v>0</v>
      </c>
      <c r="CX76" s="12">
        <v>0</v>
      </c>
    </row>
    <row r="78" spans="1:106" x14ac:dyDescent="0.35">
      <c r="B78" t="s">
        <v>82</v>
      </c>
    </row>
    <row r="80" spans="1:106" x14ac:dyDescent="0.35">
      <c r="A80" s="1"/>
      <c r="B80" s="1"/>
      <c r="C80" s="1"/>
      <c r="D80" s="1"/>
      <c r="E80" s="1"/>
      <c r="F80" s="1"/>
      <c r="G80" s="1"/>
      <c r="H80" s="1"/>
      <c r="I80" s="1" t="s">
        <v>0</v>
      </c>
      <c r="J80" s="2" t="s">
        <v>41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3"/>
    </row>
    <row r="81" spans="1:106" x14ac:dyDescent="0.35">
      <c r="A81" s="4"/>
      <c r="B81" s="4"/>
      <c r="C81" s="4"/>
      <c r="D81" s="4"/>
      <c r="E81" s="4"/>
      <c r="F81" s="4"/>
      <c r="G81" s="4"/>
      <c r="H81" s="4"/>
      <c r="I81" s="4" t="s">
        <v>2</v>
      </c>
      <c r="J81" s="5">
        <v>45845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7"/>
    </row>
    <row r="82" spans="1:106" ht="21" x14ac:dyDescent="0.35">
      <c r="A82" s="4" t="s">
        <v>42</v>
      </c>
      <c r="B82" s="4" t="s">
        <v>83</v>
      </c>
      <c r="C82" s="4" t="s">
        <v>43</v>
      </c>
      <c r="D82" s="4" t="s">
        <v>5</v>
      </c>
      <c r="E82" s="4" t="s">
        <v>6</v>
      </c>
      <c r="F82" s="4" t="s">
        <v>45</v>
      </c>
      <c r="G82" s="4" t="s">
        <v>84</v>
      </c>
      <c r="H82" s="4" t="s">
        <v>46</v>
      </c>
      <c r="I82" s="4" t="s">
        <v>75</v>
      </c>
      <c r="J82" s="8" t="s">
        <v>9</v>
      </c>
      <c r="K82" s="6">
        <v>1</v>
      </c>
      <c r="L82" s="6">
        <v>2</v>
      </c>
      <c r="M82" s="6">
        <v>3</v>
      </c>
      <c r="N82" s="6">
        <v>4</v>
      </c>
      <c r="O82" s="6">
        <v>5</v>
      </c>
      <c r="P82" s="6">
        <v>6</v>
      </c>
      <c r="Q82" s="6">
        <v>7</v>
      </c>
      <c r="R82" s="6">
        <v>8</v>
      </c>
      <c r="S82" s="6">
        <v>9</v>
      </c>
      <c r="T82" s="6">
        <v>10</v>
      </c>
      <c r="U82" s="6">
        <v>11</v>
      </c>
      <c r="V82" s="6">
        <v>12</v>
      </c>
      <c r="W82" s="6">
        <v>13</v>
      </c>
      <c r="X82" s="6">
        <v>14</v>
      </c>
      <c r="Y82" s="6">
        <v>15</v>
      </c>
      <c r="Z82" s="6">
        <v>16</v>
      </c>
      <c r="AA82" s="6">
        <v>17</v>
      </c>
      <c r="AB82" s="6">
        <v>18</v>
      </c>
      <c r="AC82" s="6">
        <v>19</v>
      </c>
      <c r="AD82" s="6">
        <v>20</v>
      </c>
      <c r="AE82" s="6">
        <v>21</v>
      </c>
      <c r="AF82" s="6">
        <v>22</v>
      </c>
      <c r="AG82" s="6">
        <v>23</v>
      </c>
      <c r="AH82" s="6">
        <v>24</v>
      </c>
      <c r="AI82" s="6">
        <v>25</v>
      </c>
      <c r="AJ82" s="6">
        <v>26</v>
      </c>
      <c r="AK82" s="6">
        <v>27</v>
      </c>
      <c r="AL82" s="6">
        <v>28</v>
      </c>
      <c r="AM82" s="6">
        <v>29</v>
      </c>
      <c r="AN82" s="6">
        <v>30</v>
      </c>
      <c r="AO82" s="6">
        <v>31</v>
      </c>
      <c r="AP82" s="6">
        <v>32</v>
      </c>
      <c r="AQ82" s="6">
        <v>33</v>
      </c>
      <c r="AR82" s="6">
        <v>34</v>
      </c>
      <c r="AS82" s="6">
        <v>35</v>
      </c>
      <c r="AT82" s="6">
        <v>36</v>
      </c>
      <c r="AU82" s="6">
        <v>37</v>
      </c>
      <c r="AV82" s="6">
        <v>38</v>
      </c>
      <c r="AW82" s="6">
        <v>39</v>
      </c>
      <c r="AX82" s="6">
        <v>40</v>
      </c>
      <c r="AY82" s="6">
        <v>41</v>
      </c>
      <c r="AZ82" s="6">
        <v>42</v>
      </c>
      <c r="BA82" s="6">
        <v>43</v>
      </c>
      <c r="BB82" s="6">
        <v>44</v>
      </c>
      <c r="BC82" s="6">
        <v>45</v>
      </c>
      <c r="BD82" s="6">
        <v>46</v>
      </c>
      <c r="BE82" s="6">
        <v>47</v>
      </c>
      <c r="BF82" s="6">
        <v>48</v>
      </c>
      <c r="BG82" s="6">
        <v>49</v>
      </c>
      <c r="BH82" s="6">
        <v>50</v>
      </c>
      <c r="BI82" s="6">
        <v>51</v>
      </c>
      <c r="BJ82" s="6">
        <v>52</v>
      </c>
      <c r="BK82" s="6">
        <v>53</v>
      </c>
      <c r="BL82" s="6">
        <v>54</v>
      </c>
      <c r="BM82" s="6">
        <v>55</v>
      </c>
      <c r="BN82" s="6">
        <v>56</v>
      </c>
      <c r="BO82" s="6">
        <v>57</v>
      </c>
      <c r="BP82" s="6">
        <v>58</v>
      </c>
      <c r="BQ82" s="6">
        <v>59</v>
      </c>
      <c r="BR82" s="6">
        <v>60</v>
      </c>
      <c r="BS82" s="6">
        <v>61</v>
      </c>
      <c r="BT82" s="6">
        <v>62</v>
      </c>
      <c r="BU82" s="6">
        <v>63</v>
      </c>
      <c r="BV82" s="6">
        <v>64</v>
      </c>
      <c r="BW82" s="6">
        <v>65</v>
      </c>
      <c r="BX82" s="6">
        <v>66</v>
      </c>
      <c r="BY82" s="6">
        <v>67</v>
      </c>
      <c r="BZ82" s="6">
        <v>68</v>
      </c>
      <c r="CA82" s="6">
        <v>69</v>
      </c>
      <c r="CB82" s="6">
        <v>70</v>
      </c>
      <c r="CC82" s="6">
        <v>71</v>
      </c>
      <c r="CD82" s="6">
        <v>72</v>
      </c>
      <c r="CE82" s="6">
        <v>73</v>
      </c>
      <c r="CF82" s="6">
        <v>74</v>
      </c>
      <c r="CG82" s="6">
        <v>75</v>
      </c>
      <c r="CH82" s="6">
        <v>76</v>
      </c>
      <c r="CI82" s="6">
        <v>77</v>
      </c>
      <c r="CJ82" s="6">
        <v>78</v>
      </c>
      <c r="CK82" s="6">
        <v>79</v>
      </c>
      <c r="CL82" s="6">
        <v>80</v>
      </c>
      <c r="CM82" s="6">
        <v>81</v>
      </c>
      <c r="CN82" s="6">
        <v>82</v>
      </c>
      <c r="CO82" s="6">
        <v>83</v>
      </c>
      <c r="CP82" s="6">
        <v>84</v>
      </c>
      <c r="CQ82" s="6">
        <v>85</v>
      </c>
      <c r="CR82" s="6">
        <v>86</v>
      </c>
      <c r="CS82" s="6">
        <v>87</v>
      </c>
      <c r="CT82" s="6">
        <v>88</v>
      </c>
      <c r="CU82" s="6">
        <v>89</v>
      </c>
      <c r="CV82" s="6">
        <v>90</v>
      </c>
      <c r="CW82" s="6">
        <v>91</v>
      </c>
      <c r="CX82" s="6">
        <v>92</v>
      </c>
      <c r="CY82" s="6">
        <v>93</v>
      </c>
      <c r="CZ82" s="6">
        <v>94</v>
      </c>
      <c r="DA82" s="6">
        <v>95</v>
      </c>
      <c r="DB82" s="7">
        <v>96</v>
      </c>
    </row>
    <row r="83" spans="1:106" ht="20" x14ac:dyDescent="0.35">
      <c r="A83" s="9" t="s">
        <v>85</v>
      </c>
      <c r="B83" s="9" t="s">
        <v>86</v>
      </c>
      <c r="C83" s="9" t="s">
        <v>48</v>
      </c>
      <c r="D83" s="9" t="s">
        <v>34</v>
      </c>
      <c r="E83" s="9">
        <v>10</v>
      </c>
      <c r="F83" s="9" t="s">
        <v>52</v>
      </c>
      <c r="G83" s="9" t="s">
        <v>87</v>
      </c>
      <c r="H83" s="9" t="s">
        <v>50</v>
      </c>
      <c r="I83" s="9"/>
      <c r="J83" s="10">
        <v>-371.68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>
        <v>-0.17699999999999999</v>
      </c>
      <c r="CN83" s="11">
        <v>-6.1230000000000002</v>
      </c>
      <c r="CO83" s="11">
        <v>-27.225000000000001</v>
      </c>
      <c r="CP83" s="11">
        <v>-28.774999999999999</v>
      </c>
      <c r="CQ83" s="11">
        <v>-26.95</v>
      </c>
      <c r="CR83" s="11"/>
      <c r="CS83" s="11"/>
      <c r="CT83" s="11"/>
      <c r="CU83" s="11">
        <v>-36.875</v>
      </c>
      <c r="CV83" s="11">
        <v>-28.024999999999999</v>
      </c>
      <c r="CW83" s="11">
        <v>-27.225000000000001</v>
      </c>
      <c r="CX83" s="11">
        <v>-26.4</v>
      </c>
      <c r="CY83" s="11">
        <v>-29.93</v>
      </c>
      <c r="CZ83" s="11">
        <v>-47.325000000000003</v>
      </c>
      <c r="DA83" s="11">
        <v>-43.424999999999997</v>
      </c>
      <c r="DB83" s="12">
        <v>-43.225000000000001</v>
      </c>
    </row>
    <row r="84" spans="1:106" ht="20" x14ac:dyDescent="0.35">
      <c r="A84" s="9" t="s">
        <v>85</v>
      </c>
      <c r="B84" s="9" t="s">
        <v>86</v>
      </c>
      <c r="C84" s="9" t="s">
        <v>48</v>
      </c>
      <c r="D84" s="9" t="s">
        <v>34</v>
      </c>
      <c r="E84" s="9">
        <v>10</v>
      </c>
      <c r="F84" s="9" t="s">
        <v>52</v>
      </c>
      <c r="G84" s="9" t="s">
        <v>87</v>
      </c>
      <c r="H84" s="9" t="s">
        <v>88</v>
      </c>
      <c r="I84" s="9"/>
      <c r="J84" s="10">
        <v>-1.2E-2</v>
      </c>
      <c r="K84" s="11">
        <v>-1.2E-2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2"/>
    </row>
    <row r="86" spans="1:106" x14ac:dyDescent="0.35">
      <c r="B86" t="s">
        <v>90</v>
      </c>
    </row>
    <row r="88" spans="1:106" ht="22" x14ac:dyDescent="0.35">
      <c r="A88" s="1"/>
      <c r="B88" s="1"/>
      <c r="C88" s="1" t="s">
        <v>0</v>
      </c>
      <c r="D88" s="2" t="s">
        <v>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3"/>
    </row>
    <row r="89" spans="1:106" x14ac:dyDescent="0.35">
      <c r="A89" s="4"/>
      <c r="B89" s="4"/>
      <c r="C89" s="4" t="s">
        <v>2</v>
      </c>
      <c r="D89" s="5">
        <v>45845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7"/>
    </row>
    <row r="90" spans="1:106" x14ac:dyDescent="0.35">
      <c r="A90" s="4"/>
      <c r="B90" s="4"/>
      <c r="C90" s="4" t="s">
        <v>3</v>
      </c>
      <c r="D90" s="6" t="s">
        <v>89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7"/>
    </row>
    <row r="91" spans="1:106" ht="21" x14ac:dyDescent="0.35">
      <c r="A91" s="4" t="s">
        <v>5</v>
      </c>
      <c r="B91" s="4" t="s">
        <v>6</v>
      </c>
      <c r="C91" s="4" t="s">
        <v>75</v>
      </c>
      <c r="D91" s="8" t="s">
        <v>9</v>
      </c>
      <c r="E91" s="6">
        <v>1</v>
      </c>
      <c r="F91" s="6">
        <v>2</v>
      </c>
      <c r="G91" s="6">
        <v>3</v>
      </c>
      <c r="H91" s="6">
        <v>4</v>
      </c>
      <c r="I91" s="6">
        <v>5</v>
      </c>
      <c r="J91" s="6">
        <v>6</v>
      </c>
      <c r="K91" s="6">
        <v>7</v>
      </c>
      <c r="L91" s="6">
        <v>8</v>
      </c>
      <c r="M91" s="6">
        <v>9</v>
      </c>
      <c r="N91" s="6">
        <v>10</v>
      </c>
      <c r="O91" s="6">
        <v>11</v>
      </c>
      <c r="P91" s="6">
        <v>12</v>
      </c>
      <c r="Q91" s="6">
        <v>13</v>
      </c>
      <c r="R91" s="6">
        <v>14</v>
      </c>
      <c r="S91" s="6">
        <v>15</v>
      </c>
      <c r="T91" s="6">
        <v>16</v>
      </c>
      <c r="U91" s="6">
        <v>17</v>
      </c>
      <c r="V91" s="6">
        <v>18</v>
      </c>
      <c r="W91" s="6">
        <v>19</v>
      </c>
      <c r="X91" s="6">
        <v>20</v>
      </c>
      <c r="Y91" s="6">
        <v>21</v>
      </c>
      <c r="Z91" s="6">
        <v>22</v>
      </c>
      <c r="AA91" s="6">
        <v>23</v>
      </c>
      <c r="AB91" s="6">
        <v>24</v>
      </c>
      <c r="AC91" s="6">
        <v>25</v>
      </c>
      <c r="AD91" s="6">
        <v>26</v>
      </c>
      <c r="AE91" s="6">
        <v>27</v>
      </c>
      <c r="AF91" s="6">
        <v>28</v>
      </c>
      <c r="AG91" s="6">
        <v>29</v>
      </c>
      <c r="AH91" s="6">
        <v>30</v>
      </c>
      <c r="AI91" s="6">
        <v>31</v>
      </c>
      <c r="AJ91" s="6">
        <v>32</v>
      </c>
      <c r="AK91" s="6">
        <v>33</v>
      </c>
      <c r="AL91" s="6">
        <v>34</v>
      </c>
      <c r="AM91" s="6">
        <v>35</v>
      </c>
      <c r="AN91" s="6">
        <v>36</v>
      </c>
      <c r="AO91" s="6">
        <v>37</v>
      </c>
      <c r="AP91" s="6">
        <v>38</v>
      </c>
      <c r="AQ91" s="6">
        <v>39</v>
      </c>
      <c r="AR91" s="6">
        <v>40</v>
      </c>
      <c r="AS91" s="6">
        <v>41</v>
      </c>
      <c r="AT91" s="6">
        <v>42</v>
      </c>
      <c r="AU91" s="6">
        <v>43</v>
      </c>
      <c r="AV91" s="6">
        <v>44</v>
      </c>
      <c r="AW91" s="6">
        <v>45</v>
      </c>
      <c r="AX91" s="6">
        <v>46</v>
      </c>
      <c r="AY91" s="6">
        <v>47</v>
      </c>
      <c r="AZ91" s="6">
        <v>48</v>
      </c>
      <c r="BA91" s="6">
        <v>49</v>
      </c>
      <c r="BB91" s="6">
        <v>50</v>
      </c>
      <c r="BC91" s="6">
        <v>51</v>
      </c>
      <c r="BD91" s="6">
        <v>52</v>
      </c>
      <c r="BE91" s="6">
        <v>53</v>
      </c>
      <c r="BF91" s="6">
        <v>54</v>
      </c>
      <c r="BG91" s="6">
        <v>55</v>
      </c>
      <c r="BH91" s="6">
        <v>56</v>
      </c>
      <c r="BI91" s="6">
        <v>57</v>
      </c>
      <c r="BJ91" s="6">
        <v>58</v>
      </c>
      <c r="BK91" s="6">
        <v>59</v>
      </c>
      <c r="BL91" s="6">
        <v>60</v>
      </c>
      <c r="BM91" s="6">
        <v>61</v>
      </c>
      <c r="BN91" s="6">
        <v>62</v>
      </c>
      <c r="BO91" s="6">
        <v>63</v>
      </c>
      <c r="BP91" s="6">
        <v>64</v>
      </c>
      <c r="BQ91" s="6">
        <v>65</v>
      </c>
      <c r="BR91" s="6">
        <v>66</v>
      </c>
      <c r="BS91" s="6">
        <v>67</v>
      </c>
      <c r="BT91" s="6">
        <v>68</v>
      </c>
      <c r="BU91" s="6">
        <v>69</v>
      </c>
      <c r="BV91" s="6">
        <v>70</v>
      </c>
      <c r="BW91" s="6">
        <v>71</v>
      </c>
      <c r="BX91" s="6">
        <v>72</v>
      </c>
      <c r="BY91" s="6">
        <v>73</v>
      </c>
      <c r="BZ91" s="6">
        <v>74</v>
      </c>
      <c r="CA91" s="6">
        <v>75</v>
      </c>
      <c r="CB91" s="6">
        <v>76</v>
      </c>
      <c r="CC91" s="6">
        <v>77</v>
      </c>
      <c r="CD91" s="6">
        <v>78</v>
      </c>
      <c r="CE91" s="6">
        <v>79</v>
      </c>
      <c r="CF91" s="6">
        <v>80</v>
      </c>
      <c r="CG91" s="6">
        <v>81</v>
      </c>
      <c r="CH91" s="6">
        <v>82</v>
      </c>
      <c r="CI91" s="6">
        <v>83</v>
      </c>
      <c r="CJ91" s="6">
        <v>84</v>
      </c>
      <c r="CK91" s="6">
        <v>85</v>
      </c>
      <c r="CL91" s="6">
        <v>86</v>
      </c>
      <c r="CM91" s="6">
        <v>87</v>
      </c>
      <c r="CN91" s="6">
        <v>88</v>
      </c>
      <c r="CO91" s="6">
        <v>89</v>
      </c>
      <c r="CP91" s="6">
        <v>90</v>
      </c>
      <c r="CQ91" s="6">
        <v>91</v>
      </c>
      <c r="CR91" s="6">
        <v>92</v>
      </c>
      <c r="CS91" s="6">
        <v>93</v>
      </c>
      <c r="CT91" s="6">
        <v>94</v>
      </c>
      <c r="CU91" s="6">
        <v>95</v>
      </c>
      <c r="CV91" s="7">
        <v>96</v>
      </c>
    </row>
    <row r="92" spans="1:106" x14ac:dyDescent="0.35">
      <c r="A92" s="9" t="s">
        <v>34</v>
      </c>
      <c r="B92" s="9">
        <v>10</v>
      </c>
      <c r="C92" s="9"/>
      <c r="D92" s="10">
        <v>10571.532999999999</v>
      </c>
      <c r="E92" s="11">
        <v>122.688</v>
      </c>
      <c r="F92" s="11">
        <v>117</v>
      </c>
      <c r="G92" s="11">
        <v>110.97499999999999</v>
      </c>
      <c r="H92" s="11">
        <v>105.175</v>
      </c>
      <c r="I92" s="11">
        <v>103.95</v>
      </c>
      <c r="J92" s="11">
        <v>99.174999999999997</v>
      </c>
      <c r="K92" s="11">
        <v>94.45</v>
      </c>
      <c r="L92" s="11">
        <v>89.65</v>
      </c>
      <c r="M92" s="11">
        <v>83.174999999999997</v>
      </c>
      <c r="N92" s="11">
        <v>80.125</v>
      </c>
      <c r="O92" s="11">
        <v>77.075000000000003</v>
      </c>
      <c r="P92" s="11">
        <v>74.150000000000006</v>
      </c>
      <c r="Q92" s="11">
        <v>72.599999999999994</v>
      </c>
      <c r="R92" s="11">
        <v>71.825000000000003</v>
      </c>
      <c r="S92" s="11">
        <v>71.075000000000003</v>
      </c>
      <c r="T92" s="11">
        <v>70.075000000000003</v>
      </c>
      <c r="U92" s="11">
        <v>70.575000000000003</v>
      </c>
      <c r="V92" s="11">
        <v>71.099999999999994</v>
      </c>
      <c r="W92" s="11">
        <v>71.575000000000003</v>
      </c>
      <c r="X92" s="11">
        <v>72</v>
      </c>
      <c r="Y92" s="11">
        <v>73.625</v>
      </c>
      <c r="Z92" s="11">
        <v>75.525000000000006</v>
      </c>
      <c r="AA92" s="11">
        <v>77.474999999999994</v>
      </c>
      <c r="AB92" s="11">
        <v>79.474999999999994</v>
      </c>
      <c r="AC92" s="11">
        <v>76</v>
      </c>
      <c r="AD92" s="11">
        <v>79.599999999999994</v>
      </c>
      <c r="AE92" s="11">
        <v>83.275000000000006</v>
      </c>
      <c r="AF92" s="11">
        <v>86.825000000000003</v>
      </c>
      <c r="AG92" s="11">
        <v>90.775000000000006</v>
      </c>
      <c r="AH92" s="11">
        <v>92.025000000000006</v>
      </c>
      <c r="AI92" s="11">
        <v>93.275000000000006</v>
      </c>
      <c r="AJ92" s="11">
        <v>94.45</v>
      </c>
      <c r="AK92" s="11">
        <v>65.05</v>
      </c>
      <c r="AL92" s="11">
        <v>63.924999999999997</v>
      </c>
      <c r="AM92" s="11">
        <v>61.15</v>
      </c>
      <c r="AN92" s="11">
        <v>59.85</v>
      </c>
      <c r="AO92" s="11">
        <v>71.099999999999994</v>
      </c>
      <c r="AP92" s="11">
        <v>70.2</v>
      </c>
      <c r="AQ92" s="11">
        <v>69.025000000000006</v>
      </c>
      <c r="AR92" s="11">
        <v>68.625</v>
      </c>
      <c r="AS92" s="11">
        <v>69.275000000000006</v>
      </c>
      <c r="AT92" s="11">
        <v>70.2</v>
      </c>
      <c r="AU92" s="11">
        <v>68.150000000000006</v>
      </c>
      <c r="AV92" s="11">
        <v>68.625</v>
      </c>
      <c r="AW92" s="11">
        <v>68.625</v>
      </c>
      <c r="AX92" s="11">
        <v>69.55</v>
      </c>
      <c r="AY92" s="11">
        <v>70.45</v>
      </c>
      <c r="AZ92" s="11">
        <v>69.724999999999994</v>
      </c>
      <c r="BA92" s="11">
        <v>70.099999999999994</v>
      </c>
      <c r="BB92" s="11">
        <v>72.25</v>
      </c>
      <c r="BC92" s="11">
        <v>74.525000000000006</v>
      </c>
      <c r="BD92" s="11">
        <v>76.8</v>
      </c>
      <c r="BE92" s="11">
        <v>80.150000000000006</v>
      </c>
      <c r="BF92" s="11">
        <v>82.45</v>
      </c>
      <c r="BG92" s="11">
        <v>84.575000000000003</v>
      </c>
      <c r="BH92" s="11">
        <v>86.924999999999997</v>
      </c>
      <c r="BI92" s="11">
        <v>95.7</v>
      </c>
      <c r="BJ92" s="11">
        <v>98.65</v>
      </c>
      <c r="BK92" s="11">
        <v>101.47499999999999</v>
      </c>
      <c r="BL92" s="11">
        <v>104.22499999999999</v>
      </c>
      <c r="BM92" s="11">
        <v>107.22499999999999</v>
      </c>
      <c r="BN92" s="11">
        <v>109.97499999999999</v>
      </c>
      <c r="BO92" s="11">
        <v>112.675</v>
      </c>
      <c r="BP92" s="11">
        <v>115.45</v>
      </c>
      <c r="BQ92" s="11">
        <v>117.97499999999999</v>
      </c>
      <c r="BR92" s="11">
        <v>120.9</v>
      </c>
      <c r="BS92" s="11">
        <v>123.55</v>
      </c>
      <c r="BT92" s="11">
        <v>126.45</v>
      </c>
      <c r="BU92" s="11">
        <v>145.6</v>
      </c>
      <c r="BV92" s="11">
        <v>147.02500000000001</v>
      </c>
      <c r="BW92" s="11">
        <v>148.4</v>
      </c>
      <c r="BX92" s="11">
        <v>150.02500000000001</v>
      </c>
      <c r="BY92" s="11">
        <v>121.05</v>
      </c>
      <c r="BZ92" s="11">
        <v>122.65</v>
      </c>
      <c r="CA92" s="11">
        <v>124.2</v>
      </c>
      <c r="CB92" s="11">
        <v>125.77500000000001</v>
      </c>
      <c r="CC92" s="11">
        <v>189.2</v>
      </c>
      <c r="CD92" s="11">
        <v>192.17500000000001</v>
      </c>
      <c r="CE92" s="11">
        <v>196.7</v>
      </c>
      <c r="CF92" s="11">
        <v>199.57499999999999</v>
      </c>
      <c r="CG92" s="11">
        <v>199.898</v>
      </c>
      <c r="CH92" s="11">
        <v>194.15199999999999</v>
      </c>
      <c r="CI92" s="11">
        <v>173.4</v>
      </c>
      <c r="CJ92" s="11">
        <v>172.05</v>
      </c>
      <c r="CK92" s="11">
        <v>174.9</v>
      </c>
      <c r="CL92" s="11">
        <v>221</v>
      </c>
      <c r="CM92" s="11">
        <v>220.5</v>
      </c>
      <c r="CN92" s="11">
        <v>219.9</v>
      </c>
      <c r="CO92" s="11">
        <v>182.07499999999999</v>
      </c>
      <c r="CP92" s="11">
        <v>176.85</v>
      </c>
      <c r="CQ92" s="11">
        <v>176.65</v>
      </c>
      <c r="CR92" s="11">
        <v>176.47499999999999</v>
      </c>
      <c r="CS92" s="11">
        <v>172.745</v>
      </c>
      <c r="CT92" s="11">
        <v>155.07499999999999</v>
      </c>
      <c r="CU92" s="11">
        <v>158.67500000000001</v>
      </c>
      <c r="CV92" s="12">
        <v>158.52500000000001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Naturgy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Bello, Mª Carmen</dc:creator>
  <cp:lastModifiedBy>Gomez Bello, Mª Carmen</cp:lastModifiedBy>
  <dcterms:created xsi:type="dcterms:W3CDTF">2025-10-05T20:14:34Z</dcterms:created>
  <dcterms:modified xsi:type="dcterms:W3CDTF">2025-10-05T21:04:40Z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fdb0a8-4a6b-4f00-936d-33796aec780e_Enabled">
    <vt:lpwstr>true</vt:lpwstr>
  </property>
  <property fmtid="{D5CDD505-2E9C-101B-9397-08002B2CF9AE}" pid="3" name="MSIP_Label_04fdb0a8-4a6b-4f00-936d-33796aec780e_SetDate">
    <vt:lpwstr>2025-10-05T20:19:21Z</vt:lpwstr>
  </property>
  <property fmtid="{D5CDD505-2E9C-101B-9397-08002B2CF9AE}" pid="4" name="MSIP_Label_04fdb0a8-4a6b-4f00-936d-33796aec780e_Method">
    <vt:lpwstr>Standard</vt:lpwstr>
  </property>
  <property fmtid="{D5CDD505-2E9C-101B-9397-08002B2CF9AE}" pid="5" name="MSIP_Label_04fdb0a8-4a6b-4f00-936d-33796aec780e_Name">
    <vt:lpwstr>Interna</vt:lpwstr>
  </property>
  <property fmtid="{D5CDD505-2E9C-101B-9397-08002B2CF9AE}" pid="6" name="MSIP_Label_04fdb0a8-4a6b-4f00-936d-33796aec780e_SiteId">
    <vt:lpwstr>4671ebb9-5444-457d-a9ef-c8888adaf03b</vt:lpwstr>
  </property>
  <property fmtid="{D5CDD505-2E9C-101B-9397-08002B2CF9AE}" pid="7" name="MSIP_Label_04fdb0a8-4a6b-4f00-936d-33796aec780e_ActionId">
    <vt:lpwstr>59a0e6e6-513c-45d7-ac9c-424e8783488d</vt:lpwstr>
  </property>
  <property fmtid="{D5CDD505-2E9C-101B-9397-08002B2CF9AE}" pid="8" name="MSIP_Label_04fdb0a8-4a6b-4f00-936d-33796aec780e_ContentBits">
    <vt:lpwstr>0</vt:lpwstr>
  </property>
  <property fmtid="{D5CDD505-2E9C-101B-9397-08002B2CF9AE}" pid="9" name="MSIP_Label_04fdb0a8-4a6b-4f00-936d-33796aec780e_Tag">
    <vt:lpwstr>10, 3, 0, 1</vt:lpwstr>
  </property>
</Properties>
</file>