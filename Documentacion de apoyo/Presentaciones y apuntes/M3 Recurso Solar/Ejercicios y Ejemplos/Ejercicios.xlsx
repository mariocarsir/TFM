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 - Universidad Politécnica de Madrid\Documentos\_PRESENTACIONES_E\CURSOS\_master_ERMA_JAmador\2023\"/>
    </mc:Choice>
  </mc:AlternateContent>
  <bookViews>
    <workbookView xWindow="-90" yWindow="-90" windowWidth="19380" windowHeight="10380" tabRatio="678" activeTab="3"/>
  </bookViews>
  <sheets>
    <sheet name="Ej-1a_PosicSol_Madrid" sheetId="2" r:id="rId1"/>
    <sheet name="Ej-1b_Munich" sheetId="12" r:id="rId2"/>
    <sheet name="Ej-1c_CMexico" sheetId="14" r:id="rId3"/>
    <sheet name="Ej-2a_TraySol_Mad" sheetId="19" r:id="rId4"/>
    <sheet name="Ej-2b_Munich" sheetId="18" r:id="rId5"/>
    <sheet name="Ej-2c_CMex" sheetId="17" r:id="rId6"/>
    <sheet name="Ej.Lat -32" sheetId="20" r:id="rId7"/>
  </sheets>
  <externalReferences>
    <externalReference r:id="rId8"/>
  </externalReferences>
  <definedNames>
    <definedName name="AL" localSheetId="6">#REF!</definedName>
    <definedName name="AL" localSheetId="3">#REF!</definedName>
    <definedName name="AL" localSheetId="4">#REF!</definedName>
    <definedName name="AL">#REF!</definedName>
    <definedName name="BE" localSheetId="6">[1]Gdm!#REF!</definedName>
    <definedName name="BE" localSheetId="3">[1]Gdm!#REF!</definedName>
    <definedName name="BE" localSheetId="4">[1]Gdm!#REF!</definedName>
    <definedName name="BE" localSheetId="5">[1]Gdm!#REF!</definedName>
    <definedName name="BE">[1]Gdm!#REF!</definedName>
    <definedName name="BEOP" localSheetId="6">#REF!</definedName>
    <definedName name="BEOP" localSheetId="3">#REF!</definedName>
    <definedName name="BEOP" localSheetId="4">#REF!</definedName>
    <definedName name="BEOP">#REF!</definedName>
    <definedName name="beta" localSheetId="6">#REF!</definedName>
    <definedName name="beta" localSheetId="1">#REF!</definedName>
    <definedName name="beta" localSheetId="2">#REF!</definedName>
    <definedName name="beta" localSheetId="3">#REF!</definedName>
    <definedName name="beta" localSheetId="4">#REF!</definedName>
    <definedName name="beta">#REF!</definedName>
    <definedName name="BOP" localSheetId="6">#REF!</definedName>
    <definedName name="BOP" localSheetId="3">#REF!</definedName>
    <definedName name="BOP" localSheetId="4">#REF!</definedName>
    <definedName name="BOP">#REF!</definedName>
    <definedName name="decli1" localSheetId="6">'Ej.Lat -32'!$C$5</definedName>
    <definedName name="decli1" localSheetId="3">'Ej-2a_TraySol_Mad'!$C$5</definedName>
    <definedName name="decli1" localSheetId="4">'Ej-2b_Munich'!$C$5</definedName>
    <definedName name="decli1" localSheetId="5">'Ej-2c_CMex'!$C$5</definedName>
    <definedName name="decli1">#REF!</definedName>
    <definedName name="Hp" localSheetId="6">#REF!</definedName>
    <definedName name="Hp" localSheetId="1">#REF!</definedName>
    <definedName name="Hp" localSheetId="2">#REF!</definedName>
    <definedName name="Hp" localSheetId="3">#REF!</definedName>
    <definedName name="Hp" localSheetId="4">#REF!</definedName>
    <definedName name="Hp" localSheetId="5">#REF!</definedName>
    <definedName name="Hp">#REF!</definedName>
    <definedName name="Hvp" localSheetId="6">#REF!</definedName>
    <definedName name="Hvp" localSheetId="1">#REF!</definedName>
    <definedName name="Hvp" localSheetId="2">#REF!</definedName>
    <definedName name="Hvp" localSheetId="3">#REF!</definedName>
    <definedName name="Hvp" localSheetId="4">#REF!</definedName>
    <definedName name="Hvp">#REF!</definedName>
    <definedName name="l" localSheetId="6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>#REF!</definedName>
    <definedName name="LAT">[1]Ghm!$C$4</definedName>
    <definedName name="lm" localSheetId="6">#REF!</definedName>
    <definedName name="lm" localSheetId="1">#REF!</definedName>
    <definedName name="lm" localSheetId="2">#REF!</definedName>
    <definedName name="lm" localSheetId="3">#REF!</definedName>
    <definedName name="lm" localSheetId="4">#REF!</definedName>
    <definedName name="lm" localSheetId="5">#REF!</definedName>
    <definedName name="lm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4" l="1"/>
  <c r="J2" i="14"/>
  <c r="J3" i="12"/>
  <c r="J2" i="12"/>
  <c r="S3" i="19"/>
  <c r="A5" i="12"/>
  <c r="C5" i="12"/>
  <c r="B251" i="20" l="1"/>
  <c r="B250" i="20"/>
  <c r="B249" i="20"/>
  <c r="B248" i="20"/>
  <c r="B247" i="20"/>
  <c r="B246" i="20"/>
  <c r="B245" i="20"/>
  <c r="B244" i="20"/>
  <c r="B243" i="20"/>
  <c r="B242" i="20"/>
  <c r="B241" i="20"/>
  <c r="B240" i="20"/>
  <c r="B239" i="20"/>
  <c r="B238" i="20"/>
  <c r="B237" i="20"/>
  <c r="B236" i="20"/>
  <c r="B235" i="20"/>
  <c r="B234" i="20"/>
  <c r="B233" i="20"/>
  <c r="B232" i="20"/>
  <c r="B231" i="20"/>
  <c r="B230" i="20"/>
  <c r="B229" i="20"/>
  <c r="B228" i="20"/>
  <c r="B227" i="20"/>
  <c r="B226" i="20"/>
  <c r="B225" i="20"/>
  <c r="B224" i="20"/>
  <c r="B223" i="20"/>
  <c r="B222" i="20"/>
  <c r="B221" i="20"/>
  <c r="B220" i="20"/>
  <c r="B219" i="20"/>
  <c r="B218" i="20"/>
  <c r="B217" i="20"/>
  <c r="B216" i="20"/>
  <c r="B215" i="20"/>
  <c r="B214" i="20"/>
  <c r="B213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B200" i="20"/>
  <c r="B199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2" i="20"/>
  <c r="B181" i="20"/>
  <c r="B180" i="20"/>
  <c r="B179" i="20"/>
  <c r="B178" i="20"/>
  <c r="B177" i="20"/>
  <c r="B176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B161" i="20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V135" i="20"/>
  <c r="B135" i="20"/>
  <c r="V134" i="20"/>
  <c r="B134" i="20"/>
  <c r="V133" i="20"/>
  <c r="B133" i="20"/>
  <c r="V132" i="20"/>
  <c r="B132" i="20"/>
  <c r="V131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C6" i="20"/>
  <c r="O5" i="20"/>
  <c r="P5" i="20" s="1"/>
  <c r="J5" i="20"/>
  <c r="F5" i="20"/>
  <c r="L5" i="20" s="1"/>
  <c r="M5" i="20" s="1"/>
  <c r="C5" i="20"/>
  <c r="C72" i="20" s="1"/>
  <c r="D72" i="20" s="1"/>
  <c r="E72" i="20" s="1"/>
  <c r="R5" i="20"/>
  <c r="S5" i="20" s="1"/>
  <c r="I73" i="20" l="1"/>
  <c r="J73" i="20" s="1"/>
  <c r="K73" i="20" s="1"/>
  <c r="L249" i="20"/>
  <c r="M249" i="20" s="1"/>
  <c r="N249" i="20" s="1"/>
  <c r="L245" i="20"/>
  <c r="M245" i="20" s="1"/>
  <c r="N245" i="20" s="1"/>
  <c r="L241" i="20"/>
  <c r="M241" i="20" s="1"/>
  <c r="N241" i="20" s="1"/>
  <c r="L237" i="20"/>
  <c r="M237" i="20" s="1"/>
  <c r="N237" i="20" s="1"/>
  <c r="L235" i="20"/>
  <c r="M235" i="20" s="1"/>
  <c r="N235" i="20" s="1"/>
  <c r="L250" i="20"/>
  <c r="M250" i="20" s="1"/>
  <c r="N250" i="20" s="1"/>
  <c r="L246" i="20"/>
  <c r="M246" i="20" s="1"/>
  <c r="N246" i="20" s="1"/>
  <c r="L242" i="20"/>
  <c r="M242" i="20" s="1"/>
  <c r="N242" i="20" s="1"/>
  <c r="L240" i="20"/>
  <c r="M240" i="20" s="1"/>
  <c r="N240" i="20" s="1"/>
  <c r="L236" i="20"/>
  <c r="M236" i="20" s="1"/>
  <c r="L251" i="20"/>
  <c r="M251" i="20" s="1"/>
  <c r="L247" i="20"/>
  <c r="M247" i="20" s="1"/>
  <c r="N247" i="20" s="1"/>
  <c r="L243" i="20"/>
  <c r="M243" i="20" s="1"/>
  <c r="N243" i="20" s="1"/>
  <c r="L239" i="20"/>
  <c r="M239" i="20" s="1"/>
  <c r="N239" i="20" s="1"/>
  <c r="L248" i="20"/>
  <c r="M248" i="20" s="1"/>
  <c r="N248" i="20" s="1"/>
  <c r="L244" i="20"/>
  <c r="M244" i="20" s="1"/>
  <c r="N244" i="20" s="1"/>
  <c r="L238" i="20"/>
  <c r="M238" i="20" s="1"/>
  <c r="N238" i="20" s="1"/>
  <c r="L234" i="20"/>
  <c r="M234" i="20" s="1"/>
  <c r="N234" i="20" s="1"/>
  <c r="L230" i="20"/>
  <c r="M230" i="20" s="1"/>
  <c r="N230" i="20" s="1"/>
  <c r="L226" i="20"/>
  <c r="M226" i="20" s="1"/>
  <c r="N226" i="20" s="1"/>
  <c r="L222" i="20"/>
  <c r="M222" i="20" s="1"/>
  <c r="N222" i="20" s="1"/>
  <c r="L220" i="20"/>
  <c r="M220" i="20" s="1"/>
  <c r="N220" i="20" s="1"/>
  <c r="L231" i="20"/>
  <c r="M231" i="20" s="1"/>
  <c r="N231" i="20" s="1"/>
  <c r="L227" i="20"/>
  <c r="M227" i="20" s="1"/>
  <c r="N227" i="20" s="1"/>
  <c r="L225" i="20"/>
  <c r="M225" i="20" s="1"/>
  <c r="N225" i="20" s="1"/>
  <c r="L221" i="20"/>
  <c r="M221" i="20" s="1"/>
  <c r="L217" i="20"/>
  <c r="M217" i="20" s="1"/>
  <c r="N217" i="20" s="1"/>
  <c r="L232" i="20"/>
  <c r="M232" i="20" s="1"/>
  <c r="N232" i="20" s="1"/>
  <c r="L228" i="20"/>
  <c r="M228" i="20" s="1"/>
  <c r="N228" i="20" s="1"/>
  <c r="L224" i="20"/>
  <c r="M224" i="20" s="1"/>
  <c r="N224" i="20" s="1"/>
  <c r="L218" i="20"/>
  <c r="M218" i="20" s="1"/>
  <c r="N218" i="20" s="1"/>
  <c r="L233" i="20"/>
  <c r="M233" i="20" s="1"/>
  <c r="N233" i="20" s="1"/>
  <c r="L229" i="20"/>
  <c r="M229" i="20" s="1"/>
  <c r="N229" i="20" s="1"/>
  <c r="L223" i="20"/>
  <c r="M223" i="20" s="1"/>
  <c r="N223" i="20" s="1"/>
  <c r="L219" i="20"/>
  <c r="M219" i="20" s="1"/>
  <c r="N219" i="20" s="1"/>
  <c r="L216" i="20"/>
  <c r="M216" i="20" s="1"/>
  <c r="N216" i="20" s="1"/>
  <c r="L215" i="20"/>
  <c r="M215" i="20" s="1"/>
  <c r="N215" i="20" s="1"/>
  <c r="L211" i="20"/>
  <c r="M211" i="20" s="1"/>
  <c r="N211" i="20" s="1"/>
  <c r="L207" i="20"/>
  <c r="M207" i="20" s="1"/>
  <c r="N207" i="20" s="1"/>
  <c r="L205" i="20"/>
  <c r="M205" i="20" s="1"/>
  <c r="N205" i="20" s="1"/>
  <c r="L201" i="20"/>
  <c r="M201" i="20" s="1"/>
  <c r="N201" i="20" s="1"/>
  <c r="L212" i="20"/>
  <c r="M212" i="20" s="1"/>
  <c r="N212" i="20" s="1"/>
  <c r="L210" i="20"/>
  <c r="M210" i="20" s="1"/>
  <c r="N210" i="20" s="1"/>
  <c r="L206" i="20"/>
  <c r="M206" i="20" s="1"/>
  <c r="L202" i="20"/>
  <c r="M202" i="20" s="1"/>
  <c r="N202" i="20" s="1"/>
  <c r="L198" i="20"/>
  <c r="M198" i="20" s="1"/>
  <c r="N198" i="20" s="1"/>
  <c r="L213" i="20"/>
  <c r="M213" i="20" s="1"/>
  <c r="N213" i="20" s="1"/>
  <c r="L209" i="20"/>
  <c r="M209" i="20" s="1"/>
  <c r="N209" i="20" s="1"/>
  <c r="L203" i="20"/>
  <c r="M203" i="20" s="1"/>
  <c r="N203" i="20" s="1"/>
  <c r="L199" i="20"/>
  <c r="M199" i="20" s="1"/>
  <c r="N199" i="20" s="1"/>
  <c r="L214" i="20"/>
  <c r="M214" i="20" s="1"/>
  <c r="N214" i="20" s="1"/>
  <c r="L208" i="20"/>
  <c r="M208" i="20" s="1"/>
  <c r="N208" i="20" s="1"/>
  <c r="L204" i="20"/>
  <c r="M204" i="20" s="1"/>
  <c r="N204" i="20" s="1"/>
  <c r="L200" i="20"/>
  <c r="M200" i="20" s="1"/>
  <c r="N200" i="20" s="1"/>
  <c r="L193" i="20"/>
  <c r="M193" i="20" s="1"/>
  <c r="N193" i="20" s="1"/>
  <c r="L189" i="20"/>
  <c r="M189" i="20" s="1"/>
  <c r="N189" i="20" s="1"/>
  <c r="L185" i="20"/>
  <c r="M185" i="20" s="1"/>
  <c r="N185" i="20" s="1"/>
  <c r="L181" i="20"/>
  <c r="M181" i="20" s="1"/>
  <c r="N181" i="20" s="1"/>
  <c r="L196" i="20"/>
  <c r="M196" i="20" s="1"/>
  <c r="N196" i="20" s="1"/>
  <c r="L192" i="20"/>
  <c r="M192" i="20" s="1"/>
  <c r="N192" i="20" s="1"/>
  <c r="L190" i="20"/>
  <c r="M190" i="20" s="1"/>
  <c r="N190" i="20" s="1"/>
  <c r="L186" i="20"/>
  <c r="M186" i="20" s="1"/>
  <c r="N186" i="20" s="1"/>
  <c r="L182" i="20"/>
  <c r="M182" i="20" s="1"/>
  <c r="N182" i="20" s="1"/>
  <c r="L180" i="20"/>
  <c r="M180" i="20" s="1"/>
  <c r="N180" i="20" s="1"/>
  <c r="L197" i="20"/>
  <c r="M197" i="20" s="1"/>
  <c r="N197" i="20" s="1"/>
  <c r="L195" i="20"/>
  <c r="M195" i="20" s="1"/>
  <c r="N195" i="20" s="1"/>
  <c r="L191" i="20"/>
  <c r="M191" i="20" s="1"/>
  <c r="L187" i="20"/>
  <c r="M187" i="20" s="1"/>
  <c r="N187" i="20" s="1"/>
  <c r="L183" i="20"/>
  <c r="M183" i="20" s="1"/>
  <c r="N183" i="20" s="1"/>
  <c r="L194" i="20"/>
  <c r="M194" i="20" s="1"/>
  <c r="N194" i="20" s="1"/>
  <c r="L188" i="20"/>
  <c r="M188" i="20" s="1"/>
  <c r="N188" i="20" s="1"/>
  <c r="L184" i="20"/>
  <c r="M184" i="20" s="1"/>
  <c r="N184" i="20" s="1"/>
  <c r="L179" i="20"/>
  <c r="M179" i="20" s="1"/>
  <c r="N179" i="20" s="1"/>
  <c r="L173" i="20"/>
  <c r="M173" i="20" s="1"/>
  <c r="N173" i="20" s="1"/>
  <c r="L169" i="20"/>
  <c r="M169" i="20" s="1"/>
  <c r="N169" i="20" s="1"/>
  <c r="L163" i="20"/>
  <c r="M163" i="20" s="1"/>
  <c r="N163" i="20" s="1"/>
  <c r="L159" i="20"/>
  <c r="M159" i="20" s="1"/>
  <c r="N159" i="20" s="1"/>
  <c r="L155" i="20"/>
  <c r="M155" i="20" s="1"/>
  <c r="N155" i="20" s="1"/>
  <c r="L151" i="20"/>
  <c r="M151" i="20" s="1"/>
  <c r="N151" i="20" s="1"/>
  <c r="L147" i="20"/>
  <c r="M147" i="20" s="1"/>
  <c r="N147" i="20" s="1"/>
  <c r="L145" i="20"/>
  <c r="M145" i="20" s="1"/>
  <c r="N145" i="20" s="1"/>
  <c r="L178" i="20"/>
  <c r="M178" i="20" s="1"/>
  <c r="N178" i="20" s="1"/>
  <c r="L174" i="20"/>
  <c r="M174" i="20" s="1"/>
  <c r="N174" i="20" s="1"/>
  <c r="L170" i="20"/>
  <c r="M170" i="20" s="1"/>
  <c r="N170" i="20" s="1"/>
  <c r="L166" i="20"/>
  <c r="M166" i="20" s="1"/>
  <c r="N166" i="20" s="1"/>
  <c r="L162" i="20"/>
  <c r="M162" i="20" s="1"/>
  <c r="N162" i="20" s="1"/>
  <c r="L160" i="20"/>
  <c r="M160" i="20" s="1"/>
  <c r="N160" i="20" s="1"/>
  <c r="L156" i="20"/>
  <c r="M156" i="20" s="1"/>
  <c r="N156" i="20" s="1"/>
  <c r="L152" i="20"/>
  <c r="M152" i="20" s="1"/>
  <c r="N152" i="20" s="1"/>
  <c r="L150" i="20"/>
  <c r="M150" i="20" s="1"/>
  <c r="N150" i="20" s="1"/>
  <c r="L146" i="20"/>
  <c r="M146" i="20" s="1"/>
  <c r="L177" i="20"/>
  <c r="M177" i="20" s="1"/>
  <c r="N177" i="20" s="1"/>
  <c r="L175" i="20"/>
  <c r="M175" i="20" s="1"/>
  <c r="N175" i="20" s="1"/>
  <c r="L171" i="20"/>
  <c r="M171" i="20" s="1"/>
  <c r="N171" i="20" s="1"/>
  <c r="L167" i="20"/>
  <c r="M167" i="20" s="1"/>
  <c r="N167" i="20" s="1"/>
  <c r="L165" i="20"/>
  <c r="M165" i="20" s="1"/>
  <c r="N165" i="20" s="1"/>
  <c r="L161" i="20"/>
  <c r="M161" i="20" s="1"/>
  <c r="L157" i="20"/>
  <c r="M157" i="20" s="1"/>
  <c r="N157" i="20" s="1"/>
  <c r="L153" i="20"/>
  <c r="M153" i="20" s="1"/>
  <c r="N153" i="20" s="1"/>
  <c r="L149" i="20"/>
  <c r="M149" i="20" s="1"/>
  <c r="N149" i="20" s="1"/>
  <c r="L176" i="20"/>
  <c r="M176" i="20" s="1"/>
  <c r="L172" i="20"/>
  <c r="M172" i="20" s="1"/>
  <c r="N172" i="20" s="1"/>
  <c r="L168" i="20"/>
  <c r="M168" i="20" s="1"/>
  <c r="N168" i="20" s="1"/>
  <c r="L164" i="20"/>
  <c r="M164" i="20" s="1"/>
  <c r="N164" i="20" s="1"/>
  <c r="L154" i="20"/>
  <c r="M154" i="20" s="1"/>
  <c r="N154" i="20" s="1"/>
  <c r="L143" i="20"/>
  <c r="M143" i="20" s="1"/>
  <c r="N143" i="20" s="1"/>
  <c r="L139" i="20"/>
  <c r="M139" i="20" s="1"/>
  <c r="N139" i="20" s="1"/>
  <c r="L133" i="20"/>
  <c r="M133" i="20" s="1"/>
  <c r="N133" i="20" s="1"/>
  <c r="L127" i="20"/>
  <c r="M127" i="20" s="1"/>
  <c r="N127" i="20" s="1"/>
  <c r="L123" i="20"/>
  <c r="M123" i="20" s="1"/>
  <c r="N123" i="20" s="1"/>
  <c r="L117" i="20"/>
  <c r="M117" i="20" s="1"/>
  <c r="N117" i="20" s="1"/>
  <c r="L113" i="20"/>
  <c r="M113" i="20" s="1"/>
  <c r="N113" i="20" s="1"/>
  <c r="L144" i="20"/>
  <c r="M144" i="20" s="1"/>
  <c r="N144" i="20" s="1"/>
  <c r="L140" i="20"/>
  <c r="M140" i="20" s="1"/>
  <c r="N140" i="20" s="1"/>
  <c r="L136" i="20"/>
  <c r="M136" i="20" s="1"/>
  <c r="N136" i="20" s="1"/>
  <c r="L132" i="20"/>
  <c r="M132" i="20" s="1"/>
  <c r="N132" i="20" s="1"/>
  <c r="L128" i="20"/>
  <c r="M128" i="20" s="1"/>
  <c r="N128" i="20" s="1"/>
  <c r="L124" i="20"/>
  <c r="M124" i="20" s="1"/>
  <c r="N124" i="20" s="1"/>
  <c r="L120" i="20"/>
  <c r="M120" i="20" s="1"/>
  <c r="N120" i="20" s="1"/>
  <c r="L116" i="20"/>
  <c r="M116" i="20" s="1"/>
  <c r="N116" i="20" s="1"/>
  <c r="L114" i="20"/>
  <c r="M114" i="20" s="1"/>
  <c r="N114" i="20" s="1"/>
  <c r="L158" i="20"/>
  <c r="M158" i="20" s="1"/>
  <c r="N158" i="20" s="1"/>
  <c r="L148" i="20"/>
  <c r="M148" i="20" s="1"/>
  <c r="N148" i="20" s="1"/>
  <c r="L141" i="20"/>
  <c r="M141" i="20" s="1"/>
  <c r="N141" i="20" s="1"/>
  <c r="L137" i="20"/>
  <c r="M137" i="20" s="1"/>
  <c r="N137" i="20" s="1"/>
  <c r="L135" i="20"/>
  <c r="M135" i="20" s="1"/>
  <c r="N135" i="20" s="1"/>
  <c r="L131" i="20"/>
  <c r="M131" i="20" s="1"/>
  <c r="L129" i="20"/>
  <c r="M129" i="20" s="1"/>
  <c r="N129" i="20" s="1"/>
  <c r="L125" i="20"/>
  <c r="M125" i="20" s="1"/>
  <c r="N125" i="20" s="1"/>
  <c r="L121" i="20"/>
  <c r="M121" i="20" s="1"/>
  <c r="N121" i="20" s="1"/>
  <c r="L119" i="20"/>
  <c r="M119" i="20" s="1"/>
  <c r="N119" i="20" s="1"/>
  <c r="L115" i="20"/>
  <c r="M115" i="20" s="1"/>
  <c r="L130" i="20"/>
  <c r="M130" i="20" s="1"/>
  <c r="N130" i="20" s="1"/>
  <c r="L122" i="20"/>
  <c r="M122" i="20" s="1"/>
  <c r="N122" i="20" s="1"/>
  <c r="L110" i="20"/>
  <c r="M110" i="20" s="1"/>
  <c r="N110" i="20" s="1"/>
  <c r="L106" i="20"/>
  <c r="M106" i="20" s="1"/>
  <c r="N106" i="20" s="1"/>
  <c r="L104" i="20"/>
  <c r="M104" i="20" s="1"/>
  <c r="N104" i="20" s="1"/>
  <c r="L100" i="20"/>
  <c r="M100" i="20" s="1"/>
  <c r="L96" i="20"/>
  <c r="M96" i="20" s="1"/>
  <c r="N96" i="20" s="1"/>
  <c r="L92" i="20"/>
  <c r="M92" i="20" s="1"/>
  <c r="N92" i="20" s="1"/>
  <c r="L88" i="20"/>
  <c r="M88" i="20" s="1"/>
  <c r="N88" i="20" s="1"/>
  <c r="L82" i="20"/>
  <c r="M82" i="20" s="1"/>
  <c r="N82" i="20" s="1"/>
  <c r="L78" i="20"/>
  <c r="M78" i="20" s="1"/>
  <c r="N78" i="20" s="1"/>
  <c r="L138" i="20"/>
  <c r="M138" i="20" s="1"/>
  <c r="N138" i="20" s="1"/>
  <c r="L112" i="20"/>
  <c r="M112" i="20" s="1"/>
  <c r="N112" i="20" s="1"/>
  <c r="L111" i="20"/>
  <c r="M111" i="20" s="1"/>
  <c r="N111" i="20" s="1"/>
  <c r="L107" i="20"/>
  <c r="M107" i="20" s="1"/>
  <c r="N107" i="20" s="1"/>
  <c r="L103" i="20"/>
  <c r="M103" i="20" s="1"/>
  <c r="N103" i="20" s="1"/>
  <c r="L97" i="20"/>
  <c r="M97" i="20" s="1"/>
  <c r="N97" i="20" s="1"/>
  <c r="L93" i="20"/>
  <c r="M93" i="20" s="1"/>
  <c r="N93" i="20" s="1"/>
  <c r="L87" i="20"/>
  <c r="M87" i="20" s="1"/>
  <c r="N87" i="20" s="1"/>
  <c r="L83" i="20"/>
  <c r="M83" i="20" s="1"/>
  <c r="N83" i="20" s="1"/>
  <c r="L79" i="20"/>
  <c r="M79" i="20" s="1"/>
  <c r="N79" i="20" s="1"/>
  <c r="L75" i="20"/>
  <c r="M75" i="20" s="1"/>
  <c r="N75" i="20" s="1"/>
  <c r="L134" i="20"/>
  <c r="M134" i="20" s="1"/>
  <c r="N134" i="20" s="1"/>
  <c r="L126" i="20"/>
  <c r="M126" i="20" s="1"/>
  <c r="N126" i="20" s="1"/>
  <c r="L108" i="20"/>
  <c r="M108" i="20" s="1"/>
  <c r="N108" i="20" s="1"/>
  <c r="L102" i="20"/>
  <c r="M102" i="20" s="1"/>
  <c r="N102" i="20" s="1"/>
  <c r="L98" i="20"/>
  <c r="M98" i="20" s="1"/>
  <c r="N98" i="20" s="1"/>
  <c r="L94" i="20"/>
  <c r="M94" i="20" s="1"/>
  <c r="N94" i="20" s="1"/>
  <c r="L90" i="20"/>
  <c r="M90" i="20" s="1"/>
  <c r="N90" i="20" s="1"/>
  <c r="L86" i="20"/>
  <c r="M86" i="20" s="1"/>
  <c r="N86" i="20" s="1"/>
  <c r="L84" i="20"/>
  <c r="M84" i="20" s="1"/>
  <c r="N84" i="20" s="1"/>
  <c r="L80" i="20"/>
  <c r="M80" i="20" s="1"/>
  <c r="N80" i="20" s="1"/>
  <c r="L76" i="20"/>
  <c r="M76" i="20" s="1"/>
  <c r="N76" i="20" s="1"/>
  <c r="L74" i="20"/>
  <c r="M74" i="20" s="1"/>
  <c r="N74" i="20" s="1"/>
  <c r="L142" i="20"/>
  <c r="M142" i="20" s="1"/>
  <c r="N142" i="20" s="1"/>
  <c r="L118" i="20"/>
  <c r="M118" i="20" s="1"/>
  <c r="N118" i="20" s="1"/>
  <c r="L109" i="20"/>
  <c r="M109" i="20" s="1"/>
  <c r="N109" i="20" s="1"/>
  <c r="L105" i="20"/>
  <c r="M105" i="20" s="1"/>
  <c r="N105" i="20" s="1"/>
  <c r="L101" i="20"/>
  <c r="M101" i="20" s="1"/>
  <c r="N101" i="20" s="1"/>
  <c r="L99" i="20"/>
  <c r="M99" i="20" s="1"/>
  <c r="N99" i="20" s="1"/>
  <c r="L95" i="20"/>
  <c r="M95" i="20" s="1"/>
  <c r="N95" i="20" s="1"/>
  <c r="L91" i="20"/>
  <c r="M91" i="20" s="1"/>
  <c r="N91" i="20" s="1"/>
  <c r="L89" i="20"/>
  <c r="M89" i="20" s="1"/>
  <c r="N89" i="20" s="1"/>
  <c r="L85" i="20"/>
  <c r="M85" i="20" s="1"/>
  <c r="L73" i="20"/>
  <c r="M73" i="20" s="1"/>
  <c r="N73" i="20" s="1"/>
  <c r="L67" i="20"/>
  <c r="M67" i="20" s="1"/>
  <c r="N67" i="20" s="1"/>
  <c r="L63" i="20"/>
  <c r="M63" i="20" s="1"/>
  <c r="N63" i="20" s="1"/>
  <c r="L57" i="20"/>
  <c r="M57" i="20" s="1"/>
  <c r="N57" i="20" s="1"/>
  <c r="L53" i="20"/>
  <c r="M53" i="20" s="1"/>
  <c r="N53" i="20" s="1"/>
  <c r="L49" i="20"/>
  <c r="M49" i="20" s="1"/>
  <c r="N49" i="20" s="1"/>
  <c r="L45" i="20"/>
  <c r="M45" i="20" s="1"/>
  <c r="N45" i="20" s="1"/>
  <c r="L41" i="20"/>
  <c r="M41" i="20" s="1"/>
  <c r="N41" i="20" s="1"/>
  <c r="L39" i="20"/>
  <c r="M39" i="20" s="1"/>
  <c r="N39" i="20" s="1"/>
  <c r="L35" i="20"/>
  <c r="M35" i="20" s="1"/>
  <c r="N35" i="20" s="1"/>
  <c r="L31" i="20"/>
  <c r="M31" i="20" s="1"/>
  <c r="N31" i="20" s="1"/>
  <c r="L29" i="20"/>
  <c r="M29" i="20" s="1"/>
  <c r="N29" i="20" s="1"/>
  <c r="L25" i="20"/>
  <c r="M25" i="20" s="1"/>
  <c r="L21" i="20"/>
  <c r="M21" i="20" s="1"/>
  <c r="N21" i="20" s="1"/>
  <c r="L17" i="20"/>
  <c r="M17" i="20" s="1"/>
  <c r="N17" i="20" s="1"/>
  <c r="L13" i="20"/>
  <c r="M13" i="20" s="1"/>
  <c r="N13" i="20" s="1"/>
  <c r="L77" i="20"/>
  <c r="M77" i="20" s="1"/>
  <c r="N77" i="20" s="1"/>
  <c r="L72" i="20"/>
  <c r="M72" i="20" s="1"/>
  <c r="N72" i="20" s="1"/>
  <c r="L68" i="20"/>
  <c r="M68" i="20" s="1"/>
  <c r="N68" i="20" s="1"/>
  <c r="L64" i="20"/>
  <c r="M64" i="20" s="1"/>
  <c r="N64" i="20" s="1"/>
  <c r="L60" i="20"/>
  <c r="M60" i="20" s="1"/>
  <c r="N60" i="20" s="1"/>
  <c r="L56" i="20"/>
  <c r="M56" i="20" s="1"/>
  <c r="N56" i="20" s="1"/>
  <c r="L54" i="20"/>
  <c r="M54" i="20" s="1"/>
  <c r="N54" i="20" s="1"/>
  <c r="L50" i="20"/>
  <c r="M50" i="20" s="1"/>
  <c r="N50" i="20" s="1"/>
  <c r="L46" i="20"/>
  <c r="M46" i="20" s="1"/>
  <c r="N46" i="20" s="1"/>
  <c r="L44" i="20"/>
  <c r="M44" i="20" s="1"/>
  <c r="N44" i="20" s="1"/>
  <c r="L40" i="20"/>
  <c r="M40" i="20" s="1"/>
  <c r="L36" i="20"/>
  <c r="M36" i="20" s="1"/>
  <c r="N36" i="20" s="1"/>
  <c r="L32" i="20"/>
  <c r="M32" i="20" s="1"/>
  <c r="N32" i="20" s="1"/>
  <c r="L28" i="20"/>
  <c r="M28" i="20" s="1"/>
  <c r="N28" i="20" s="1"/>
  <c r="L22" i="20"/>
  <c r="M22" i="20" s="1"/>
  <c r="N22" i="20" s="1"/>
  <c r="L18" i="20"/>
  <c r="M18" i="20" s="1"/>
  <c r="N18" i="20" s="1"/>
  <c r="L12" i="20"/>
  <c r="M12" i="20" s="1"/>
  <c r="N12" i="20" s="1"/>
  <c r="L71" i="20"/>
  <c r="M71" i="20" s="1"/>
  <c r="N71" i="20" s="1"/>
  <c r="L69" i="20"/>
  <c r="M69" i="20" s="1"/>
  <c r="N69" i="20" s="1"/>
  <c r="L65" i="20"/>
  <c r="M65" i="20" s="1"/>
  <c r="N65" i="20" s="1"/>
  <c r="L61" i="20"/>
  <c r="M61" i="20" s="1"/>
  <c r="N61" i="20" s="1"/>
  <c r="L59" i="20"/>
  <c r="M59" i="20" s="1"/>
  <c r="N59" i="20" s="1"/>
  <c r="L55" i="20"/>
  <c r="M55" i="20" s="1"/>
  <c r="L51" i="20"/>
  <c r="M51" i="20" s="1"/>
  <c r="N51" i="20" s="1"/>
  <c r="L47" i="20"/>
  <c r="M47" i="20" s="1"/>
  <c r="N47" i="20" s="1"/>
  <c r="L43" i="20"/>
  <c r="M43" i="20" s="1"/>
  <c r="N43" i="20" s="1"/>
  <c r="L37" i="20"/>
  <c r="M37" i="20" s="1"/>
  <c r="N37" i="20" s="1"/>
  <c r="L33" i="20"/>
  <c r="M33" i="20" s="1"/>
  <c r="N33" i="20" s="1"/>
  <c r="L27" i="20"/>
  <c r="M27" i="20" s="1"/>
  <c r="N27" i="20" s="1"/>
  <c r="L23" i="20"/>
  <c r="M23" i="20" s="1"/>
  <c r="N23" i="20" s="1"/>
  <c r="L19" i="20"/>
  <c r="M19" i="20" s="1"/>
  <c r="N19" i="20" s="1"/>
  <c r="L15" i="20"/>
  <c r="M15" i="20" s="1"/>
  <c r="N15" i="20" s="1"/>
  <c r="L11" i="20"/>
  <c r="M11" i="20" s="1"/>
  <c r="N11" i="20" s="1"/>
  <c r="L81" i="20"/>
  <c r="M81" i="20" s="1"/>
  <c r="N81" i="20" s="1"/>
  <c r="L70" i="20"/>
  <c r="M70" i="20" s="1"/>
  <c r="L66" i="20"/>
  <c r="M66" i="20" s="1"/>
  <c r="N66" i="20" s="1"/>
  <c r="L62" i="20"/>
  <c r="M62" i="20" s="1"/>
  <c r="N62" i="20" s="1"/>
  <c r="L58" i="20"/>
  <c r="M58" i="20" s="1"/>
  <c r="N58" i="20" s="1"/>
  <c r="L52" i="20"/>
  <c r="M52" i="20" s="1"/>
  <c r="N52" i="20" s="1"/>
  <c r="L48" i="20"/>
  <c r="M48" i="20" s="1"/>
  <c r="N48" i="20" s="1"/>
  <c r="L42" i="20"/>
  <c r="M42" i="20" s="1"/>
  <c r="N42" i="20" s="1"/>
  <c r="L38" i="20"/>
  <c r="M38" i="20" s="1"/>
  <c r="N38" i="20" s="1"/>
  <c r="L34" i="20"/>
  <c r="M34" i="20" s="1"/>
  <c r="N34" i="20" s="1"/>
  <c r="L30" i="20"/>
  <c r="M30" i="20" s="1"/>
  <c r="N30" i="20" s="1"/>
  <c r="L26" i="20"/>
  <c r="M26" i="20" s="1"/>
  <c r="N26" i="20" s="1"/>
  <c r="L24" i="20"/>
  <c r="M24" i="20" s="1"/>
  <c r="N24" i="20" s="1"/>
  <c r="L20" i="20"/>
  <c r="M20" i="20" s="1"/>
  <c r="N20" i="20" s="1"/>
  <c r="L16" i="20"/>
  <c r="M16" i="20" s="1"/>
  <c r="N16" i="20" s="1"/>
  <c r="L14" i="20"/>
  <c r="M14" i="20" s="1"/>
  <c r="N14" i="20" s="1"/>
  <c r="L10" i="20"/>
  <c r="M10" i="20" s="1"/>
  <c r="R251" i="20"/>
  <c r="S251" i="20" s="1"/>
  <c r="T251" i="20" s="1"/>
  <c r="R247" i="20"/>
  <c r="S247" i="20" s="1"/>
  <c r="T247" i="20" s="1"/>
  <c r="R243" i="20"/>
  <c r="S243" i="20" s="1"/>
  <c r="T243" i="20" s="1"/>
  <c r="R239" i="20"/>
  <c r="S239" i="20" s="1"/>
  <c r="T239" i="20" s="1"/>
  <c r="R248" i="20"/>
  <c r="S248" i="20" s="1"/>
  <c r="T248" i="20" s="1"/>
  <c r="R244" i="20"/>
  <c r="S244" i="20" s="1"/>
  <c r="T244" i="20" s="1"/>
  <c r="R238" i="20"/>
  <c r="S238" i="20" s="1"/>
  <c r="T238" i="20" s="1"/>
  <c r="R234" i="20"/>
  <c r="S234" i="20" s="1"/>
  <c r="T234" i="20" s="1"/>
  <c r="R249" i="20"/>
  <c r="S249" i="20" s="1"/>
  <c r="T249" i="20" s="1"/>
  <c r="R245" i="20"/>
  <c r="S245" i="20" s="1"/>
  <c r="T245" i="20" s="1"/>
  <c r="R241" i="20"/>
  <c r="S241" i="20" s="1"/>
  <c r="T241" i="20" s="1"/>
  <c r="R237" i="20"/>
  <c r="S237" i="20" s="1"/>
  <c r="T237" i="20" s="1"/>
  <c r="R235" i="20"/>
  <c r="S235" i="20" s="1"/>
  <c r="T235" i="20" s="1"/>
  <c r="R250" i="20"/>
  <c r="S250" i="20" s="1"/>
  <c r="T250" i="20" s="1"/>
  <c r="R246" i="20"/>
  <c r="S246" i="20" s="1"/>
  <c r="T246" i="20" s="1"/>
  <c r="R242" i="20"/>
  <c r="S242" i="20" s="1"/>
  <c r="T242" i="20" s="1"/>
  <c r="R240" i="20"/>
  <c r="S240" i="20" s="1"/>
  <c r="T240" i="20" s="1"/>
  <c r="R236" i="20"/>
  <c r="S236" i="20" s="1"/>
  <c r="T236" i="20" s="1"/>
  <c r="R232" i="20"/>
  <c r="S232" i="20" s="1"/>
  <c r="T232" i="20" s="1"/>
  <c r="R228" i="20"/>
  <c r="S228" i="20" s="1"/>
  <c r="T228" i="20" s="1"/>
  <c r="R224" i="20"/>
  <c r="S224" i="20" s="1"/>
  <c r="T224" i="20" s="1"/>
  <c r="R218" i="20"/>
  <c r="S218" i="20" s="1"/>
  <c r="T218" i="20" s="1"/>
  <c r="R233" i="20"/>
  <c r="S233" i="20" s="1"/>
  <c r="T233" i="20" s="1"/>
  <c r="R229" i="20"/>
  <c r="S229" i="20" s="1"/>
  <c r="T229" i="20" s="1"/>
  <c r="R223" i="20"/>
  <c r="S223" i="20" s="1"/>
  <c r="T223" i="20" s="1"/>
  <c r="R219" i="20"/>
  <c r="S219" i="20" s="1"/>
  <c r="T219" i="20" s="1"/>
  <c r="R230" i="20"/>
  <c r="S230" i="20" s="1"/>
  <c r="T230" i="20" s="1"/>
  <c r="R226" i="20"/>
  <c r="S226" i="20" s="1"/>
  <c r="T226" i="20" s="1"/>
  <c r="R222" i="20"/>
  <c r="S222" i="20" s="1"/>
  <c r="T222" i="20" s="1"/>
  <c r="R220" i="20"/>
  <c r="S220" i="20" s="1"/>
  <c r="T220" i="20" s="1"/>
  <c r="R216" i="20"/>
  <c r="S216" i="20" s="1"/>
  <c r="T216" i="20" s="1"/>
  <c r="R231" i="20"/>
  <c r="S231" i="20" s="1"/>
  <c r="T231" i="20" s="1"/>
  <c r="R227" i="20"/>
  <c r="S227" i="20" s="1"/>
  <c r="T227" i="20" s="1"/>
  <c r="R225" i="20"/>
  <c r="S225" i="20" s="1"/>
  <c r="T225" i="20" s="1"/>
  <c r="R221" i="20"/>
  <c r="S221" i="20" s="1"/>
  <c r="T221" i="20" s="1"/>
  <c r="R217" i="20"/>
  <c r="S217" i="20" s="1"/>
  <c r="T217" i="20" s="1"/>
  <c r="R213" i="20"/>
  <c r="S213" i="20" s="1"/>
  <c r="T213" i="20" s="1"/>
  <c r="R209" i="20"/>
  <c r="S209" i="20" s="1"/>
  <c r="T209" i="20" s="1"/>
  <c r="R203" i="20"/>
  <c r="S203" i="20" s="1"/>
  <c r="T203" i="20" s="1"/>
  <c r="R199" i="20"/>
  <c r="S199" i="20" s="1"/>
  <c r="T199" i="20" s="1"/>
  <c r="R214" i="20"/>
  <c r="S214" i="20" s="1"/>
  <c r="T214" i="20" s="1"/>
  <c r="R208" i="20"/>
  <c r="S208" i="20" s="1"/>
  <c r="T208" i="20" s="1"/>
  <c r="R204" i="20"/>
  <c r="S204" i="20" s="1"/>
  <c r="T204" i="20" s="1"/>
  <c r="R200" i="20"/>
  <c r="S200" i="20" s="1"/>
  <c r="T200" i="20" s="1"/>
  <c r="R215" i="20"/>
  <c r="S215" i="20" s="1"/>
  <c r="T215" i="20" s="1"/>
  <c r="R211" i="20"/>
  <c r="S211" i="20" s="1"/>
  <c r="T211" i="20" s="1"/>
  <c r="R207" i="20"/>
  <c r="S207" i="20" s="1"/>
  <c r="T207" i="20" s="1"/>
  <c r="R205" i="20"/>
  <c r="S205" i="20" s="1"/>
  <c r="T205" i="20" s="1"/>
  <c r="R201" i="20"/>
  <c r="S201" i="20" s="1"/>
  <c r="T201" i="20" s="1"/>
  <c r="R212" i="20"/>
  <c r="S212" i="20" s="1"/>
  <c r="T212" i="20" s="1"/>
  <c r="R210" i="20"/>
  <c r="S210" i="20" s="1"/>
  <c r="T210" i="20" s="1"/>
  <c r="R206" i="20"/>
  <c r="S206" i="20" s="1"/>
  <c r="T206" i="20" s="1"/>
  <c r="R202" i="20"/>
  <c r="S202" i="20" s="1"/>
  <c r="T202" i="20" s="1"/>
  <c r="R198" i="20"/>
  <c r="S198" i="20" s="1"/>
  <c r="T198" i="20" s="1"/>
  <c r="R197" i="20"/>
  <c r="S197" i="20" s="1"/>
  <c r="T197" i="20" s="1"/>
  <c r="R195" i="20"/>
  <c r="S195" i="20" s="1"/>
  <c r="T195" i="20" s="1"/>
  <c r="R191" i="20"/>
  <c r="S191" i="20" s="1"/>
  <c r="T191" i="20" s="1"/>
  <c r="R187" i="20"/>
  <c r="S187" i="20" s="1"/>
  <c r="T187" i="20" s="1"/>
  <c r="R183" i="20"/>
  <c r="S183" i="20" s="1"/>
  <c r="T183" i="20" s="1"/>
  <c r="R194" i="20"/>
  <c r="S194" i="20" s="1"/>
  <c r="T194" i="20" s="1"/>
  <c r="R188" i="20"/>
  <c r="S188" i="20" s="1"/>
  <c r="T188" i="20" s="1"/>
  <c r="R184" i="20"/>
  <c r="S184" i="20" s="1"/>
  <c r="T184" i="20" s="1"/>
  <c r="R193" i="20"/>
  <c r="S193" i="20" s="1"/>
  <c r="T193" i="20" s="1"/>
  <c r="R189" i="20"/>
  <c r="S189" i="20" s="1"/>
  <c r="T189" i="20" s="1"/>
  <c r="R185" i="20"/>
  <c r="S185" i="20" s="1"/>
  <c r="T185" i="20" s="1"/>
  <c r="R181" i="20"/>
  <c r="S181" i="20" s="1"/>
  <c r="T181" i="20" s="1"/>
  <c r="R196" i="20"/>
  <c r="S196" i="20" s="1"/>
  <c r="T196" i="20" s="1"/>
  <c r="R192" i="20"/>
  <c r="S192" i="20" s="1"/>
  <c r="T192" i="20" s="1"/>
  <c r="R190" i="20"/>
  <c r="S190" i="20" s="1"/>
  <c r="T190" i="20" s="1"/>
  <c r="R186" i="20"/>
  <c r="S186" i="20" s="1"/>
  <c r="T186" i="20" s="1"/>
  <c r="R182" i="20"/>
  <c r="S182" i="20" s="1"/>
  <c r="T182" i="20" s="1"/>
  <c r="R180" i="20"/>
  <c r="S180" i="20" s="1"/>
  <c r="T180" i="20" s="1"/>
  <c r="R177" i="20"/>
  <c r="S177" i="20" s="1"/>
  <c r="T177" i="20" s="1"/>
  <c r="R175" i="20"/>
  <c r="S175" i="20" s="1"/>
  <c r="T175" i="20" s="1"/>
  <c r="R171" i="20"/>
  <c r="S171" i="20" s="1"/>
  <c r="T171" i="20" s="1"/>
  <c r="R167" i="20"/>
  <c r="S167" i="20" s="1"/>
  <c r="T167" i="20" s="1"/>
  <c r="R165" i="20"/>
  <c r="S165" i="20" s="1"/>
  <c r="T165" i="20" s="1"/>
  <c r="R161" i="20"/>
  <c r="S161" i="20" s="1"/>
  <c r="T161" i="20" s="1"/>
  <c r="R157" i="20"/>
  <c r="S157" i="20" s="1"/>
  <c r="T157" i="20" s="1"/>
  <c r="R153" i="20"/>
  <c r="S153" i="20" s="1"/>
  <c r="T153" i="20" s="1"/>
  <c r="R149" i="20"/>
  <c r="S149" i="20" s="1"/>
  <c r="T149" i="20" s="1"/>
  <c r="R176" i="20"/>
  <c r="S176" i="20" s="1"/>
  <c r="T176" i="20" s="1"/>
  <c r="R172" i="20"/>
  <c r="S172" i="20" s="1"/>
  <c r="T172" i="20" s="1"/>
  <c r="R168" i="20"/>
  <c r="S168" i="20" s="1"/>
  <c r="T168" i="20" s="1"/>
  <c r="R164" i="20"/>
  <c r="S164" i="20" s="1"/>
  <c r="T164" i="20" s="1"/>
  <c r="R158" i="20"/>
  <c r="S158" i="20" s="1"/>
  <c r="T158" i="20" s="1"/>
  <c r="R154" i="20"/>
  <c r="S154" i="20" s="1"/>
  <c r="T154" i="20" s="1"/>
  <c r="R148" i="20"/>
  <c r="S148" i="20" s="1"/>
  <c r="T148" i="20" s="1"/>
  <c r="R144" i="20"/>
  <c r="S144" i="20" s="1"/>
  <c r="T144" i="20" s="1"/>
  <c r="R179" i="20"/>
  <c r="S179" i="20" s="1"/>
  <c r="T179" i="20" s="1"/>
  <c r="R173" i="20"/>
  <c r="S173" i="20" s="1"/>
  <c r="T173" i="20" s="1"/>
  <c r="R169" i="20"/>
  <c r="S169" i="20" s="1"/>
  <c r="T169" i="20" s="1"/>
  <c r="R163" i="20"/>
  <c r="S163" i="20" s="1"/>
  <c r="T163" i="20" s="1"/>
  <c r="R159" i="20"/>
  <c r="S159" i="20" s="1"/>
  <c r="T159" i="20" s="1"/>
  <c r="R155" i="20"/>
  <c r="S155" i="20" s="1"/>
  <c r="T155" i="20" s="1"/>
  <c r="R151" i="20"/>
  <c r="S151" i="20" s="1"/>
  <c r="T151" i="20" s="1"/>
  <c r="R147" i="20"/>
  <c r="S147" i="20" s="1"/>
  <c r="T147" i="20" s="1"/>
  <c r="R145" i="20"/>
  <c r="S145" i="20" s="1"/>
  <c r="T145" i="20" s="1"/>
  <c r="R178" i="20"/>
  <c r="S178" i="20" s="1"/>
  <c r="T178" i="20" s="1"/>
  <c r="R174" i="20"/>
  <c r="S174" i="20" s="1"/>
  <c r="T174" i="20" s="1"/>
  <c r="R170" i="20"/>
  <c r="S170" i="20" s="1"/>
  <c r="T170" i="20" s="1"/>
  <c r="R166" i="20"/>
  <c r="S166" i="20" s="1"/>
  <c r="T166" i="20" s="1"/>
  <c r="R162" i="20"/>
  <c r="S162" i="20" s="1"/>
  <c r="T162" i="20" s="1"/>
  <c r="R160" i="20"/>
  <c r="S160" i="20" s="1"/>
  <c r="T160" i="20" s="1"/>
  <c r="R156" i="20"/>
  <c r="S156" i="20" s="1"/>
  <c r="T156" i="20" s="1"/>
  <c r="R141" i="20"/>
  <c r="S141" i="20" s="1"/>
  <c r="T141" i="20" s="1"/>
  <c r="R137" i="20"/>
  <c r="S137" i="20" s="1"/>
  <c r="T137" i="20" s="1"/>
  <c r="R135" i="20"/>
  <c r="S135" i="20" s="1"/>
  <c r="T135" i="20" s="1"/>
  <c r="R131" i="20"/>
  <c r="S131" i="20" s="1"/>
  <c r="T131" i="20" s="1"/>
  <c r="R129" i="20"/>
  <c r="S129" i="20" s="1"/>
  <c r="T129" i="20" s="1"/>
  <c r="R125" i="20"/>
  <c r="S125" i="20" s="1"/>
  <c r="T125" i="20" s="1"/>
  <c r="R121" i="20"/>
  <c r="S121" i="20" s="1"/>
  <c r="T121" i="20" s="1"/>
  <c r="R119" i="20"/>
  <c r="S119" i="20" s="1"/>
  <c r="T119" i="20" s="1"/>
  <c r="R115" i="20"/>
  <c r="S115" i="20" s="1"/>
  <c r="T115" i="20" s="1"/>
  <c r="R111" i="20"/>
  <c r="S111" i="20" s="1"/>
  <c r="T111" i="20" s="1"/>
  <c r="R150" i="20"/>
  <c r="S150" i="20" s="1"/>
  <c r="T150" i="20" s="1"/>
  <c r="R146" i="20"/>
  <c r="S146" i="20" s="1"/>
  <c r="T146" i="20" s="1"/>
  <c r="R142" i="20"/>
  <c r="S142" i="20" s="1"/>
  <c r="T142" i="20" s="1"/>
  <c r="R138" i="20"/>
  <c r="S138" i="20" s="1"/>
  <c r="T138" i="20" s="1"/>
  <c r="R134" i="20"/>
  <c r="S134" i="20" s="1"/>
  <c r="T134" i="20" s="1"/>
  <c r="R130" i="20"/>
  <c r="S130" i="20" s="1"/>
  <c r="T130" i="20" s="1"/>
  <c r="R126" i="20"/>
  <c r="S126" i="20" s="1"/>
  <c r="T126" i="20" s="1"/>
  <c r="R122" i="20"/>
  <c r="S122" i="20" s="1"/>
  <c r="T122" i="20" s="1"/>
  <c r="R118" i="20"/>
  <c r="S118" i="20" s="1"/>
  <c r="T118" i="20" s="1"/>
  <c r="R112" i="20"/>
  <c r="S112" i="20" s="1"/>
  <c r="T112" i="20" s="1"/>
  <c r="R152" i="20"/>
  <c r="S152" i="20" s="1"/>
  <c r="T152" i="20" s="1"/>
  <c r="R143" i="20"/>
  <c r="S143" i="20" s="1"/>
  <c r="T143" i="20" s="1"/>
  <c r="R139" i="20"/>
  <c r="S139" i="20" s="1"/>
  <c r="T139" i="20" s="1"/>
  <c r="R133" i="20"/>
  <c r="S133" i="20" s="1"/>
  <c r="T133" i="20" s="1"/>
  <c r="R127" i="20"/>
  <c r="S127" i="20" s="1"/>
  <c r="T127" i="20" s="1"/>
  <c r="R123" i="20"/>
  <c r="S123" i="20" s="1"/>
  <c r="T123" i="20" s="1"/>
  <c r="R117" i="20"/>
  <c r="S117" i="20" s="1"/>
  <c r="T117" i="20" s="1"/>
  <c r="R113" i="20"/>
  <c r="S113" i="20" s="1"/>
  <c r="T113" i="20" s="1"/>
  <c r="R124" i="20"/>
  <c r="S124" i="20" s="1"/>
  <c r="T124" i="20" s="1"/>
  <c r="R108" i="20"/>
  <c r="S108" i="20" s="1"/>
  <c r="T108" i="20" s="1"/>
  <c r="R102" i="20"/>
  <c r="S102" i="20" s="1"/>
  <c r="T102" i="20" s="1"/>
  <c r="R98" i="20"/>
  <c r="S98" i="20" s="1"/>
  <c r="T98" i="20" s="1"/>
  <c r="R94" i="20"/>
  <c r="S94" i="20" s="1"/>
  <c r="T94" i="20" s="1"/>
  <c r="R90" i="20"/>
  <c r="S90" i="20" s="1"/>
  <c r="T90" i="20" s="1"/>
  <c r="R86" i="20"/>
  <c r="S86" i="20" s="1"/>
  <c r="T86" i="20" s="1"/>
  <c r="R84" i="20"/>
  <c r="S84" i="20" s="1"/>
  <c r="T84" i="20" s="1"/>
  <c r="R80" i="20"/>
  <c r="S80" i="20" s="1"/>
  <c r="T80" i="20" s="1"/>
  <c r="R76" i="20"/>
  <c r="S76" i="20" s="1"/>
  <c r="T76" i="20" s="1"/>
  <c r="R74" i="20"/>
  <c r="S74" i="20" s="1"/>
  <c r="T74" i="20" s="1"/>
  <c r="R140" i="20"/>
  <c r="S140" i="20" s="1"/>
  <c r="T140" i="20" s="1"/>
  <c r="R114" i="20"/>
  <c r="S114" i="20" s="1"/>
  <c r="T114" i="20" s="1"/>
  <c r="R109" i="20"/>
  <c r="S109" i="20" s="1"/>
  <c r="T109" i="20" s="1"/>
  <c r="R105" i="20"/>
  <c r="S105" i="20" s="1"/>
  <c r="T105" i="20" s="1"/>
  <c r="R101" i="20"/>
  <c r="S101" i="20" s="1"/>
  <c r="T101" i="20" s="1"/>
  <c r="R99" i="20"/>
  <c r="S99" i="20" s="1"/>
  <c r="T99" i="20" s="1"/>
  <c r="R95" i="20"/>
  <c r="S95" i="20" s="1"/>
  <c r="T95" i="20" s="1"/>
  <c r="R91" i="20"/>
  <c r="S91" i="20" s="1"/>
  <c r="T91" i="20" s="1"/>
  <c r="R89" i="20"/>
  <c r="S89" i="20" s="1"/>
  <c r="T89" i="20" s="1"/>
  <c r="R85" i="20"/>
  <c r="S85" i="20" s="1"/>
  <c r="T85" i="20" s="1"/>
  <c r="R81" i="20"/>
  <c r="S81" i="20" s="1"/>
  <c r="T81" i="20" s="1"/>
  <c r="R77" i="20"/>
  <c r="S77" i="20" s="1"/>
  <c r="T77" i="20" s="1"/>
  <c r="R73" i="20"/>
  <c r="S73" i="20" s="1"/>
  <c r="T73" i="20" s="1"/>
  <c r="R132" i="20"/>
  <c r="S132" i="20" s="1"/>
  <c r="T132" i="20" s="1"/>
  <c r="R128" i="20"/>
  <c r="S128" i="20" s="1"/>
  <c r="T128" i="20" s="1"/>
  <c r="R120" i="20"/>
  <c r="S120" i="20" s="1"/>
  <c r="T120" i="20" s="1"/>
  <c r="R116" i="20"/>
  <c r="S116" i="20" s="1"/>
  <c r="T116" i="20" s="1"/>
  <c r="R110" i="20"/>
  <c r="S110" i="20" s="1"/>
  <c r="T110" i="20" s="1"/>
  <c r="R106" i="20"/>
  <c r="S106" i="20" s="1"/>
  <c r="T106" i="20" s="1"/>
  <c r="R104" i="20"/>
  <c r="S104" i="20" s="1"/>
  <c r="T104" i="20" s="1"/>
  <c r="R100" i="20"/>
  <c r="S100" i="20" s="1"/>
  <c r="T100" i="20" s="1"/>
  <c r="R96" i="20"/>
  <c r="S96" i="20" s="1"/>
  <c r="T96" i="20" s="1"/>
  <c r="R92" i="20"/>
  <c r="S92" i="20" s="1"/>
  <c r="T92" i="20" s="1"/>
  <c r="R88" i="20"/>
  <c r="S88" i="20" s="1"/>
  <c r="T88" i="20" s="1"/>
  <c r="R82" i="20"/>
  <c r="S82" i="20" s="1"/>
  <c r="T82" i="20" s="1"/>
  <c r="R78" i="20"/>
  <c r="S78" i="20" s="1"/>
  <c r="T78" i="20" s="1"/>
  <c r="R136" i="20"/>
  <c r="S136" i="20" s="1"/>
  <c r="T136" i="20" s="1"/>
  <c r="R107" i="20"/>
  <c r="S107" i="20" s="1"/>
  <c r="T107" i="20" s="1"/>
  <c r="R103" i="20"/>
  <c r="S103" i="20" s="1"/>
  <c r="T103" i="20" s="1"/>
  <c r="R97" i="20"/>
  <c r="S97" i="20" s="1"/>
  <c r="T97" i="20" s="1"/>
  <c r="R93" i="20"/>
  <c r="S93" i="20" s="1"/>
  <c r="T93" i="20" s="1"/>
  <c r="R87" i="20"/>
  <c r="S87" i="20" s="1"/>
  <c r="T87" i="20" s="1"/>
  <c r="R71" i="20"/>
  <c r="S71" i="20" s="1"/>
  <c r="T71" i="20" s="1"/>
  <c r="R69" i="20"/>
  <c r="S69" i="20" s="1"/>
  <c r="T69" i="20" s="1"/>
  <c r="R65" i="20"/>
  <c r="S65" i="20" s="1"/>
  <c r="T65" i="20" s="1"/>
  <c r="R61" i="20"/>
  <c r="S61" i="20" s="1"/>
  <c r="T61" i="20" s="1"/>
  <c r="R59" i="20"/>
  <c r="S59" i="20" s="1"/>
  <c r="T59" i="20" s="1"/>
  <c r="R55" i="20"/>
  <c r="S55" i="20" s="1"/>
  <c r="T55" i="20" s="1"/>
  <c r="R51" i="20"/>
  <c r="S51" i="20" s="1"/>
  <c r="T51" i="20" s="1"/>
  <c r="R47" i="20"/>
  <c r="S47" i="20" s="1"/>
  <c r="T47" i="20" s="1"/>
  <c r="R43" i="20"/>
  <c r="S43" i="20" s="1"/>
  <c r="T43" i="20" s="1"/>
  <c r="R37" i="20"/>
  <c r="S37" i="20" s="1"/>
  <c r="T37" i="20" s="1"/>
  <c r="R33" i="20"/>
  <c r="S33" i="20" s="1"/>
  <c r="T33" i="20" s="1"/>
  <c r="R27" i="20"/>
  <c r="S27" i="20" s="1"/>
  <c r="T27" i="20" s="1"/>
  <c r="R23" i="20"/>
  <c r="S23" i="20" s="1"/>
  <c r="T23" i="20" s="1"/>
  <c r="R19" i="20"/>
  <c r="S19" i="20" s="1"/>
  <c r="T19" i="20" s="1"/>
  <c r="R15" i="20"/>
  <c r="S15" i="20" s="1"/>
  <c r="T15" i="20" s="1"/>
  <c r="R11" i="20"/>
  <c r="S11" i="20" s="1"/>
  <c r="T11" i="20" s="1"/>
  <c r="R79" i="20"/>
  <c r="S79" i="20" s="1"/>
  <c r="T79" i="20" s="1"/>
  <c r="R70" i="20"/>
  <c r="S70" i="20" s="1"/>
  <c r="T70" i="20" s="1"/>
  <c r="R66" i="20"/>
  <c r="S66" i="20" s="1"/>
  <c r="T66" i="20" s="1"/>
  <c r="R62" i="20"/>
  <c r="S62" i="20" s="1"/>
  <c r="T62" i="20" s="1"/>
  <c r="R58" i="20"/>
  <c r="S58" i="20" s="1"/>
  <c r="T58" i="20" s="1"/>
  <c r="R52" i="20"/>
  <c r="S52" i="20" s="1"/>
  <c r="T52" i="20" s="1"/>
  <c r="R48" i="20"/>
  <c r="S48" i="20" s="1"/>
  <c r="T48" i="20" s="1"/>
  <c r="R42" i="20"/>
  <c r="S42" i="20" s="1"/>
  <c r="T42" i="20" s="1"/>
  <c r="R38" i="20"/>
  <c r="S38" i="20" s="1"/>
  <c r="T38" i="20" s="1"/>
  <c r="R34" i="20"/>
  <c r="S34" i="20" s="1"/>
  <c r="T34" i="20" s="1"/>
  <c r="R30" i="20"/>
  <c r="S30" i="20" s="1"/>
  <c r="T30" i="20" s="1"/>
  <c r="R26" i="20"/>
  <c r="S26" i="20" s="1"/>
  <c r="T26" i="20" s="1"/>
  <c r="R24" i="20"/>
  <c r="S24" i="20" s="1"/>
  <c r="T24" i="20" s="1"/>
  <c r="R20" i="20"/>
  <c r="S20" i="20" s="1"/>
  <c r="T20" i="20" s="1"/>
  <c r="R16" i="20"/>
  <c r="S16" i="20" s="1"/>
  <c r="T16" i="20" s="1"/>
  <c r="R14" i="20"/>
  <c r="S14" i="20" s="1"/>
  <c r="T14" i="20" s="1"/>
  <c r="R10" i="20"/>
  <c r="S10" i="20" s="1"/>
  <c r="T10" i="20" s="1"/>
  <c r="R67" i="20"/>
  <c r="S67" i="20" s="1"/>
  <c r="T67" i="20" s="1"/>
  <c r="R63" i="20"/>
  <c r="S63" i="20" s="1"/>
  <c r="T63" i="20" s="1"/>
  <c r="R57" i="20"/>
  <c r="S57" i="20" s="1"/>
  <c r="T57" i="20" s="1"/>
  <c r="R53" i="20"/>
  <c r="S53" i="20" s="1"/>
  <c r="T53" i="20" s="1"/>
  <c r="R49" i="20"/>
  <c r="S49" i="20" s="1"/>
  <c r="T49" i="20" s="1"/>
  <c r="R45" i="20"/>
  <c r="S45" i="20" s="1"/>
  <c r="T45" i="20" s="1"/>
  <c r="R41" i="20"/>
  <c r="S41" i="20" s="1"/>
  <c r="T41" i="20" s="1"/>
  <c r="R39" i="20"/>
  <c r="S39" i="20" s="1"/>
  <c r="T39" i="20" s="1"/>
  <c r="R35" i="20"/>
  <c r="S35" i="20" s="1"/>
  <c r="T35" i="20" s="1"/>
  <c r="R31" i="20"/>
  <c r="S31" i="20" s="1"/>
  <c r="T31" i="20" s="1"/>
  <c r="R29" i="20"/>
  <c r="S29" i="20" s="1"/>
  <c r="T29" i="20" s="1"/>
  <c r="R25" i="20"/>
  <c r="S25" i="20" s="1"/>
  <c r="T25" i="20" s="1"/>
  <c r="R21" i="20"/>
  <c r="S21" i="20" s="1"/>
  <c r="T21" i="20" s="1"/>
  <c r="R17" i="20"/>
  <c r="S17" i="20" s="1"/>
  <c r="T17" i="20" s="1"/>
  <c r="R13" i="20"/>
  <c r="S13" i="20" s="1"/>
  <c r="T13" i="20" s="1"/>
  <c r="R83" i="20"/>
  <c r="S83" i="20" s="1"/>
  <c r="T83" i="20" s="1"/>
  <c r="R75" i="20"/>
  <c r="S75" i="20" s="1"/>
  <c r="T75" i="20" s="1"/>
  <c r="R72" i="20"/>
  <c r="S72" i="20" s="1"/>
  <c r="T72" i="20" s="1"/>
  <c r="R68" i="20"/>
  <c r="S68" i="20" s="1"/>
  <c r="T68" i="20" s="1"/>
  <c r="R64" i="20"/>
  <c r="S64" i="20" s="1"/>
  <c r="T64" i="20" s="1"/>
  <c r="R60" i="20"/>
  <c r="S60" i="20" s="1"/>
  <c r="T60" i="20" s="1"/>
  <c r="R56" i="20"/>
  <c r="S56" i="20" s="1"/>
  <c r="T56" i="20" s="1"/>
  <c r="R54" i="20"/>
  <c r="S54" i="20" s="1"/>
  <c r="T54" i="20" s="1"/>
  <c r="R50" i="20"/>
  <c r="S50" i="20" s="1"/>
  <c r="T50" i="20" s="1"/>
  <c r="R46" i="20"/>
  <c r="S46" i="20" s="1"/>
  <c r="T46" i="20" s="1"/>
  <c r="R44" i="20"/>
  <c r="S44" i="20" s="1"/>
  <c r="T44" i="20" s="1"/>
  <c r="R40" i="20"/>
  <c r="S40" i="20" s="1"/>
  <c r="T40" i="20" s="1"/>
  <c r="R36" i="20"/>
  <c r="S36" i="20" s="1"/>
  <c r="T36" i="20" s="1"/>
  <c r="R32" i="20"/>
  <c r="S32" i="20" s="1"/>
  <c r="T32" i="20" s="1"/>
  <c r="R28" i="20"/>
  <c r="S28" i="20" s="1"/>
  <c r="T28" i="20" s="1"/>
  <c r="R22" i="20"/>
  <c r="S22" i="20" s="1"/>
  <c r="T22" i="20" s="1"/>
  <c r="R18" i="20"/>
  <c r="S18" i="20" s="1"/>
  <c r="T18" i="20" s="1"/>
  <c r="R12" i="20"/>
  <c r="S12" i="20" s="1"/>
  <c r="T12" i="20" s="1"/>
  <c r="O248" i="20"/>
  <c r="P248" i="20" s="1"/>
  <c r="Q248" i="20" s="1"/>
  <c r="O244" i="20"/>
  <c r="P244" i="20" s="1"/>
  <c r="Q244" i="20" s="1"/>
  <c r="O238" i="20"/>
  <c r="P238" i="20" s="1"/>
  <c r="Q238" i="20" s="1"/>
  <c r="O249" i="20"/>
  <c r="P249" i="20" s="1"/>
  <c r="Q249" i="20" s="1"/>
  <c r="O245" i="20"/>
  <c r="P245" i="20" s="1"/>
  <c r="Q245" i="20" s="1"/>
  <c r="O241" i="20"/>
  <c r="P241" i="20" s="1"/>
  <c r="Q241" i="20" s="1"/>
  <c r="O237" i="20"/>
  <c r="P237" i="20" s="1"/>
  <c r="Q237" i="20" s="1"/>
  <c r="O235" i="20"/>
  <c r="P235" i="20" s="1"/>
  <c r="Q235" i="20" s="1"/>
  <c r="O250" i="20"/>
  <c r="P250" i="20" s="1"/>
  <c r="Q250" i="20" s="1"/>
  <c r="O246" i="20"/>
  <c r="P246" i="20" s="1"/>
  <c r="Q246" i="20" s="1"/>
  <c r="O242" i="20"/>
  <c r="P242" i="20" s="1"/>
  <c r="Q242" i="20" s="1"/>
  <c r="O240" i="20"/>
  <c r="P240" i="20" s="1"/>
  <c r="Q240" i="20" s="1"/>
  <c r="O236" i="20"/>
  <c r="P236" i="20" s="1"/>
  <c r="O251" i="20"/>
  <c r="P251" i="20" s="1"/>
  <c r="O247" i="20"/>
  <c r="P247" i="20" s="1"/>
  <c r="Q247" i="20" s="1"/>
  <c r="O243" i="20"/>
  <c r="P243" i="20" s="1"/>
  <c r="Q243" i="20" s="1"/>
  <c r="O239" i="20"/>
  <c r="P239" i="20" s="1"/>
  <c r="Q239" i="20" s="1"/>
  <c r="O233" i="20"/>
  <c r="P233" i="20" s="1"/>
  <c r="Q233" i="20" s="1"/>
  <c r="O229" i="20"/>
  <c r="P229" i="20" s="1"/>
  <c r="Q229" i="20" s="1"/>
  <c r="O223" i="20"/>
  <c r="P223" i="20" s="1"/>
  <c r="Q223" i="20" s="1"/>
  <c r="O219" i="20"/>
  <c r="P219" i="20" s="1"/>
  <c r="Q219" i="20" s="1"/>
  <c r="O230" i="20"/>
  <c r="P230" i="20" s="1"/>
  <c r="Q230" i="20" s="1"/>
  <c r="O226" i="20"/>
  <c r="P226" i="20" s="1"/>
  <c r="Q226" i="20" s="1"/>
  <c r="O222" i="20"/>
  <c r="P222" i="20" s="1"/>
  <c r="Q222" i="20" s="1"/>
  <c r="O220" i="20"/>
  <c r="P220" i="20" s="1"/>
  <c r="Q220" i="20" s="1"/>
  <c r="O216" i="20"/>
  <c r="P216" i="20" s="1"/>
  <c r="Q216" i="20" s="1"/>
  <c r="O234" i="20"/>
  <c r="P234" i="20" s="1"/>
  <c r="Q234" i="20" s="1"/>
  <c r="O231" i="20"/>
  <c r="P231" i="20" s="1"/>
  <c r="Q231" i="20" s="1"/>
  <c r="O227" i="20"/>
  <c r="P227" i="20" s="1"/>
  <c r="Q227" i="20" s="1"/>
  <c r="O225" i="20"/>
  <c r="P225" i="20" s="1"/>
  <c r="Q225" i="20" s="1"/>
  <c r="O221" i="20"/>
  <c r="P221" i="20" s="1"/>
  <c r="O217" i="20"/>
  <c r="P217" i="20" s="1"/>
  <c r="Q217" i="20" s="1"/>
  <c r="O232" i="20"/>
  <c r="P232" i="20" s="1"/>
  <c r="Q232" i="20" s="1"/>
  <c r="O228" i="20"/>
  <c r="P228" i="20" s="1"/>
  <c r="Q228" i="20" s="1"/>
  <c r="O224" i="20"/>
  <c r="P224" i="20" s="1"/>
  <c r="Q224" i="20" s="1"/>
  <c r="O218" i="20"/>
  <c r="P218" i="20" s="1"/>
  <c r="Q218" i="20" s="1"/>
  <c r="O214" i="20"/>
  <c r="P214" i="20" s="1"/>
  <c r="Q214" i="20" s="1"/>
  <c r="O208" i="20"/>
  <c r="P208" i="20" s="1"/>
  <c r="Q208" i="20" s="1"/>
  <c r="O204" i="20"/>
  <c r="P204" i="20" s="1"/>
  <c r="Q204" i="20" s="1"/>
  <c r="O200" i="20"/>
  <c r="P200" i="20" s="1"/>
  <c r="Q200" i="20" s="1"/>
  <c r="O215" i="20"/>
  <c r="P215" i="20" s="1"/>
  <c r="Q215" i="20" s="1"/>
  <c r="O211" i="20"/>
  <c r="P211" i="20" s="1"/>
  <c r="Q211" i="20" s="1"/>
  <c r="O207" i="20"/>
  <c r="P207" i="20" s="1"/>
  <c r="Q207" i="20" s="1"/>
  <c r="O205" i="20"/>
  <c r="P205" i="20" s="1"/>
  <c r="Q205" i="20" s="1"/>
  <c r="O201" i="20"/>
  <c r="P201" i="20" s="1"/>
  <c r="Q201" i="20" s="1"/>
  <c r="O212" i="20"/>
  <c r="P212" i="20" s="1"/>
  <c r="Q212" i="20" s="1"/>
  <c r="O210" i="20"/>
  <c r="P210" i="20" s="1"/>
  <c r="Q210" i="20" s="1"/>
  <c r="O206" i="20"/>
  <c r="P206" i="20" s="1"/>
  <c r="O202" i="20"/>
  <c r="P202" i="20" s="1"/>
  <c r="Q202" i="20" s="1"/>
  <c r="O198" i="20"/>
  <c r="P198" i="20" s="1"/>
  <c r="Q198" i="20" s="1"/>
  <c r="O213" i="20"/>
  <c r="P213" i="20" s="1"/>
  <c r="Q213" i="20" s="1"/>
  <c r="O209" i="20"/>
  <c r="P209" i="20" s="1"/>
  <c r="Q209" i="20" s="1"/>
  <c r="O203" i="20"/>
  <c r="P203" i="20" s="1"/>
  <c r="Q203" i="20" s="1"/>
  <c r="O199" i="20"/>
  <c r="P199" i="20" s="1"/>
  <c r="Q199" i="20" s="1"/>
  <c r="O194" i="20"/>
  <c r="P194" i="20" s="1"/>
  <c r="Q194" i="20" s="1"/>
  <c r="O188" i="20"/>
  <c r="P188" i="20" s="1"/>
  <c r="Q188" i="20" s="1"/>
  <c r="O184" i="20"/>
  <c r="P184" i="20" s="1"/>
  <c r="Q184" i="20" s="1"/>
  <c r="O193" i="20"/>
  <c r="P193" i="20" s="1"/>
  <c r="Q193" i="20" s="1"/>
  <c r="O189" i="20"/>
  <c r="P189" i="20" s="1"/>
  <c r="Q189" i="20" s="1"/>
  <c r="O185" i="20"/>
  <c r="P185" i="20" s="1"/>
  <c r="Q185" i="20" s="1"/>
  <c r="O181" i="20"/>
  <c r="P181" i="20" s="1"/>
  <c r="Q181" i="20" s="1"/>
  <c r="O196" i="20"/>
  <c r="P196" i="20" s="1"/>
  <c r="Q196" i="20" s="1"/>
  <c r="O192" i="20"/>
  <c r="P192" i="20" s="1"/>
  <c r="Q192" i="20" s="1"/>
  <c r="O190" i="20"/>
  <c r="P190" i="20" s="1"/>
  <c r="Q190" i="20" s="1"/>
  <c r="O186" i="20"/>
  <c r="P186" i="20" s="1"/>
  <c r="Q186" i="20" s="1"/>
  <c r="O182" i="20"/>
  <c r="P182" i="20" s="1"/>
  <c r="Q182" i="20" s="1"/>
  <c r="O180" i="20"/>
  <c r="P180" i="20" s="1"/>
  <c r="Q180" i="20" s="1"/>
  <c r="O197" i="20"/>
  <c r="P197" i="20" s="1"/>
  <c r="Q197" i="20" s="1"/>
  <c r="O195" i="20"/>
  <c r="P195" i="20" s="1"/>
  <c r="Q195" i="20" s="1"/>
  <c r="O191" i="20"/>
  <c r="P191" i="20" s="1"/>
  <c r="O187" i="20"/>
  <c r="P187" i="20" s="1"/>
  <c r="Q187" i="20" s="1"/>
  <c r="O183" i="20"/>
  <c r="P183" i="20" s="1"/>
  <c r="Q183" i="20" s="1"/>
  <c r="O176" i="20"/>
  <c r="P176" i="20" s="1"/>
  <c r="O172" i="20"/>
  <c r="P172" i="20" s="1"/>
  <c r="Q172" i="20" s="1"/>
  <c r="O168" i="20"/>
  <c r="P168" i="20" s="1"/>
  <c r="Q168" i="20" s="1"/>
  <c r="O164" i="20"/>
  <c r="P164" i="20" s="1"/>
  <c r="Q164" i="20" s="1"/>
  <c r="O158" i="20"/>
  <c r="P158" i="20" s="1"/>
  <c r="Q158" i="20" s="1"/>
  <c r="O154" i="20"/>
  <c r="P154" i="20" s="1"/>
  <c r="Q154" i="20" s="1"/>
  <c r="O148" i="20"/>
  <c r="P148" i="20" s="1"/>
  <c r="Q148" i="20" s="1"/>
  <c r="O144" i="20"/>
  <c r="P144" i="20" s="1"/>
  <c r="Q144" i="20" s="1"/>
  <c r="O179" i="20"/>
  <c r="P179" i="20" s="1"/>
  <c r="Q179" i="20" s="1"/>
  <c r="O173" i="20"/>
  <c r="P173" i="20" s="1"/>
  <c r="Q173" i="20" s="1"/>
  <c r="O169" i="20"/>
  <c r="P169" i="20" s="1"/>
  <c r="Q169" i="20" s="1"/>
  <c r="O163" i="20"/>
  <c r="P163" i="20" s="1"/>
  <c r="Q163" i="20" s="1"/>
  <c r="O159" i="20"/>
  <c r="P159" i="20" s="1"/>
  <c r="Q159" i="20" s="1"/>
  <c r="O155" i="20"/>
  <c r="P155" i="20" s="1"/>
  <c r="Q155" i="20" s="1"/>
  <c r="O151" i="20"/>
  <c r="P151" i="20" s="1"/>
  <c r="Q151" i="20" s="1"/>
  <c r="O147" i="20"/>
  <c r="P147" i="20" s="1"/>
  <c r="Q147" i="20" s="1"/>
  <c r="O145" i="20"/>
  <c r="P145" i="20" s="1"/>
  <c r="Q145" i="20" s="1"/>
  <c r="O178" i="20"/>
  <c r="P178" i="20" s="1"/>
  <c r="Q178" i="20" s="1"/>
  <c r="O174" i="20"/>
  <c r="P174" i="20" s="1"/>
  <c r="Q174" i="20" s="1"/>
  <c r="O170" i="20"/>
  <c r="P170" i="20" s="1"/>
  <c r="Q170" i="20" s="1"/>
  <c r="O166" i="20"/>
  <c r="P166" i="20" s="1"/>
  <c r="Q166" i="20" s="1"/>
  <c r="O162" i="20"/>
  <c r="P162" i="20" s="1"/>
  <c r="Q162" i="20" s="1"/>
  <c r="O160" i="20"/>
  <c r="P160" i="20" s="1"/>
  <c r="Q160" i="20" s="1"/>
  <c r="O156" i="20"/>
  <c r="P156" i="20" s="1"/>
  <c r="Q156" i="20" s="1"/>
  <c r="O152" i="20"/>
  <c r="P152" i="20" s="1"/>
  <c r="Q152" i="20" s="1"/>
  <c r="O150" i="20"/>
  <c r="P150" i="20" s="1"/>
  <c r="Q150" i="20" s="1"/>
  <c r="O146" i="20"/>
  <c r="P146" i="20" s="1"/>
  <c r="O177" i="20"/>
  <c r="P177" i="20" s="1"/>
  <c r="Q177" i="20" s="1"/>
  <c r="O175" i="20"/>
  <c r="P175" i="20" s="1"/>
  <c r="Q175" i="20" s="1"/>
  <c r="O171" i="20"/>
  <c r="P171" i="20" s="1"/>
  <c r="Q171" i="20" s="1"/>
  <c r="O167" i="20"/>
  <c r="P167" i="20" s="1"/>
  <c r="Q167" i="20" s="1"/>
  <c r="O165" i="20"/>
  <c r="P165" i="20" s="1"/>
  <c r="Q165" i="20" s="1"/>
  <c r="O161" i="20"/>
  <c r="P161" i="20" s="1"/>
  <c r="O142" i="20"/>
  <c r="P142" i="20" s="1"/>
  <c r="Q142" i="20" s="1"/>
  <c r="O138" i="20"/>
  <c r="P138" i="20" s="1"/>
  <c r="Q138" i="20" s="1"/>
  <c r="O134" i="20"/>
  <c r="P134" i="20" s="1"/>
  <c r="Q134" i="20" s="1"/>
  <c r="O130" i="20"/>
  <c r="P130" i="20" s="1"/>
  <c r="Q130" i="20" s="1"/>
  <c r="O126" i="20"/>
  <c r="P126" i="20" s="1"/>
  <c r="Q126" i="20" s="1"/>
  <c r="O122" i="20"/>
  <c r="P122" i="20" s="1"/>
  <c r="Q122" i="20" s="1"/>
  <c r="O118" i="20"/>
  <c r="P118" i="20" s="1"/>
  <c r="Q118" i="20" s="1"/>
  <c r="O112" i="20"/>
  <c r="P112" i="20" s="1"/>
  <c r="Q112" i="20" s="1"/>
  <c r="O153" i="20"/>
  <c r="P153" i="20" s="1"/>
  <c r="Q153" i="20" s="1"/>
  <c r="O143" i="20"/>
  <c r="P143" i="20" s="1"/>
  <c r="Q143" i="20" s="1"/>
  <c r="O139" i="20"/>
  <c r="P139" i="20" s="1"/>
  <c r="Q139" i="20" s="1"/>
  <c r="O133" i="20"/>
  <c r="P133" i="20" s="1"/>
  <c r="Q133" i="20" s="1"/>
  <c r="O127" i="20"/>
  <c r="P127" i="20" s="1"/>
  <c r="Q127" i="20" s="1"/>
  <c r="O123" i="20"/>
  <c r="P123" i="20" s="1"/>
  <c r="Q123" i="20" s="1"/>
  <c r="O117" i="20"/>
  <c r="P117" i="20" s="1"/>
  <c r="Q117" i="20" s="1"/>
  <c r="O113" i="20"/>
  <c r="P113" i="20" s="1"/>
  <c r="Q113" i="20" s="1"/>
  <c r="O140" i="20"/>
  <c r="P140" i="20" s="1"/>
  <c r="Q140" i="20" s="1"/>
  <c r="O136" i="20"/>
  <c r="P136" i="20" s="1"/>
  <c r="Q136" i="20" s="1"/>
  <c r="O132" i="20"/>
  <c r="P132" i="20" s="1"/>
  <c r="Q132" i="20" s="1"/>
  <c r="O128" i="20"/>
  <c r="P128" i="20" s="1"/>
  <c r="Q128" i="20" s="1"/>
  <c r="O124" i="20"/>
  <c r="P124" i="20" s="1"/>
  <c r="Q124" i="20" s="1"/>
  <c r="O120" i="20"/>
  <c r="P120" i="20" s="1"/>
  <c r="Q120" i="20" s="1"/>
  <c r="O116" i="20"/>
  <c r="P116" i="20" s="1"/>
  <c r="Q116" i="20" s="1"/>
  <c r="O114" i="20"/>
  <c r="P114" i="20" s="1"/>
  <c r="Q114" i="20" s="1"/>
  <c r="O141" i="20"/>
  <c r="P141" i="20" s="1"/>
  <c r="Q141" i="20" s="1"/>
  <c r="O119" i="20"/>
  <c r="P119" i="20" s="1"/>
  <c r="Q119" i="20" s="1"/>
  <c r="O115" i="20"/>
  <c r="P115" i="20" s="1"/>
  <c r="O109" i="20"/>
  <c r="P109" i="20" s="1"/>
  <c r="Q109" i="20" s="1"/>
  <c r="O105" i="20"/>
  <c r="P105" i="20" s="1"/>
  <c r="Q105" i="20" s="1"/>
  <c r="O101" i="20"/>
  <c r="P101" i="20" s="1"/>
  <c r="Q101" i="20" s="1"/>
  <c r="O99" i="20"/>
  <c r="P99" i="20" s="1"/>
  <c r="Q99" i="20" s="1"/>
  <c r="O95" i="20"/>
  <c r="P95" i="20" s="1"/>
  <c r="Q95" i="20" s="1"/>
  <c r="O91" i="20"/>
  <c r="P91" i="20" s="1"/>
  <c r="Q91" i="20" s="1"/>
  <c r="O89" i="20"/>
  <c r="P89" i="20" s="1"/>
  <c r="Q89" i="20" s="1"/>
  <c r="O85" i="20"/>
  <c r="P85" i="20" s="1"/>
  <c r="O81" i="20"/>
  <c r="P81" i="20" s="1"/>
  <c r="Q81" i="20" s="1"/>
  <c r="O77" i="20"/>
  <c r="P77" i="20" s="1"/>
  <c r="Q77" i="20" s="1"/>
  <c r="O73" i="20"/>
  <c r="P73" i="20" s="1"/>
  <c r="Q73" i="20" s="1"/>
  <c r="O131" i="20"/>
  <c r="P131" i="20" s="1"/>
  <c r="O129" i="20"/>
  <c r="P129" i="20" s="1"/>
  <c r="Q129" i="20" s="1"/>
  <c r="O121" i="20"/>
  <c r="P121" i="20" s="1"/>
  <c r="Q121" i="20" s="1"/>
  <c r="O110" i="20"/>
  <c r="P110" i="20" s="1"/>
  <c r="Q110" i="20" s="1"/>
  <c r="O106" i="20"/>
  <c r="P106" i="20" s="1"/>
  <c r="Q106" i="20" s="1"/>
  <c r="O104" i="20"/>
  <c r="P104" i="20" s="1"/>
  <c r="Q104" i="20" s="1"/>
  <c r="O100" i="20"/>
  <c r="P100" i="20" s="1"/>
  <c r="O96" i="20"/>
  <c r="P96" i="20" s="1"/>
  <c r="Q96" i="20" s="1"/>
  <c r="O92" i="20"/>
  <c r="P92" i="20" s="1"/>
  <c r="Q92" i="20" s="1"/>
  <c r="O88" i="20"/>
  <c r="P88" i="20" s="1"/>
  <c r="Q88" i="20" s="1"/>
  <c r="O82" i="20"/>
  <c r="P82" i="20" s="1"/>
  <c r="Q82" i="20" s="1"/>
  <c r="O78" i="20"/>
  <c r="P78" i="20" s="1"/>
  <c r="Q78" i="20" s="1"/>
  <c r="O137" i="20"/>
  <c r="P137" i="20" s="1"/>
  <c r="Q137" i="20" s="1"/>
  <c r="O135" i="20"/>
  <c r="P135" i="20" s="1"/>
  <c r="Q135" i="20" s="1"/>
  <c r="O107" i="20"/>
  <c r="P107" i="20" s="1"/>
  <c r="Q107" i="20" s="1"/>
  <c r="O103" i="20"/>
  <c r="P103" i="20" s="1"/>
  <c r="Q103" i="20" s="1"/>
  <c r="O97" i="20"/>
  <c r="P97" i="20" s="1"/>
  <c r="Q97" i="20" s="1"/>
  <c r="O93" i="20"/>
  <c r="P93" i="20" s="1"/>
  <c r="Q93" i="20" s="1"/>
  <c r="O87" i="20"/>
  <c r="P87" i="20" s="1"/>
  <c r="Q87" i="20" s="1"/>
  <c r="O83" i="20"/>
  <c r="P83" i="20" s="1"/>
  <c r="Q83" i="20" s="1"/>
  <c r="O79" i="20"/>
  <c r="P79" i="20" s="1"/>
  <c r="Q79" i="20" s="1"/>
  <c r="O75" i="20"/>
  <c r="P75" i="20" s="1"/>
  <c r="Q75" i="20" s="1"/>
  <c r="O157" i="20"/>
  <c r="P157" i="20" s="1"/>
  <c r="Q157" i="20" s="1"/>
  <c r="O149" i="20"/>
  <c r="P149" i="20" s="1"/>
  <c r="Q149" i="20" s="1"/>
  <c r="O125" i="20"/>
  <c r="P125" i="20" s="1"/>
  <c r="Q125" i="20" s="1"/>
  <c r="O111" i="20"/>
  <c r="P111" i="20" s="1"/>
  <c r="Q111" i="20" s="1"/>
  <c r="O108" i="20"/>
  <c r="P108" i="20" s="1"/>
  <c r="Q108" i="20" s="1"/>
  <c r="O102" i="20"/>
  <c r="P102" i="20" s="1"/>
  <c r="Q102" i="20" s="1"/>
  <c r="O98" i="20"/>
  <c r="P98" i="20" s="1"/>
  <c r="Q98" i="20" s="1"/>
  <c r="O94" i="20"/>
  <c r="P94" i="20" s="1"/>
  <c r="Q94" i="20" s="1"/>
  <c r="O90" i="20"/>
  <c r="P90" i="20" s="1"/>
  <c r="Q90" i="20" s="1"/>
  <c r="O86" i="20"/>
  <c r="P86" i="20" s="1"/>
  <c r="Q86" i="20" s="1"/>
  <c r="O80" i="20"/>
  <c r="P80" i="20" s="1"/>
  <c r="Q80" i="20" s="1"/>
  <c r="O70" i="20"/>
  <c r="P70" i="20" s="1"/>
  <c r="O66" i="20"/>
  <c r="P66" i="20" s="1"/>
  <c r="Q66" i="20" s="1"/>
  <c r="O62" i="20"/>
  <c r="P62" i="20" s="1"/>
  <c r="Q62" i="20" s="1"/>
  <c r="O58" i="20"/>
  <c r="P58" i="20" s="1"/>
  <c r="Q58" i="20" s="1"/>
  <c r="O52" i="20"/>
  <c r="P52" i="20" s="1"/>
  <c r="Q52" i="20" s="1"/>
  <c r="O48" i="20"/>
  <c r="P48" i="20" s="1"/>
  <c r="Q48" i="20" s="1"/>
  <c r="O42" i="20"/>
  <c r="P42" i="20" s="1"/>
  <c r="Q42" i="20" s="1"/>
  <c r="O38" i="20"/>
  <c r="P38" i="20" s="1"/>
  <c r="Q38" i="20" s="1"/>
  <c r="O34" i="20"/>
  <c r="P34" i="20" s="1"/>
  <c r="Q34" i="20" s="1"/>
  <c r="O30" i="20"/>
  <c r="P30" i="20" s="1"/>
  <c r="Q30" i="20" s="1"/>
  <c r="O26" i="20"/>
  <c r="P26" i="20" s="1"/>
  <c r="Q26" i="20" s="1"/>
  <c r="O24" i="20"/>
  <c r="P24" i="20" s="1"/>
  <c r="Q24" i="20" s="1"/>
  <c r="O20" i="20"/>
  <c r="P20" i="20" s="1"/>
  <c r="Q20" i="20" s="1"/>
  <c r="O16" i="20"/>
  <c r="P16" i="20" s="1"/>
  <c r="Q16" i="20" s="1"/>
  <c r="O14" i="20"/>
  <c r="P14" i="20" s="1"/>
  <c r="Q14" i="20" s="1"/>
  <c r="O10" i="20"/>
  <c r="P10" i="20" s="1"/>
  <c r="O74" i="20"/>
  <c r="P74" i="20" s="1"/>
  <c r="Q74" i="20" s="1"/>
  <c r="O67" i="20"/>
  <c r="P67" i="20" s="1"/>
  <c r="Q67" i="20" s="1"/>
  <c r="O63" i="20"/>
  <c r="P63" i="20" s="1"/>
  <c r="Q63" i="20" s="1"/>
  <c r="O57" i="20"/>
  <c r="P57" i="20" s="1"/>
  <c r="Q57" i="20" s="1"/>
  <c r="O53" i="20"/>
  <c r="P53" i="20" s="1"/>
  <c r="Q53" i="20" s="1"/>
  <c r="O49" i="20"/>
  <c r="P49" i="20" s="1"/>
  <c r="Q49" i="20" s="1"/>
  <c r="O45" i="20"/>
  <c r="P45" i="20" s="1"/>
  <c r="Q45" i="20" s="1"/>
  <c r="O41" i="20"/>
  <c r="P41" i="20" s="1"/>
  <c r="Q41" i="20" s="1"/>
  <c r="O39" i="20"/>
  <c r="P39" i="20" s="1"/>
  <c r="Q39" i="20" s="1"/>
  <c r="O35" i="20"/>
  <c r="P35" i="20" s="1"/>
  <c r="Q35" i="20" s="1"/>
  <c r="O31" i="20"/>
  <c r="P31" i="20" s="1"/>
  <c r="Q31" i="20" s="1"/>
  <c r="O29" i="20"/>
  <c r="P29" i="20" s="1"/>
  <c r="Q29" i="20" s="1"/>
  <c r="O25" i="20"/>
  <c r="P25" i="20" s="1"/>
  <c r="O21" i="20"/>
  <c r="P21" i="20" s="1"/>
  <c r="Q21" i="20" s="1"/>
  <c r="O17" i="20"/>
  <c r="P17" i="20" s="1"/>
  <c r="Q17" i="20" s="1"/>
  <c r="O13" i="20"/>
  <c r="P13" i="20" s="1"/>
  <c r="Q13" i="20" s="1"/>
  <c r="O84" i="20"/>
  <c r="P84" i="20" s="1"/>
  <c r="Q84" i="20" s="1"/>
  <c r="O76" i="20"/>
  <c r="P76" i="20" s="1"/>
  <c r="Q76" i="20" s="1"/>
  <c r="O72" i="20"/>
  <c r="P72" i="20" s="1"/>
  <c r="Q72" i="20" s="1"/>
  <c r="O68" i="20"/>
  <c r="P68" i="20" s="1"/>
  <c r="Q68" i="20" s="1"/>
  <c r="O64" i="20"/>
  <c r="P64" i="20" s="1"/>
  <c r="Q64" i="20" s="1"/>
  <c r="O60" i="20"/>
  <c r="P60" i="20" s="1"/>
  <c r="Q60" i="20" s="1"/>
  <c r="O56" i="20"/>
  <c r="P56" i="20" s="1"/>
  <c r="Q56" i="20" s="1"/>
  <c r="O54" i="20"/>
  <c r="P54" i="20" s="1"/>
  <c r="Q54" i="20" s="1"/>
  <c r="O50" i="20"/>
  <c r="P50" i="20" s="1"/>
  <c r="Q50" i="20" s="1"/>
  <c r="O46" i="20"/>
  <c r="P46" i="20" s="1"/>
  <c r="Q46" i="20" s="1"/>
  <c r="O44" i="20"/>
  <c r="P44" i="20" s="1"/>
  <c r="Q44" i="20" s="1"/>
  <c r="O40" i="20"/>
  <c r="P40" i="20" s="1"/>
  <c r="O36" i="20"/>
  <c r="P36" i="20" s="1"/>
  <c r="Q36" i="20" s="1"/>
  <c r="O32" i="20"/>
  <c r="P32" i="20" s="1"/>
  <c r="Q32" i="20" s="1"/>
  <c r="O28" i="20"/>
  <c r="P28" i="20" s="1"/>
  <c r="Q28" i="20" s="1"/>
  <c r="O22" i="20"/>
  <c r="P22" i="20" s="1"/>
  <c r="Q22" i="20" s="1"/>
  <c r="O18" i="20"/>
  <c r="P18" i="20" s="1"/>
  <c r="Q18" i="20" s="1"/>
  <c r="O12" i="20"/>
  <c r="P12" i="20" s="1"/>
  <c r="Q12" i="20" s="1"/>
  <c r="O71" i="20"/>
  <c r="P71" i="20" s="1"/>
  <c r="Q71" i="20" s="1"/>
  <c r="O69" i="20"/>
  <c r="P69" i="20" s="1"/>
  <c r="Q69" i="20" s="1"/>
  <c r="O65" i="20"/>
  <c r="P65" i="20" s="1"/>
  <c r="Q65" i="20" s="1"/>
  <c r="O61" i="20"/>
  <c r="P61" i="20" s="1"/>
  <c r="Q61" i="20" s="1"/>
  <c r="O59" i="20"/>
  <c r="P59" i="20" s="1"/>
  <c r="Q59" i="20" s="1"/>
  <c r="O55" i="20"/>
  <c r="P55" i="20" s="1"/>
  <c r="O51" i="20"/>
  <c r="P51" i="20" s="1"/>
  <c r="Q51" i="20" s="1"/>
  <c r="O47" i="20"/>
  <c r="P47" i="20" s="1"/>
  <c r="Q47" i="20" s="1"/>
  <c r="O43" i="20"/>
  <c r="P43" i="20" s="1"/>
  <c r="Q43" i="20" s="1"/>
  <c r="O37" i="20"/>
  <c r="P37" i="20" s="1"/>
  <c r="Q37" i="20" s="1"/>
  <c r="O33" i="20"/>
  <c r="P33" i="20" s="1"/>
  <c r="Q33" i="20" s="1"/>
  <c r="O27" i="20"/>
  <c r="P27" i="20" s="1"/>
  <c r="Q27" i="20" s="1"/>
  <c r="O23" i="20"/>
  <c r="P23" i="20" s="1"/>
  <c r="Q23" i="20" s="1"/>
  <c r="O19" i="20"/>
  <c r="P19" i="20" s="1"/>
  <c r="Q19" i="20" s="1"/>
  <c r="O15" i="20"/>
  <c r="P15" i="20" s="1"/>
  <c r="Q15" i="20" s="1"/>
  <c r="O11" i="20"/>
  <c r="P11" i="20" s="1"/>
  <c r="Q11" i="20" s="1"/>
  <c r="G5" i="20"/>
  <c r="C11" i="20"/>
  <c r="D11" i="20" s="1"/>
  <c r="E11" i="20" s="1"/>
  <c r="I13" i="20"/>
  <c r="J13" i="20" s="1"/>
  <c r="K13" i="20" s="1"/>
  <c r="C15" i="20"/>
  <c r="D15" i="20" s="1"/>
  <c r="E15" i="20" s="1"/>
  <c r="I17" i="20"/>
  <c r="J17" i="20" s="1"/>
  <c r="K17" i="20" s="1"/>
  <c r="C19" i="20"/>
  <c r="D19" i="20" s="1"/>
  <c r="E19" i="20" s="1"/>
  <c r="I21" i="20"/>
  <c r="J21" i="20" s="1"/>
  <c r="K21" i="20" s="1"/>
  <c r="C23" i="20"/>
  <c r="D23" i="20" s="1"/>
  <c r="E23" i="20" s="1"/>
  <c r="I25" i="20"/>
  <c r="J25" i="20" s="1"/>
  <c r="C27" i="20"/>
  <c r="D27" i="20" s="1"/>
  <c r="E27" i="20" s="1"/>
  <c r="I29" i="20"/>
  <c r="J29" i="20" s="1"/>
  <c r="K29" i="20" s="1"/>
  <c r="I31" i="20"/>
  <c r="J31" i="20" s="1"/>
  <c r="K31" i="20" s="1"/>
  <c r="C33" i="20"/>
  <c r="D33" i="20" s="1"/>
  <c r="E33" i="20" s="1"/>
  <c r="I35" i="20"/>
  <c r="J35" i="20" s="1"/>
  <c r="K35" i="20" s="1"/>
  <c r="C37" i="20"/>
  <c r="D37" i="20" s="1"/>
  <c r="E37" i="20" s="1"/>
  <c r="I39" i="20"/>
  <c r="J39" i="20" s="1"/>
  <c r="K39" i="20" s="1"/>
  <c r="I41" i="20"/>
  <c r="J41" i="20" s="1"/>
  <c r="K41" i="20" s="1"/>
  <c r="C43" i="20"/>
  <c r="D43" i="20" s="1"/>
  <c r="E43" i="20" s="1"/>
  <c r="I45" i="20"/>
  <c r="J45" i="20" s="1"/>
  <c r="K45" i="20" s="1"/>
  <c r="C47" i="20"/>
  <c r="D47" i="20" s="1"/>
  <c r="E47" i="20" s="1"/>
  <c r="I49" i="20"/>
  <c r="J49" i="20" s="1"/>
  <c r="K49" i="20" s="1"/>
  <c r="C51" i="20"/>
  <c r="D51" i="20" s="1"/>
  <c r="E51" i="20" s="1"/>
  <c r="I53" i="20"/>
  <c r="J53" i="20" s="1"/>
  <c r="K53" i="20" s="1"/>
  <c r="C55" i="20"/>
  <c r="D55" i="20" s="1"/>
  <c r="I57" i="20"/>
  <c r="J57" i="20" s="1"/>
  <c r="K57" i="20" s="1"/>
  <c r="C59" i="20"/>
  <c r="D59" i="20" s="1"/>
  <c r="E59" i="20" s="1"/>
  <c r="C61" i="20"/>
  <c r="D61" i="20" s="1"/>
  <c r="E61" i="20" s="1"/>
  <c r="I63" i="20"/>
  <c r="J63" i="20" s="1"/>
  <c r="K63" i="20" s="1"/>
  <c r="C65" i="20"/>
  <c r="D65" i="20" s="1"/>
  <c r="E65" i="20" s="1"/>
  <c r="I67" i="20"/>
  <c r="J67" i="20" s="1"/>
  <c r="K67" i="20" s="1"/>
  <c r="C69" i="20"/>
  <c r="D69" i="20" s="1"/>
  <c r="E69" i="20" s="1"/>
  <c r="C71" i="20"/>
  <c r="D71" i="20" s="1"/>
  <c r="E71" i="20" s="1"/>
  <c r="C80" i="20"/>
  <c r="D80" i="20" s="1"/>
  <c r="E80" i="20" s="1"/>
  <c r="I250" i="20"/>
  <c r="J250" i="20" s="1"/>
  <c r="K250" i="20" s="1"/>
  <c r="I246" i="20"/>
  <c r="J246" i="20" s="1"/>
  <c r="K246" i="20" s="1"/>
  <c r="I242" i="20"/>
  <c r="J242" i="20" s="1"/>
  <c r="K242" i="20" s="1"/>
  <c r="I240" i="20"/>
  <c r="J240" i="20" s="1"/>
  <c r="K240" i="20" s="1"/>
  <c r="I236" i="20"/>
  <c r="J236" i="20" s="1"/>
  <c r="I251" i="20"/>
  <c r="J251" i="20" s="1"/>
  <c r="I247" i="20"/>
  <c r="J247" i="20" s="1"/>
  <c r="K247" i="20" s="1"/>
  <c r="I243" i="20"/>
  <c r="J243" i="20" s="1"/>
  <c r="K243" i="20" s="1"/>
  <c r="I239" i="20"/>
  <c r="J239" i="20" s="1"/>
  <c r="K239" i="20" s="1"/>
  <c r="I248" i="20"/>
  <c r="J248" i="20" s="1"/>
  <c r="K248" i="20" s="1"/>
  <c r="I244" i="20"/>
  <c r="J244" i="20" s="1"/>
  <c r="K244" i="20" s="1"/>
  <c r="I238" i="20"/>
  <c r="J238" i="20" s="1"/>
  <c r="K238" i="20" s="1"/>
  <c r="I249" i="20"/>
  <c r="J249" i="20" s="1"/>
  <c r="K249" i="20" s="1"/>
  <c r="I245" i="20"/>
  <c r="J245" i="20" s="1"/>
  <c r="K245" i="20" s="1"/>
  <c r="I241" i="20"/>
  <c r="J241" i="20" s="1"/>
  <c r="K241" i="20" s="1"/>
  <c r="I237" i="20"/>
  <c r="J237" i="20" s="1"/>
  <c r="K237" i="20" s="1"/>
  <c r="I235" i="20"/>
  <c r="J235" i="20" s="1"/>
  <c r="K235" i="20" s="1"/>
  <c r="I231" i="20"/>
  <c r="J231" i="20" s="1"/>
  <c r="K231" i="20" s="1"/>
  <c r="I227" i="20"/>
  <c r="J227" i="20" s="1"/>
  <c r="K227" i="20" s="1"/>
  <c r="I225" i="20"/>
  <c r="J225" i="20" s="1"/>
  <c r="K225" i="20" s="1"/>
  <c r="I221" i="20"/>
  <c r="J221" i="20" s="1"/>
  <c r="I232" i="20"/>
  <c r="J232" i="20" s="1"/>
  <c r="K232" i="20" s="1"/>
  <c r="I228" i="20"/>
  <c r="J228" i="20" s="1"/>
  <c r="K228" i="20" s="1"/>
  <c r="I224" i="20"/>
  <c r="J224" i="20" s="1"/>
  <c r="K224" i="20" s="1"/>
  <c r="I218" i="20"/>
  <c r="J218" i="20" s="1"/>
  <c r="K218" i="20" s="1"/>
  <c r="I233" i="20"/>
  <c r="J233" i="20" s="1"/>
  <c r="K233" i="20" s="1"/>
  <c r="I229" i="20"/>
  <c r="J229" i="20" s="1"/>
  <c r="K229" i="20" s="1"/>
  <c r="I223" i="20"/>
  <c r="J223" i="20" s="1"/>
  <c r="K223" i="20" s="1"/>
  <c r="I219" i="20"/>
  <c r="J219" i="20" s="1"/>
  <c r="K219" i="20" s="1"/>
  <c r="I234" i="20"/>
  <c r="J234" i="20" s="1"/>
  <c r="K234" i="20" s="1"/>
  <c r="I230" i="20"/>
  <c r="J230" i="20" s="1"/>
  <c r="K230" i="20" s="1"/>
  <c r="I226" i="20"/>
  <c r="J226" i="20" s="1"/>
  <c r="K226" i="20" s="1"/>
  <c r="I222" i="20"/>
  <c r="J222" i="20" s="1"/>
  <c r="K222" i="20" s="1"/>
  <c r="I220" i="20"/>
  <c r="J220" i="20" s="1"/>
  <c r="K220" i="20" s="1"/>
  <c r="I216" i="20"/>
  <c r="J216" i="20" s="1"/>
  <c r="K216" i="20" s="1"/>
  <c r="I212" i="20"/>
  <c r="J212" i="20" s="1"/>
  <c r="K212" i="20" s="1"/>
  <c r="I210" i="20"/>
  <c r="J210" i="20" s="1"/>
  <c r="K210" i="20" s="1"/>
  <c r="I206" i="20"/>
  <c r="J206" i="20" s="1"/>
  <c r="I202" i="20"/>
  <c r="J202" i="20" s="1"/>
  <c r="K202" i="20" s="1"/>
  <c r="I213" i="20"/>
  <c r="J213" i="20" s="1"/>
  <c r="K213" i="20" s="1"/>
  <c r="I209" i="20"/>
  <c r="J209" i="20" s="1"/>
  <c r="K209" i="20" s="1"/>
  <c r="I203" i="20"/>
  <c r="J203" i="20" s="1"/>
  <c r="K203" i="20" s="1"/>
  <c r="I199" i="20"/>
  <c r="J199" i="20" s="1"/>
  <c r="K199" i="20" s="1"/>
  <c r="I214" i="20"/>
  <c r="J214" i="20" s="1"/>
  <c r="K214" i="20" s="1"/>
  <c r="I208" i="20"/>
  <c r="J208" i="20" s="1"/>
  <c r="K208" i="20" s="1"/>
  <c r="I204" i="20"/>
  <c r="J204" i="20" s="1"/>
  <c r="K204" i="20" s="1"/>
  <c r="I200" i="20"/>
  <c r="J200" i="20" s="1"/>
  <c r="K200" i="20" s="1"/>
  <c r="I217" i="20"/>
  <c r="J217" i="20" s="1"/>
  <c r="K217" i="20" s="1"/>
  <c r="I215" i="20"/>
  <c r="J215" i="20" s="1"/>
  <c r="K215" i="20" s="1"/>
  <c r="I211" i="20"/>
  <c r="J211" i="20" s="1"/>
  <c r="K211" i="20" s="1"/>
  <c r="I207" i="20"/>
  <c r="J207" i="20" s="1"/>
  <c r="K207" i="20" s="1"/>
  <c r="I205" i="20"/>
  <c r="J205" i="20" s="1"/>
  <c r="K205" i="20" s="1"/>
  <c r="I201" i="20"/>
  <c r="J201" i="20" s="1"/>
  <c r="K201" i="20" s="1"/>
  <c r="I196" i="20"/>
  <c r="J196" i="20" s="1"/>
  <c r="K196" i="20" s="1"/>
  <c r="I192" i="20"/>
  <c r="J192" i="20" s="1"/>
  <c r="K192" i="20" s="1"/>
  <c r="I190" i="20"/>
  <c r="J190" i="20" s="1"/>
  <c r="K190" i="20" s="1"/>
  <c r="I186" i="20"/>
  <c r="J186" i="20" s="1"/>
  <c r="K186" i="20" s="1"/>
  <c r="I182" i="20"/>
  <c r="J182" i="20" s="1"/>
  <c r="K182" i="20" s="1"/>
  <c r="I180" i="20"/>
  <c r="J180" i="20" s="1"/>
  <c r="K180" i="20" s="1"/>
  <c r="I197" i="20"/>
  <c r="J197" i="20" s="1"/>
  <c r="K197" i="20" s="1"/>
  <c r="I195" i="20"/>
  <c r="J195" i="20" s="1"/>
  <c r="K195" i="20" s="1"/>
  <c r="I191" i="20"/>
  <c r="J191" i="20" s="1"/>
  <c r="I187" i="20"/>
  <c r="J187" i="20" s="1"/>
  <c r="K187" i="20" s="1"/>
  <c r="I183" i="20"/>
  <c r="J183" i="20" s="1"/>
  <c r="K183" i="20" s="1"/>
  <c r="I198" i="20"/>
  <c r="J198" i="20" s="1"/>
  <c r="K198" i="20" s="1"/>
  <c r="I194" i="20"/>
  <c r="J194" i="20" s="1"/>
  <c r="K194" i="20" s="1"/>
  <c r="I188" i="20"/>
  <c r="J188" i="20" s="1"/>
  <c r="K188" i="20" s="1"/>
  <c r="I184" i="20"/>
  <c r="J184" i="20" s="1"/>
  <c r="K184" i="20" s="1"/>
  <c r="I193" i="20"/>
  <c r="J193" i="20" s="1"/>
  <c r="K193" i="20" s="1"/>
  <c r="I189" i="20"/>
  <c r="J189" i="20" s="1"/>
  <c r="K189" i="20" s="1"/>
  <c r="I185" i="20"/>
  <c r="J185" i="20" s="1"/>
  <c r="K185" i="20" s="1"/>
  <c r="I181" i="20"/>
  <c r="J181" i="20" s="1"/>
  <c r="K181" i="20" s="1"/>
  <c r="I178" i="20"/>
  <c r="J178" i="20" s="1"/>
  <c r="K178" i="20" s="1"/>
  <c r="I174" i="20"/>
  <c r="J174" i="20" s="1"/>
  <c r="K174" i="20" s="1"/>
  <c r="I170" i="20"/>
  <c r="J170" i="20" s="1"/>
  <c r="K170" i="20" s="1"/>
  <c r="I166" i="20"/>
  <c r="J166" i="20" s="1"/>
  <c r="K166" i="20" s="1"/>
  <c r="I162" i="20"/>
  <c r="J162" i="20" s="1"/>
  <c r="K162" i="20" s="1"/>
  <c r="I160" i="20"/>
  <c r="J160" i="20" s="1"/>
  <c r="K160" i="20" s="1"/>
  <c r="I156" i="20"/>
  <c r="J156" i="20" s="1"/>
  <c r="K156" i="20" s="1"/>
  <c r="I152" i="20"/>
  <c r="J152" i="20" s="1"/>
  <c r="K152" i="20" s="1"/>
  <c r="I150" i="20"/>
  <c r="J150" i="20" s="1"/>
  <c r="K150" i="20" s="1"/>
  <c r="I146" i="20"/>
  <c r="J146" i="20" s="1"/>
  <c r="I177" i="20"/>
  <c r="J177" i="20" s="1"/>
  <c r="K177" i="20" s="1"/>
  <c r="I175" i="20"/>
  <c r="J175" i="20" s="1"/>
  <c r="K175" i="20" s="1"/>
  <c r="I171" i="20"/>
  <c r="J171" i="20" s="1"/>
  <c r="K171" i="20" s="1"/>
  <c r="I167" i="20"/>
  <c r="J167" i="20" s="1"/>
  <c r="K167" i="20" s="1"/>
  <c r="I165" i="20"/>
  <c r="J165" i="20" s="1"/>
  <c r="K165" i="20" s="1"/>
  <c r="I161" i="20"/>
  <c r="J161" i="20" s="1"/>
  <c r="I157" i="20"/>
  <c r="J157" i="20" s="1"/>
  <c r="K157" i="20" s="1"/>
  <c r="I153" i="20"/>
  <c r="J153" i="20" s="1"/>
  <c r="K153" i="20" s="1"/>
  <c r="I149" i="20"/>
  <c r="J149" i="20" s="1"/>
  <c r="K149" i="20" s="1"/>
  <c r="I176" i="20"/>
  <c r="J176" i="20" s="1"/>
  <c r="I172" i="20"/>
  <c r="J172" i="20" s="1"/>
  <c r="K172" i="20" s="1"/>
  <c r="I168" i="20"/>
  <c r="J168" i="20" s="1"/>
  <c r="K168" i="20" s="1"/>
  <c r="I164" i="20"/>
  <c r="J164" i="20" s="1"/>
  <c r="K164" i="20" s="1"/>
  <c r="I158" i="20"/>
  <c r="J158" i="20" s="1"/>
  <c r="K158" i="20" s="1"/>
  <c r="I154" i="20"/>
  <c r="J154" i="20" s="1"/>
  <c r="K154" i="20" s="1"/>
  <c r="I148" i="20"/>
  <c r="J148" i="20" s="1"/>
  <c r="K148" i="20" s="1"/>
  <c r="I179" i="20"/>
  <c r="J179" i="20" s="1"/>
  <c r="K179" i="20" s="1"/>
  <c r="I173" i="20"/>
  <c r="J173" i="20" s="1"/>
  <c r="K173" i="20" s="1"/>
  <c r="I169" i="20"/>
  <c r="J169" i="20" s="1"/>
  <c r="K169" i="20" s="1"/>
  <c r="I163" i="20"/>
  <c r="J163" i="20" s="1"/>
  <c r="K163" i="20" s="1"/>
  <c r="I159" i="20"/>
  <c r="J159" i="20" s="1"/>
  <c r="K159" i="20" s="1"/>
  <c r="I145" i="20"/>
  <c r="J145" i="20" s="1"/>
  <c r="K145" i="20" s="1"/>
  <c r="I140" i="20"/>
  <c r="J140" i="20" s="1"/>
  <c r="K140" i="20" s="1"/>
  <c r="I136" i="20"/>
  <c r="J136" i="20" s="1"/>
  <c r="K136" i="20" s="1"/>
  <c r="I132" i="20"/>
  <c r="J132" i="20" s="1"/>
  <c r="K132" i="20" s="1"/>
  <c r="I128" i="20"/>
  <c r="J128" i="20" s="1"/>
  <c r="K128" i="20" s="1"/>
  <c r="I124" i="20"/>
  <c r="J124" i="20" s="1"/>
  <c r="K124" i="20" s="1"/>
  <c r="I120" i="20"/>
  <c r="J120" i="20" s="1"/>
  <c r="K120" i="20" s="1"/>
  <c r="I116" i="20"/>
  <c r="J116" i="20" s="1"/>
  <c r="K116" i="20" s="1"/>
  <c r="I114" i="20"/>
  <c r="J114" i="20" s="1"/>
  <c r="K114" i="20" s="1"/>
  <c r="I151" i="20"/>
  <c r="J151" i="20" s="1"/>
  <c r="K151" i="20" s="1"/>
  <c r="I147" i="20"/>
  <c r="J147" i="20" s="1"/>
  <c r="K147" i="20" s="1"/>
  <c r="I141" i="20"/>
  <c r="J141" i="20" s="1"/>
  <c r="K141" i="20" s="1"/>
  <c r="I137" i="20"/>
  <c r="J137" i="20" s="1"/>
  <c r="K137" i="20" s="1"/>
  <c r="I135" i="20"/>
  <c r="J135" i="20" s="1"/>
  <c r="K135" i="20" s="1"/>
  <c r="I131" i="20"/>
  <c r="J131" i="20" s="1"/>
  <c r="I129" i="20"/>
  <c r="J129" i="20" s="1"/>
  <c r="K129" i="20" s="1"/>
  <c r="I125" i="20"/>
  <c r="J125" i="20" s="1"/>
  <c r="K125" i="20" s="1"/>
  <c r="I121" i="20"/>
  <c r="J121" i="20" s="1"/>
  <c r="K121" i="20" s="1"/>
  <c r="I119" i="20"/>
  <c r="J119" i="20" s="1"/>
  <c r="K119" i="20" s="1"/>
  <c r="I115" i="20"/>
  <c r="J115" i="20" s="1"/>
  <c r="I144" i="20"/>
  <c r="J144" i="20" s="1"/>
  <c r="K144" i="20" s="1"/>
  <c r="I142" i="20"/>
  <c r="J142" i="20" s="1"/>
  <c r="K142" i="20" s="1"/>
  <c r="I138" i="20"/>
  <c r="J138" i="20" s="1"/>
  <c r="K138" i="20" s="1"/>
  <c r="I134" i="20"/>
  <c r="J134" i="20" s="1"/>
  <c r="K134" i="20" s="1"/>
  <c r="I130" i="20"/>
  <c r="J130" i="20" s="1"/>
  <c r="K130" i="20" s="1"/>
  <c r="I126" i="20"/>
  <c r="J126" i="20" s="1"/>
  <c r="K126" i="20" s="1"/>
  <c r="I122" i="20"/>
  <c r="J122" i="20" s="1"/>
  <c r="K122" i="20" s="1"/>
  <c r="I118" i="20"/>
  <c r="J118" i="20" s="1"/>
  <c r="K118" i="20" s="1"/>
  <c r="I112" i="20"/>
  <c r="J112" i="20" s="1"/>
  <c r="K112" i="20" s="1"/>
  <c r="I139" i="20"/>
  <c r="J139" i="20" s="1"/>
  <c r="K139" i="20" s="1"/>
  <c r="I113" i="20"/>
  <c r="J113" i="20" s="1"/>
  <c r="K113" i="20" s="1"/>
  <c r="I111" i="20"/>
  <c r="J111" i="20" s="1"/>
  <c r="K111" i="20" s="1"/>
  <c r="I107" i="20"/>
  <c r="J107" i="20" s="1"/>
  <c r="K107" i="20" s="1"/>
  <c r="I103" i="20"/>
  <c r="J103" i="20" s="1"/>
  <c r="K103" i="20" s="1"/>
  <c r="I97" i="20"/>
  <c r="J97" i="20" s="1"/>
  <c r="K97" i="20" s="1"/>
  <c r="I93" i="20"/>
  <c r="J93" i="20" s="1"/>
  <c r="K93" i="20" s="1"/>
  <c r="I87" i="20"/>
  <c r="J87" i="20" s="1"/>
  <c r="K87" i="20" s="1"/>
  <c r="I83" i="20"/>
  <c r="J83" i="20" s="1"/>
  <c r="K83" i="20" s="1"/>
  <c r="I79" i="20"/>
  <c r="J79" i="20" s="1"/>
  <c r="K79" i="20" s="1"/>
  <c r="I75" i="20"/>
  <c r="J75" i="20" s="1"/>
  <c r="K75" i="20" s="1"/>
  <c r="I133" i="20"/>
  <c r="J133" i="20" s="1"/>
  <c r="K133" i="20" s="1"/>
  <c r="I127" i="20"/>
  <c r="J127" i="20" s="1"/>
  <c r="K127" i="20" s="1"/>
  <c r="I108" i="20"/>
  <c r="J108" i="20" s="1"/>
  <c r="K108" i="20" s="1"/>
  <c r="I102" i="20"/>
  <c r="J102" i="20" s="1"/>
  <c r="K102" i="20" s="1"/>
  <c r="I98" i="20"/>
  <c r="J98" i="20" s="1"/>
  <c r="K98" i="20" s="1"/>
  <c r="I94" i="20"/>
  <c r="J94" i="20" s="1"/>
  <c r="K94" i="20" s="1"/>
  <c r="I90" i="20"/>
  <c r="J90" i="20" s="1"/>
  <c r="K90" i="20" s="1"/>
  <c r="I86" i="20"/>
  <c r="J86" i="20" s="1"/>
  <c r="K86" i="20" s="1"/>
  <c r="I84" i="20"/>
  <c r="J84" i="20" s="1"/>
  <c r="K84" i="20" s="1"/>
  <c r="I80" i="20"/>
  <c r="J80" i="20" s="1"/>
  <c r="K80" i="20" s="1"/>
  <c r="I76" i="20"/>
  <c r="J76" i="20" s="1"/>
  <c r="K76" i="20" s="1"/>
  <c r="I74" i="20"/>
  <c r="J74" i="20" s="1"/>
  <c r="K74" i="20" s="1"/>
  <c r="I143" i="20"/>
  <c r="J143" i="20" s="1"/>
  <c r="K143" i="20" s="1"/>
  <c r="I117" i="20"/>
  <c r="J117" i="20" s="1"/>
  <c r="K117" i="20" s="1"/>
  <c r="I109" i="20"/>
  <c r="J109" i="20" s="1"/>
  <c r="K109" i="20" s="1"/>
  <c r="I105" i="20"/>
  <c r="J105" i="20" s="1"/>
  <c r="K105" i="20" s="1"/>
  <c r="I101" i="20"/>
  <c r="J101" i="20" s="1"/>
  <c r="K101" i="20" s="1"/>
  <c r="I99" i="20"/>
  <c r="J99" i="20" s="1"/>
  <c r="K99" i="20" s="1"/>
  <c r="I95" i="20"/>
  <c r="J95" i="20" s="1"/>
  <c r="K95" i="20" s="1"/>
  <c r="I91" i="20"/>
  <c r="J91" i="20" s="1"/>
  <c r="K91" i="20" s="1"/>
  <c r="I89" i="20"/>
  <c r="J89" i="20" s="1"/>
  <c r="K89" i="20" s="1"/>
  <c r="I85" i="20"/>
  <c r="J85" i="20" s="1"/>
  <c r="I81" i="20"/>
  <c r="J81" i="20" s="1"/>
  <c r="K81" i="20" s="1"/>
  <c r="I77" i="20"/>
  <c r="J77" i="20" s="1"/>
  <c r="K77" i="20" s="1"/>
  <c r="I155" i="20"/>
  <c r="J155" i="20" s="1"/>
  <c r="K155" i="20" s="1"/>
  <c r="I123" i="20"/>
  <c r="J123" i="20" s="1"/>
  <c r="K123" i="20" s="1"/>
  <c r="I110" i="20"/>
  <c r="J110" i="20" s="1"/>
  <c r="K110" i="20" s="1"/>
  <c r="I106" i="20"/>
  <c r="J106" i="20" s="1"/>
  <c r="K106" i="20" s="1"/>
  <c r="I104" i="20"/>
  <c r="J104" i="20" s="1"/>
  <c r="K104" i="20" s="1"/>
  <c r="I100" i="20"/>
  <c r="J100" i="20" s="1"/>
  <c r="I96" i="20"/>
  <c r="J96" i="20" s="1"/>
  <c r="K96" i="20" s="1"/>
  <c r="I92" i="20"/>
  <c r="J92" i="20" s="1"/>
  <c r="K92" i="20" s="1"/>
  <c r="I88" i="20"/>
  <c r="J88" i="20" s="1"/>
  <c r="K88" i="20" s="1"/>
  <c r="I10" i="20"/>
  <c r="J10" i="20" s="1"/>
  <c r="C12" i="20"/>
  <c r="D12" i="20" s="1"/>
  <c r="E12" i="20" s="1"/>
  <c r="I14" i="20"/>
  <c r="J14" i="20" s="1"/>
  <c r="K14" i="20" s="1"/>
  <c r="I16" i="20"/>
  <c r="J16" i="20" s="1"/>
  <c r="K16" i="20" s="1"/>
  <c r="C18" i="20"/>
  <c r="D18" i="20" s="1"/>
  <c r="E18" i="20" s="1"/>
  <c r="I20" i="20"/>
  <c r="J20" i="20" s="1"/>
  <c r="K20" i="20" s="1"/>
  <c r="C22" i="20"/>
  <c r="D22" i="20" s="1"/>
  <c r="E22" i="20" s="1"/>
  <c r="I24" i="20"/>
  <c r="J24" i="20" s="1"/>
  <c r="K24" i="20" s="1"/>
  <c r="I26" i="20"/>
  <c r="J26" i="20" s="1"/>
  <c r="K26" i="20" s="1"/>
  <c r="C28" i="20"/>
  <c r="D28" i="20" s="1"/>
  <c r="E28" i="20" s="1"/>
  <c r="I30" i="20"/>
  <c r="J30" i="20" s="1"/>
  <c r="K30" i="20" s="1"/>
  <c r="C32" i="20"/>
  <c r="D32" i="20" s="1"/>
  <c r="E32" i="20" s="1"/>
  <c r="I34" i="20"/>
  <c r="J34" i="20" s="1"/>
  <c r="K34" i="20" s="1"/>
  <c r="C36" i="20"/>
  <c r="D36" i="20" s="1"/>
  <c r="E36" i="20" s="1"/>
  <c r="I38" i="20"/>
  <c r="J38" i="20" s="1"/>
  <c r="K38" i="20" s="1"/>
  <c r="C40" i="20"/>
  <c r="D40" i="20" s="1"/>
  <c r="I42" i="20"/>
  <c r="J42" i="20" s="1"/>
  <c r="K42" i="20" s="1"/>
  <c r="C44" i="20"/>
  <c r="D44" i="20" s="1"/>
  <c r="E44" i="20" s="1"/>
  <c r="C46" i="20"/>
  <c r="D46" i="20" s="1"/>
  <c r="E46" i="20" s="1"/>
  <c r="I48" i="20"/>
  <c r="J48" i="20" s="1"/>
  <c r="K48" i="20" s="1"/>
  <c r="C50" i="20"/>
  <c r="D50" i="20" s="1"/>
  <c r="E50" i="20" s="1"/>
  <c r="I52" i="20"/>
  <c r="J52" i="20" s="1"/>
  <c r="K52" i="20" s="1"/>
  <c r="C54" i="20"/>
  <c r="D54" i="20" s="1"/>
  <c r="E54" i="20" s="1"/>
  <c r="C56" i="20"/>
  <c r="D56" i="20" s="1"/>
  <c r="E56" i="20" s="1"/>
  <c r="I58" i="20"/>
  <c r="J58" i="20" s="1"/>
  <c r="K58" i="20" s="1"/>
  <c r="C60" i="20"/>
  <c r="D60" i="20" s="1"/>
  <c r="E60" i="20" s="1"/>
  <c r="I62" i="20"/>
  <c r="J62" i="20" s="1"/>
  <c r="K62" i="20" s="1"/>
  <c r="C64" i="20"/>
  <c r="D64" i="20" s="1"/>
  <c r="E64" i="20" s="1"/>
  <c r="I66" i="20"/>
  <c r="J66" i="20" s="1"/>
  <c r="K66" i="20" s="1"/>
  <c r="C68" i="20"/>
  <c r="D68" i="20" s="1"/>
  <c r="E68" i="20" s="1"/>
  <c r="I70" i="20"/>
  <c r="J70" i="20" s="1"/>
  <c r="I82" i="20"/>
  <c r="J82" i="20" s="1"/>
  <c r="K82" i="20" s="1"/>
  <c r="C248" i="20"/>
  <c r="D248" i="20" s="1"/>
  <c r="E248" i="20" s="1"/>
  <c r="C244" i="20"/>
  <c r="D244" i="20" s="1"/>
  <c r="E244" i="20" s="1"/>
  <c r="C238" i="20"/>
  <c r="D238" i="20" s="1"/>
  <c r="E238" i="20" s="1"/>
  <c r="C249" i="20"/>
  <c r="D249" i="20" s="1"/>
  <c r="E249" i="20" s="1"/>
  <c r="C245" i="20"/>
  <c r="D245" i="20" s="1"/>
  <c r="E245" i="20" s="1"/>
  <c r="C241" i="20"/>
  <c r="D241" i="20" s="1"/>
  <c r="E241" i="20" s="1"/>
  <c r="C237" i="20"/>
  <c r="D237" i="20" s="1"/>
  <c r="E237" i="20" s="1"/>
  <c r="C235" i="20"/>
  <c r="D235" i="20" s="1"/>
  <c r="E235" i="20" s="1"/>
  <c r="C250" i="20"/>
  <c r="D250" i="20" s="1"/>
  <c r="E250" i="20" s="1"/>
  <c r="C246" i="20"/>
  <c r="D246" i="20" s="1"/>
  <c r="E246" i="20" s="1"/>
  <c r="C242" i="20"/>
  <c r="D242" i="20" s="1"/>
  <c r="E242" i="20" s="1"/>
  <c r="C240" i="20"/>
  <c r="D240" i="20" s="1"/>
  <c r="E240" i="20" s="1"/>
  <c r="C236" i="20"/>
  <c r="D236" i="20" s="1"/>
  <c r="C251" i="20"/>
  <c r="D251" i="20" s="1"/>
  <c r="C247" i="20"/>
  <c r="D247" i="20" s="1"/>
  <c r="E247" i="20" s="1"/>
  <c r="C243" i="20"/>
  <c r="D243" i="20" s="1"/>
  <c r="E243" i="20" s="1"/>
  <c r="C239" i="20"/>
  <c r="D239" i="20" s="1"/>
  <c r="E239" i="20" s="1"/>
  <c r="C233" i="20"/>
  <c r="D233" i="20" s="1"/>
  <c r="E233" i="20" s="1"/>
  <c r="C229" i="20"/>
  <c r="D229" i="20" s="1"/>
  <c r="E229" i="20" s="1"/>
  <c r="C223" i="20"/>
  <c r="D223" i="20" s="1"/>
  <c r="E223" i="20" s="1"/>
  <c r="C219" i="20"/>
  <c r="D219" i="20" s="1"/>
  <c r="E219" i="20" s="1"/>
  <c r="C234" i="20"/>
  <c r="D234" i="20" s="1"/>
  <c r="E234" i="20" s="1"/>
  <c r="C230" i="20"/>
  <c r="D230" i="20" s="1"/>
  <c r="E230" i="20" s="1"/>
  <c r="C226" i="20"/>
  <c r="D226" i="20" s="1"/>
  <c r="E226" i="20" s="1"/>
  <c r="C222" i="20"/>
  <c r="D222" i="20" s="1"/>
  <c r="E222" i="20" s="1"/>
  <c r="C220" i="20"/>
  <c r="D220" i="20" s="1"/>
  <c r="E220" i="20" s="1"/>
  <c r="C231" i="20"/>
  <c r="D231" i="20" s="1"/>
  <c r="E231" i="20" s="1"/>
  <c r="C227" i="20"/>
  <c r="D227" i="20" s="1"/>
  <c r="E227" i="20" s="1"/>
  <c r="C225" i="20"/>
  <c r="D225" i="20" s="1"/>
  <c r="E225" i="20" s="1"/>
  <c r="C221" i="20"/>
  <c r="D221" i="20" s="1"/>
  <c r="C217" i="20"/>
  <c r="D217" i="20" s="1"/>
  <c r="E217" i="20" s="1"/>
  <c r="C232" i="20"/>
  <c r="D232" i="20" s="1"/>
  <c r="E232" i="20" s="1"/>
  <c r="C228" i="20"/>
  <c r="D228" i="20" s="1"/>
  <c r="E228" i="20" s="1"/>
  <c r="C224" i="20"/>
  <c r="D224" i="20" s="1"/>
  <c r="E224" i="20" s="1"/>
  <c r="C218" i="20"/>
  <c r="D218" i="20" s="1"/>
  <c r="E218" i="20" s="1"/>
  <c r="C214" i="20"/>
  <c r="D214" i="20" s="1"/>
  <c r="E214" i="20" s="1"/>
  <c r="C208" i="20"/>
  <c r="D208" i="20" s="1"/>
  <c r="E208" i="20" s="1"/>
  <c r="C204" i="20"/>
  <c r="D204" i="20" s="1"/>
  <c r="E204" i="20" s="1"/>
  <c r="C200" i="20"/>
  <c r="D200" i="20" s="1"/>
  <c r="E200" i="20" s="1"/>
  <c r="C215" i="20"/>
  <c r="D215" i="20" s="1"/>
  <c r="E215" i="20" s="1"/>
  <c r="C211" i="20"/>
  <c r="D211" i="20" s="1"/>
  <c r="E211" i="20" s="1"/>
  <c r="C207" i="20"/>
  <c r="D207" i="20" s="1"/>
  <c r="E207" i="20" s="1"/>
  <c r="C205" i="20"/>
  <c r="D205" i="20" s="1"/>
  <c r="E205" i="20" s="1"/>
  <c r="C201" i="20"/>
  <c r="D201" i="20" s="1"/>
  <c r="E201" i="20" s="1"/>
  <c r="C216" i="20"/>
  <c r="D216" i="20" s="1"/>
  <c r="E216" i="20" s="1"/>
  <c r="C212" i="20"/>
  <c r="D212" i="20" s="1"/>
  <c r="E212" i="20" s="1"/>
  <c r="C210" i="20"/>
  <c r="D210" i="20" s="1"/>
  <c r="E210" i="20" s="1"/>
  <c r="C206" i="20"/>
  <c r="D206" i="20" s="1"/>
  <c r="C202" i="20"/>
  <c r="D202" i="20" s="1"/>
  <c r="E202" i="20" s="1"/>
  <c r="C213" i="20"/>
  <c r="D213" i="20" s="1"/>
  <c r="E213" i="20" s="1"/>
  <c r="C209" i="20"/>
  <c r="D209" i="20" s="1"/>
  <c r="E209" i="20" s="1"/>
  <c r="C203" i="20"/>
  <c r="D203" i="20" s="1"/>
  <c r="E203" i="20" s="1"/>
  <c r="C199" i="20"/>
  <c r="D199" i="20" s="1"/>
  <c r="E199" i="20" s="1"/>
  <c r="C198" i="20"/>
  <c r="D198" i="20" s="1"/>
  <c r="E198" i="20" s="1"/>
  <c r="C194" i="20"/>
  <c r="D194" i="20" s="1"/>
  <c r="E194" i="20" s="1"/>
  <c r="C188" i="20"/>
  <c r="D188" i="20" s="1"/>
  <c r="E188" i="20" s="1"/>
  <c r="C184" i="20"/>
  <c r="D184" i="20" s="1"/>
  <c r="E184" i="20" s="1"/>
  <c r="C193" i="20"/>
  <c r="D193" i="20" s="1"/>
  <c r="E193" i="20" s="1"/>
  <c r="C189" i="20"/>
  <c r="D189" i="20" s="1"/>
  <c r="E189" i="20" s="1"/>
  <c r="C185" i="20"/>
  <c r="D185" i="20" s="1"/>
  <c r="E185" i="20" s="1"/>
  <c r="C181" i="20"/>
  <c r="D181" i="20" s="1"/>
  <c r="E181" i="20" s="1"/>
  <c r="C196" i="20"/>
  <c r="D196" i="20" s="1"/>
  <c r="E196" i="20" s="1"/>
  <c r="C192" i="20"/>
  <c r="D192" i="20" s="1"/>
  <c r="E192" i="20" s="1"/>
  <c r="C190" i="20"/>
  <c r="D190" i="20" s="1"/>
  <c r="E190" i="20" s="1"/>
  <c r="C186" i="20"/>
  <c r="D186" i="20" s="1"/>
  <c r="E186" i="20" s="1"/>
  <c r="C182" i="20"/>
  <c r="D182" i="20" s="1"/>
  <c r="E182" i="20" s="1"/>
  <c r="C180" i="20"/>
  <c r="D180" i="20" s="1"/>
  <c r="E180" i="20" s="1"/>
  <c r="C197" i="20"/>
  <c r="D197" i="20" s="1"/>
  <c r="E197" i="20" s="1"/>
  <c r="C195" i="20"/>
  <c r="D195" i="20" s="1"/>
  <c r="E195" i="20" s="1"/>
  <c r="C191" i="20"/>
  <c r="D191" i="20" s="1"/>
  <c r="C187" i="20"/>
  <c r="D187" i="20" s="1"/>
  <c r="E187" i="20" s="1"/>
  <c r="C183" i="20"/>
  <c r="D183" i="20" s="1"/>
  <c r="E183" i="20" s="1"/>
  <c r="C176" i="20"/>
  <c r="D176" i="20" s="1"/>
  <c r="C172" i="20"/>
  <c r="D172" i="20" s="1"/>
  <c r="E172" i="20" s="1"/>
  <c r="C168" i="20"/>
  <c r="D168" i="20" s="1"/>
  <c r="E168" i="20" s="1"/>
  <c r="C164" i="20"/>
  <c r="D164" i="20" s="1"/>
  <c r="E164" i="20" s="1"/>
  <c r="C158" i="20"/>
  <c r="D158" i="20" s="1"/>
  <c r="E158" i="20" s="1"/>
  <c r="C154" i="20"/>
  <c r="D154" i="20" s="1"/>
  <c r="E154" i="20" s="1"/>
  <c r="C148" i="20"/>
  <c r="D148" i="20" s="1"/>
  <c r="E148" i="20" s="1"/>
  <c r="C179" i="20"/>
  <c r="D179" i="20" s="1"/>
  <c r="E179" i="20" s="1"/>
  <c r="C173" i="20"/>
  <c r="D173" i="20" s="1"/>
  <c r="E173" i="20" s="1"/>
  <c r="C169" i="20"/>
  <c r="D169" i="20" s="1"/>
  <c r="E169" i="20" s="1"/>
  <c r="C163" i="20"/>
  <c r="D163" i="20" s="1"/>
  <c r="E163" i="20" s="1"/>
  <c r="C159" i="20"/>
  <c r="D159" i="20" s="1"/>
  <c r="E159" i="20" s="1"/>
  <c r="C155" i="20"/>
  <c r="D155" i="20" s="1"/>
  <c r="E155" i="20" s="1"/>
  <c r="C151" i="20"/>
  <c r="D151" i="20" s="1"/>
  <c r="E151" i="20" s="1"/>
  <c r="C147" i="20"/>
  <c r="D147" i="20" s="1"/>
  <c r="E147" i="20" s="1"/>
  <c r="C145" i="20"/>
  <c r="D145" i="20" s="1"/>
  <c r="E145" i="20" s="1"/>
  <c r="C178" i="20"/>
  <c r="D178" i="20" s="1"/>
  <c r="E178" i="20" s="1"/>
  <c r="C174" i="20"/>
  <c r="D174" i="20" s="1"/>
  <c r="E174" i="20" s="1"/>
  <c r="C170" i="20"/>
  <c r="D170" i="20" s="1"/>
  <c r="E170" i="20" s="1"/>
  <c r="C166" i="20"/>
  <c r="D166" i="20" s="1"/>
  <c r="E166" i="20" s="1"/>
  <c r="C162" i="20"/>
  <c r="D162" i="20" s="1"/>
  <c r="E162" i="20" s="1"/>
  <c r="C160" i="20"/>
  <c r="D160" i="20" s="1"/>
  <c r="E160" i="20" s="1"/>
  <c r="C156" i="20"/>
  <c r="D156" i="20" s="1"/>
  <c r="E156" i="20" s="1"/>
  <c r="C152" i="20"/>
  <c r="D152" i="20" s="1"/>
  <c r="E152" i="20" s="1"/>
  <c r="C150" i="20"/>
  <c r="D150" i="20" s="1"/>
  <c r="E150" i="20" s="1"/>
  <c r="C146" i="20"/>
  <c r="D146" i="20" s="1"/>
  <c r="C177" i="20"/>
  <c r="D177" i="20" s="1"/>
  <c r="E177" i="20" s="1"/>
  <c r="C175" i="20"/>
  <c r="D175" i="20" s="1"/>
  <c r="E175" i="20" s="1"/>
  <c r="C171" i="20"/>
  <c r="D171" i="20" s="1"/>
  <c r="E171" i="20" s="1"/>
  <c r="C167" i="20"/>
  <c r="D167" i="20" s="1"/>
  <c r="E167" i="20" s="1"/>
  <c r="C165" i="20"/>
  <c r="D165" i="20" s="1"/>
  <c r="E165" i="20" s="1"/>
  <c r="C161" i="20"/>
  <c r="D161" i="20" s="1"/>
  <c r="C153" i="20"/>
  <c r="D153" i="20" s="1"/>
  <c r="E153" i="20" s="1"/>
  <c r="C142" i="20"/>
  <c r="D142" i="20" s="1"/>
  <c r="E142" i="20" s="1"/>
  <c r="C138" i="20"/>
  <c r="D138" i="20" s="1"/>
  <c r="E138" i="20" s="1"/>
  <c r="C134" i="20"/>
  <c r="D134" i="20" s="1"/>
  <c r="E134" i="20" s="1"/>
  <c r="C130" i="20"/>
  <c r="D130" i="20" s="1"/>
  <c r="C126" i="20"/>
  <c r="D126" i="20" s="1"/>
  <c r="E126" i="20" s="1"/>
  <c r="C122" i="20"/>
  <c r="D122" i="20" s="1"/>
  <c r="E122" i="20" s="1"/>
  <c r="C118" i="20"/>
  <c r="D118" i="20" s="1"/>
  <c r="E118" i="20" s="1"/>
  <c r="C112" i="20"/>
  <c r="D112" i="20" s="1"/>
  <c r="E112" i="20" s="1"/>
  <c r="C143" i="20"/>
  <c r="D143" i="20" s="1"/>
  <c r="E143" i="20" s="1"/>
  <c r="C139" i="20"/>
  <c r="D139" i="20" s="1"/>
  <c r="E139" i="20" s="1"/>
  <c r="C133" i="20"/>
  <c r="D133" i="20" s="1"/>
  <c r="E133" i="20" s="1"/>
  <c r="C127" i="20"/>
  <c r="D127" i="20" s="1"/>
  <c r="E127" i="20" s="1"/>
  <c r="C123" i="20"/>
  <c r="D123" i="20" s="1"/>
  <c r="E123" i="20" s="1"/>
  <c r="C117" i="20"/>
  <c r="D117" i="20" s="1"/>
  <c r="E117" i="20" s="1"/>
  <c r="C113" i="20"/>
  <c r="D113" i="20" s="1"/>
  <c r="E113" i="20" s="1"/>
  <c r="C157" i="20"/>
  <c r="D157" i="20" s="1"/>
  <c r="E157" i="20" s="1"/>
  <c r="C149" i="20"/>
  <c r="D149" i="20" s="1"/>
  <c r="E149" i="20" s="1"/>
  <c r="C144" i="20"/>
  <c r="D144" i="20" s="1"/>
  <c r="E144" i="20" s="1"/>
  <c r="C140" i="20"/>
  <c r="D140" i="20" s="1"/>
  <c r="E140" i="20" s="1"/>
  <c r="C136" i="20"/>
  <c r="D136" i="20" s="1"/>
  <c r="E136" i="20" s="1"/>
  <c r="C132" i="20"/>
  <c r="D132" i="20" s="1"/>
  <c r="E132" i="20" s="1"/>
  <c r="C128" i="20"/>
  <c r="D128" i="20" s="1"/>
  <c r="E128" i="20" s="1"/>
  <c r="C124" i="20"/>
  <c r="D124" i="20" s="1"/>
  <c r="E124" i="20" s="1"/>
  <c r="C120" i="20"/>
  <c r="D120" i="20" s="1"/>
  <c r="E120" i="20" s="1"/>
  <c r="C116" i="20"/>
  <c r="D116" i="20" s="1"/>
  <c r="E116" i="20" s="1"/>
  <c r="C114" i="20"/>
  <c r="D114" i="20" s="1"/>
  <c r="E114" i="20" s="1"/>
  <c r="C131" i="20"/>
  <c r="D131" i="20" s="1"/>
  <c r="C129" i="20"/>
  <c r="D129" i="20" s="1"/>
  <c r="E129" i="20" s="1"/>
  <c r="C121" i="20"/>
  <c r="D121" i="20" s="1"/>
  <c r="E121" i="20" s="1"/>
  <c r="C109" i="20"/>
  <c r="D109" i="20" s="1"/>
  <c r="E109" i="20" s="1"/>
  <c r="C105" i="20"/>
  <c r="D105" i="20" s="1"/>
  <c r="E105" i="20" s="1"/>
  <c r="C101" i="20"/>
  <c r="D101" i="20" s="1"/>
  <c r="E101" i="20" s="1"/>
  <c r="C99" i="20"/>
  <c r="D99" i="20" s="1"/>
  <c r="E99" i="20" s="1"/>
  <c r="C95" i="20"/>
  <c r="D95" i="20" s="1"/>
  <c r="E95" i="20" s="1"/>
  <c r="C91" i="20"/>
  <c r="D91" i="20" s="1"/>
  <c r="E91" i="20" s="1"/>
  <c r="C89" i="20"/>
  <c r="D89" i="20" s="1"/>
  <c r="E89" i="20" s="1"/>
  <c r="C85" i="20"/>
  <c r="D85" i="20" s="1"/>
  <c r="C81" i="20"/>
  <c r="D81" i="20" s="1"/>
  <c r="E81" i="20" s="1"/>
  <c r="C77" i="20"/>
  <c r="D77" i="20" s="1"/>
  <c r="E77" i="20" s="1"/>
  <c r="C137" i="20"/>
  <c r="D137" i="20" s="1"/>
  <c r="E137" i="20" s="1"/>
  <c r="C135" i="20"/>
  <c r="D135" i="20" s="1"/>
  <c r="E135" i="20" s="1"/>
  <c r="C110" i="20"/>
  <c r="D110" i="20" s="1"/>
  <c r="E110" i="20" s="1"/>
  <c r="C106" i="20"/>
  <c r="D106" i="20" s="1"/>
  <c r="E106" i="20" s="1"/>
  <c r="C104" i="20"/>
  <c r="D104" i="20" s="1"/>
  <c r="E104" i="20" s="1"/>
  <c r="C100" i="20"/>
  <c r="D100" i="20" s="1"/>
  <c r="C96" i="20"/>
  <c r="D96" i="20" s="1"/>
  <c r="E96" i="20" s="1"/>
  <c r="C92" i="20"/>
  <c r="D92" i="20" s="1"/>
  <c r="E92" i="20" s="1"/>
  <c r="C88" i="20"/>
  <c r="D88" i="20" s="1"/>
  <c r="E88" i="20" s="1"/>
  <c r="C82" i="20"/>
  <c r="D82" i="20" s="1"/>
  <c r="E82" i="20" s="1"/>
  <c r="C78" i="20"/>
  <c r="D78" i="20" s="1"/>
  <c r="E78" i="20" s="1"/>
  <c r="C125" i="20"/>
  <c r="D125" i="20" s="1"/>
  <c r="E125" i="20" s="1"/>
  <c r="C111" i="20"/>
  <c r="D111" i="20" s="1"/>
  <c r="E111" i="20" s="1"/>
  <c r="C107" i="20"/>
  <c r="D107" i="20" s="1"/>
  <c r="E107" i="20" s="1"/>
  <c r="C103" i="20"/>
  <c r="D103" i="20" s="1"/>
  <c r="E103" i="20" s="1"/>
  <c r="C97" i="20"/>
  <c r="D97" i="20" s="1"/>
  <c r="E97" i="20" s="1"/>
  <c r="C93" i="20"/>
  <c r="D93" i="20" s="1"/>
  <c r="E93" i="20" s="1"/>
  <c r="C87" i="20"/>
  <c r="D87" i="20" s="1"/>
  <c r="E87" i="20" s="1"/>
  <c r="C83" i="20"/>
  <c r="D83" i="20" s="1"/>
  <c r="E83" i="20" s="1"/>
  <c r="C79" i="20"/>
  <c r="D79" i="20" s="1"/>
  <c r="E79" i="20" s="1"/>
  <c r="C75" i="20"/>
  <c r="D75" i="20" s="1"/>
  <c r="E75" i="20" s="1"/>
  <c r="C141" i="20"/>
  <c r="D141" i="20" s="1"/>
  <c r="E141" i="20" s="1"/>
  <c r="C119" i="20"/>
  <c r="D119" i="20" s="1"/>
  <c r="E119" i="20" s="1"/>
  <c r="C115" i="20"/>
  <c r="D115" i="20" s="1"/>
  <c r="C108" i="20"/>
  <c r="D108" i="20" s="1"/>
  <c r="E108" i="20" s="1"/>
  <c r="C102" i="20"/>
  <c r="D102" i="20" s="1"/>
  <c r="E102" i="20" s="1"/>
  <c r="C98" i="20"/>
  <c r="D98" i="20" s="1"/>
  <c r="E98" i="20" s="1"/>
  <c r="C94" i="20"/>
  <c r="D94" i="20" s="1"/>
  <c r="E94" i="20" s="1"/>
  <c r="C90" i="20"/>
  <c r="D90" i="20" s="1"/>
  <c r="E90" i="20" s="1"/>
  <c r="C86" i="20"/>
  <c r="D86" i="20" s="1"/>
  <c r="E86" i="20" s="1"/>
  <c r="I11" i="20"/>
  <c r="J11" i="20" s="1"/>
  <c r="K11" i="20" s="1"/>
  <c r="C13" i="20"/>
  <c r="D13" i="20" s="1"/>
  <c r="E13" i="20" s="1"/>
  <c r="I15" i="20"/>
  <c r="J15" i="20" s="1"/>
  <c r="K15" i="20" s="1"/>
  <c r="C17" i="20"/>
  <c r="D17" i="20" s="1"/>
  <c r="E17" i="20" s="1"/>
  <c r="I19" i="20"/>
  <c r="J19" i="20" s="1"/>
  <c r="K19" i="20" s="1"/>
  <c r="C21" i="20"/>
  <c r="D21" i="20" s="1"/>
  <c r="E21" i="20" s="1"/>
  <c r="I23" i="20"/>
  <c r="J23" i="20" s="1"/>
  <c r="K23" i="20" s="1"/>
  <c r="C25" i="20"/>
  <c r="D25" i="20" s="1"/>
  <c r="I27" i="20"/>
  <c r="J27" i="20" s="1"/>
  <c r="K27" i="20" s="1"/>
  <c r="C29" i="20"/>
  <c r="D29" i="20" s="1"/>
  <c r="E29" i="20" s="1"/>
  <c r="C31" i="20"/>
  <c r="D31" i="20" s="1"/>
  <c r="E31" i="20" s="1"/>
  <c r="I33" i="20"/>
  <c r="J33" i="20" s="1"/>
  <c r="K33" i="20" s="1"/>
  <c r="C35" i="20"/>
  <c r="D35" i="20" s="1"/>
  <c r="E35" i="20" s="1"/>
  <c r="I37" i="20"/>
  <c r="J37" i="20" s="1"/>
  <c r="K37" i="20" s="1"/>
  <c r="C39" i="20"/>
  <c r="D39" i="20" s="1"/>
  <c r="E39" i="20" s="1"/>
  <c r="C41" i="20"/>
  <c r="D41" i="20" s="1"/>
  <c r="E41" i="20" s="1"/>
  <c r="I43" i="20"/>
  <c r="J43" i="20" s="1"/>
  <c r="K43" i="20" s="1"/>
  <c r="C45" i="20"/>
  <c r="D45" i="20" s="1"/>
  <c r="E45" i="20" s="1"/>
  <c r="I47" i="20"/>
  <c r="J47" i="20" s="1"/>
  <c r="K47" i="20" s="1"/>
  <c r="C49" i="20"/>
  <c r="D49" i="20" s="1"/>
  <c r="E49" i="20" s="1"/>
  <c r="I51" i="20"/>
  <c r="J51" i="20" s="1"/>
  <c r="K51" i="20" s="1"/>
  <c r="C53" i="20"/>
  <c r="D53" i="20" s="1"/>
  <c r="E53" i="20" s="1"/>
  <c r="I55" i="20"/>
  <c r="J55" i="20" s="1"/>
  <c r="C57" i="20"/>
  <c r="D57" i="20" s="1"/>
  <c r="E57" i="20" s="1"/>
  <c r="I59" i="20"/>
  <c r="J59" i="20" s="1"/>
  <c r="K59" i="20" s="1"/>
  <c r="I61" i="20"/>
  <c r="J61" i="20" s="1"/>
  <c r="K61" i="20" s="1"/>
  <c r="C63" i="20"/>
  <c r="D63" i="20" s="1"/>
  <c r="E63" i="20" s="1"/>
  <c r="I65" i="20"/>
  <c r="J65" i="20" s="1"/>
  <c r="K65" i="20" s="1"/>
  <c r="C67" i="20"/>
  <c r="D67" i="20" s="1"/>
  <c r="E67" i="20" s="1"/>
  <c r="I69" i="20"/>
  <c r="J69" i="20" s="1"/>
  <c r="K69" i="20" s="1"/>
  <c r="I71" i="20"/>
  <c r="J71" i="20" s="1"/>
  <c r="K71" i="20" s="1"/>
  <c r="C73" i="20"/>
  <c r="D73" i="20" s="1"/>
  <c r="E73" i="20" s="1"/>
  <c r="C76" i="20"/>
  <c r="D76" i="20" s="1"/>
  <c r="E76" i="20" s="1"/>
  <c r="C84" i="20"/>
  <c r="D84" i="20" s="1"/>
  <c r="E84" i="20" s="1"/>
  <c r="C10" i="20"/>
  <c r="D10" i="20" s="1"/>
  <c r="I12" i="20"/>
  <c r="J12" i="20" s="1"/>
  <c r="K12" i="20" s="1"/>
  <c r="C14" i="20"/>
  <c r="D14" i="20" s="1"/>
  <c r="E14" i="20" s="1"/>
  <c r="C16" i="20"/>
  <c r="D16" i="20" s="1"/>
  <c r="E16" i="20" s="1"/>
  <c r="I18" i="20"/>
  <c r="J18" i="20" s="1"/>
  <c r="K18" i="20" s="1"/>
  <c r="C20" i="20"/>
  <c r="D20" i="20" s="1"/>
  <c r="E20" i="20" s="1"/>
  <c r="I22" i="20"/>
  <c r="J22" i="20" s="1"/>
  <c r="K22" i="20" s="1"/>
  <c r="C24" i="20"/>
  <c r="D24" i="20" s="1"/>
  <c r="E24" i="20" s="1"/>
  <c r="C26" i="20"/>
  <c r="D26" i="20" s="1"/>
  <c r="E26" i="20" s="1"/>
  <c r="I28" i="20"/>
  <c r="J28" i="20" s="1"/>
  <c r="K28" i="20" s="1"/>
  <c r="C30" i="20"/>
  <c r="D30" i="20" s="1"/>
  <c r="E30" i="20" s="1"/>
  <c r="I32" i="20"/>
  <c r="J32" i="20" s="1"/>
  <c r="K32" i="20" s="1"/>
  <c r="C34" i="20"/>
  <c r="D34" i="20" s="1"/>
  <c r="E34" i="20" s="1"/>
  <c r="I36" i="20"/>
  <c r="J36" i="20" s="1"/>
  <c r="K36" i="20" s="1"/>
  <c r="C38" i="20"/>
  <c r="D38" i="20" s="1"/>
  <c r="E38" i="20" s="1"/>
  <c r="I40" i="20"/>
  <c r="J40" i="20" s="1"/>
  <c r="C42" i="20"/>
  <c r="D42" i="20" s="1"/>
  <c r="E42" i="20" s="1"/>
  <c r="I44" i="20"/>
  <c r="J44" i="20" s="1"/>
  <c r="K44" i="20" s="1"/>
  <c r="I46" i="20"/>
  <c r="J46" i="20" s="1"/>
  <c r="K46" i="20" s="1"/>
  <c r="C48" i="20"/>
  <c r="D48" i="20" s="1"/>
  <c r="E48" i="20" s="1"/>
  <c r="I50" i="20"/>
  <c r="J50" i="20" s="1"/>
  <c r="K50" i="20" s="1"/>
  <c r="C52" i="20"/>
  <c r="D52" i="20" s="1"/>
  <c r="E52" i="20" s="1"/>
  <c r="I54" i="20"/>
  <c r="J54" i="20" s="1"/>
  <c r="K54" i="20" s="1"/>
  <c r="I56" i="20"/>
  <c r="J56" i="20" s="1"/>
  <c r="K56" i="20" s="1"/>
  <c r="C58" i="20"/>
  <c r="D58" i="20" s="1"/>
  <c r="E58" i="20" s="1"/>
  <c r="I60" i="20"/>
  <c r="J60" i="20" s="1"/>
  <c r="K60" i="20" s="1"/>
  <c r="C62" i="20"/>
  <c r="D62" i="20" s="1"/>
  <c r="E62" i="20" s="1"/>
  <c r="I64" i="20"/>
  <c r="J64" i="20" s="1"/>
  <c r="K64" i="20" s="1"/>
  <c r="C66" i="20"/>
  <c r="D66" i="20" s="1"/>
  <c r="E66" i="20" s="1"/>
  <c r="I68" i="20"/>
  <c r="J68" i="20" s="1"/>
  <c r="K68" i="20" s="1"/>
  <c r="C70" i="20"/>
  <c r="D70" i="20" s="1"/>
  <c r="I72" i="20"/>
  <c r="J72" i="20" s="1"/>
  <c r="K72" i="20" s="1"/>
  <c r="C74" i="20"/>
  <c r="D74" i="20" s="1"/>
  <c r="E74" i="20" s="1"/>
  <c r="I78" i="20"/>
  <c r="J78" i="20" s="1"/>
  <c r="K78" i="20" s="1"/>
  <c r="Y42" i="20" l="1"/>
  <c r="K40" i="20"/>
  <c r="V42" i="20" s="1"/>
  <c r="W10" i="20"/>
  <c r="E10" i="20"/>
  <c r="V10" i="20" s="1"/>
  <c r="Z57" i="20"/>
  <c r="K55" i="20"/>
  <c r="V57" i="20" s="1"/>
  <c r="AE130" i="20"/>
  <c r="E130" i="20"/>
  <c r="V130" i="20" s="1"/>
  <c r="AH176" i="20"/>
  <c r="E176" i="20"/>
  <c r="V176" i="20" s="1"/>
  <c r="E236" i="20"/>
  <c r="V236" i="20" s="1"/>
  <c r="AL236" i="20"/>
  <c r="K10" i="20"/>
  <c r="V12" i="20" s="1"/>
  <c r="W12" i="20"/>
  <c r="AC102" i="20"/>
  <c r="K100" i="20"/>
  <c r="V102" i="20" s="1"/>
  <c r="K85" i="20"/>
  <c r="V87" i="20" s="1"/>
  <c r="AB87" i="20"/>
  <c r="AK223" i="20"/>
  <c r="K221" i="20"/>
  <c r="V223" i="20" s="1"/>
  <c r="AL238" i="20"/>
  <c r="K236" i="20"/>
  <c r="V238" i="20" s="1"/>
  <c r="Z59" i="20"/>
  <c r="Q55" i="20"/>
  <c r="V59" i="20" s="1"/>
  <c r="Q40" i="20"/>
  <c r="V44" i="20" s="1"/>
  <c r="Y44" i="20"/>
  <c r="W14" i="20"/>
  <c r="Q10" i="20"/>
  <c r="V14" i="20" s="1"/>
  <c r="AE135" i="20"/>
  <c r="Q131" i="20"/>
  <c r="AB89" i="20"/>
  <c r="Q85" i="20"/>
  <c r="V89" i="20" s="1"/>
  <c r="AD119" i="20"/>
  <c r="Q115" i="20"/>
  <c r="V119" i="20" s="1"/>
  <c r="Q206" i="20"/>
  <c r="V210" i="20" s="1"/>
  <c r="AJ210" i="20"/>
  <c r="N85" i="20"/>
  <c r="V88" i="20" s="1"/>
  <c r="AB88" i="20"/>
  <c r="N115" i="20"/>
  <c r="V118" i="20" s="1"/>
  <c r="AD118" i="20"/>
  <c r="AJ209" i="20"/>
  <c r="N206" i="20"/>
  <c r="V209" i="20" s="1"/>
  <c r="AD115" i="20"/>
  <c r="E115" i="20"/>
  <c r="V115" i="20" s="1"/>
  <c r="AE131" i="20"/>
  <c r="E131" i="20"/>
  <c r="AG161" i="20"/>
  <c r="E161" i="20"/>
  <c r="V161" i="20" s="1"/>
  <c r="E206" i="20"/>
  <c r="V206" i="20" s="1"/>
  <c r="AJ206" i="20"/>
  <c r="E40" i="20"/>
  <c r="V40" i="20" s="1"/>
  <c r="Y40" i="20"/>
  <c r="K176" i="20"/>
  <c r="V178" i="20" s="1"/>
  <c r="AH178" i="20"/>
  <c r="AG163" i="20"/>
  <c r="K161" i="20"/>
  <c r="V163" i="20" s="1"/>
  <c r="X27" i="20"/>
  <c r="K25" i="20"/>
  <c r="V27" i="20" s="1"/>
  <c r="F251" i="20"/>
  <c r="G251" i="20" s="1"/>
  <c r="F247" i="20"/>
  <c r="G247" i="20" s="1"/>
  <c r="H247" i="20" s="1"/>
  <c r="F243" i="20"/>
  <c r="G243" i="20" s="1"/>
  <c r="H243" i="20" s="1"/>
  <c r="F239" i="20"/>
  <c r="G239" i="20" s="1"/>
  <c r="H239" i="20" s="1"/>
  <c r="F248" i="20"/>
  <c r="G248" i="20" s="1"/>
  <c r="H248" i="20" s="1"/>
  <c r="F244" i="20"/>
  <c r="G244" i="20" s="1"/>
  <c r="H244" i="20" s="1"/>
  <c r="F238" i="20"/>
  <c r="G238" i="20" s="1"/>
  <c r="H238" i="20" s="1"/>
  <c r="F249" i="20"/>
  <c r="G249" i="20" s="1"/>
  <c r="H249" i="20" s="1"/>
  <c r="F245" i="20"/>
  <c r="G245" i="20" s="1"/>
  <c r="H245" i="20" s="1"/>
  <c r="F241" i="20"/>
  <c r="G241" i="20" s="1"/>
  <c r="H241" i="20" s="1"/>
  <c r="F237" i="20"/>
  <c r="G237" i="20" s="1"/>
  <c r="H237" i="20" s="1"/>
  <c r="F235" i="20"/>
  <c r="G235" i="20" s="1"/>
  <c r="H235" i="20" s="1"/>
  <c r="F250" i="20"/>
  <c r="G250" i="20" s="1"/>
  <c r="H250" i="20" s="1"/>
  <c r="F246" i="20"/>
  <c r="G246" i="20" s="1"/>
  <c r="H246" i="20" s="1"/>
  <c r="F242" i="20"/>
  <c r="G242" i="20" s="1"/>
  <c r="H242" i="20" s="1"/>
  <c r="F240" i="20"/>
  <c r="G240" i="20" s="1"/>
  <c r="H240" i="20" s="1"/>
  <c r="F236" i="20"/>
  <c r="G236" i="20" s="1"/>
  <c r="F232" i="20"/>
  <c r="G232" i="20" s="1"/>
  <c r="H232" i="20" s="1"/>
  <c r="F228" i="20"/>
  <c r="G228" i="20" s="1"/>
  <c r="H228" i="20" s="1"/>
  <c r="F224" i="20"/>
  <c r="G224" i="20" s="1"/>
  <c r="H224" i="20" s="1"/>
  <c r="F233" i="20"/>
  <c r="G233" i="20" s="1"/>
  <c r="H233" i="20" s="1"/>
  <c r="F229" i="20"/>
  <c r="G229" i="20" s="1"/>
  <c r="H229" i="20" s="1"/>
  <c r="F223" i="20"/>
  <c r="G223" i="20" s="1"/>
  <c r="H223" i="20" s="1"/>
  <c r="F219" i="20"/>
  <c r="G219" i="20" s="1"/>
  <c r="H219" i="20" s="1"/>
  <c r="F234" i="20"/>
  <c r="G234" i="20" s="1"/>
  <c r="H234" i="20" s="1"/>
  <c r="F230" i="20"/>
  <c r="G230" i="20" s="1"/>
  <c r="H230" i="20" s="1"/>
  <c r="F226" i="20"/>
  <c r="G226" i="20" s="1"/>
  <c r="H226" i="20" s="1"/>
  <c r="F222" i="20"/>
  <c r="G222" i="20" s="1"/>
  <c r="H222" i="20" s="1"/>
  <c r="F220" i="20"/>
  <c r="G220" i="20" s="1"/>
  <c r="H220" i="20" s="1"/>
  <c r="F231" i="20"/>
  <c r="G231" i="20" s="1"/>
  <c r="H231" i="20" s="1"/>
  <c r="F227" i="20"/>
  <c r="G227" i="20" s="1"/>
  <c r="H227" i="20" s="1"/>
  <c r="F225" i="20"/>
  <c r="G225" i="20" s="1"/>
  <c r="H225" i="20" s="1"/>
  <c r="F221" i="20"/>
  <c r="G221" i="20" s="1"/>
  <c r="F217" i="20"/>
  <c r="G217" i="20" s="1"/>
  <c r="H217" i="20" s="1"/>
  <c r="F213" i="20"/>
  <c r="G213" i="20" s="1"/>
  <c r="H213" i="20" s="1"/>
  <c r="F209" i="20"/>
  <c r="G209" i="20" s="1"/>
  <c r="H209" i="20" s="1"/>
  <c r="F203" i="20"/>
  <c r="G203" i="20" s="1"/>
  <c r="H203" i="20" s="1"/>
  <c r="F199" i="20"/>
  <c r="G199" i="20" s="1"/>
  <c r="H199" i="20" s="1"/>
  <c r="F214" i="20"/>
  <c r="G214" i="20" s="1"/>
  <c r="H214" i="20" s="1"/>
  <c r="F208" i="20"/>
  <c r="G208" i="20" s="1"/>
  <c r="H208" i="20" s="1"/>
  <c r="F204" i="20"/>
  <c r="G204" i="20" s="1"/>
  <c r="H204" i="20" s="1"/>
  <c r="F200" i="20"/>
  <c r="G200" i="20" s="1"/>
  <c r="H200" i="20" s="1"/>
  <c r="F215" i="20"/>
  <c r="G215" i="20" s="1"/>
  <c r="H215" i="20" s="1"/>
  <c r="F211" i="20"/>
  <c r="G211" i="20" s="1"/>
  <c r="H211" i="20" s="1"/>
  <c r="F207" i="20"/>
  <c r="G207" i="20" s="1"/>
  <c r="H207" i="20" s="1"/>
  <c r="F205" i="20"/>
  <c r="G205" i="20" s="1"/>
  <c r="H205" i="20" s="1"/>
  <c r="F201" i="20"/>
  <c r="G201" i="20" s="1"/>
  <c r="H201" i="20" s="1"/>
  <c r="F218" i="20"/>
  <c r="G218" i="20" s="1"/>
  <c r="H218" i="20" s="1"/>
  <c r="F216" i="20"/>
  <c r="G216" i="20" s="1"/>
  <c r="H216" i="20" s="1"/>
  <c r="F212" i="20"/>
  <c r="G212" i="20" s="1"/>
  <c r="H212" i="20" s="1"/>
  <c r="F210" i="20"/>
  <c r="G210" i="20" s="1"/>
  <c r="H210" i="20" s="1"/>
  <c r="F206" i="20"/>
  <c r="G206" i="20" s="1"/>
  <c r="F202" i="20"/>
  <c r="G202" i="20" s="1"/>
  <c r="H202" i="20" s="1"/>
  <c r="F197" i="20"/>
  <c r="G197" i="20" s="1"/>
  <c r="H197" i="20" s="1"/>
  <c r="F195" i="20"/>
  <c r="G195" i="20" s="1"/>
  <c r="H195" i="20" s="1"/>
  <c r="F191" i="20"/>
  <c r="G191" i="20" s="1"/>
  <c r="F187" i="20"/>
  <c r="G187" i="20" s="1"/>
  <c r="H187" i="20" s="1"/>
  <c r="F183" i="20"/>
  <c r="G183" i="20" s="1"/>
  <c r="H183" i="20" s="1"/>
  <c r="F198" i="20"/>
  <c r="G198" i="20" s="1"/>
  <c r="H198" i="20" s="1"/>
  <c r="F194" i="20"/>
  <c r="G194" i="20" s="1"/>
  <c r="H194" i="20" s="1"/>
  <c r="F188" i="20"/>
  <c r="G188" i="20" s="1"/>
  <c r="H188" i="20" s="1"/>
  <c r="F184" i="20"/>
  <c r="G184" i="20" s="1"/>
  <c r="H184" i="20" s="1"/>
  <c r="F193" i="20"/>
  <c r="G193" i="20" s="1"/>
  <c r="H193" i="20" s="1"/>
  <c r="F189" i="20"/>
  <c r="G189" i="20" s="1"/>
  <c r="H189" i="20" s="1"/>
  <c r="F185" i="20"/>
  <c r="G185" i="20" s="1"/>
  <c r="H185" i="20" s="1"/>
  <c r="F181" i="20"/>
  <c r="G181" i="20" s="1"/>
  <c r="H181" i="20" s="1"/>
  <c r="F196" i="20"/>
  <c r="G196" i="20" s="1"/>
  <c r="H196" i="20" s="1"/>
  <c r="F192" i="20"/>
  <c r="G192" i="20" s="1"/>
  <c r="H192" i="20" s="1"/>
  <c r="F190" i="20"/>
  <c r="G190" i="20" s="1"/>
  <c r="H190" i="20" s="1"/>
  <c r="F186" i="20"/>
  <c r="G186" i="20" s="1"/>
  <c r="H186" i="20" s="1"/>
  <c r="F182" i="20"/>
  <c r="G182" i="20" s="1"/>
  <c r="H182" i="20" s="1"/>
  <c r="F180" i="20"/>
  <c r="G180" i="20" s="1"/>
  <c r="H180" i="20" s="1"/>
  <c r="F177" i="20"/>
  <c r="G177" i="20" s="1"/>
  <c r="H177" i="20" s="1"/>
  <c r="F175" i="20"/>
  <c r="G175" i="20" s="1"/>
  <c r="H175" i="20" s="1"/>
  <c r="F171" i="20"/>
  <c r="G171" i="20" s="1"/>
  <c r="H171" i="20" s="1"/>
  <c r="F167" i="20"/>
  <c r="G167" i="20" s="1"/>
  <c r="H167" i="20" s="1"/>
  <c r="F165" i="20"/>
  <c r="G165" i="20" s="1"/>
  <c r="H165" i="20" s="1"/>
  <c r="F161" i="20"/>
  <c r="G161" i="20" s="1"/>
  <c r="F157" i="20"/>
  <c r="G157" i="20" s="1"/>
  <c r="H157" i="20" s="1"/>
  <c r="F153" i="20"/>
  <c r="G153" i="20" s="1"/>
  <c r="H153" i="20" s="1"/>
  <c r="F149" i="20"/>
  <c r="G149" i="20" s="1"/>
  <c r="H149" i="20" s="1"/>
  <c r="F176" i="20"/>
  <c r="G176" i="20" s="1"/>
  <c r="F172" i="20"/>
  <c r="G172" i="20" s="1"/>
  <c r="H172" i="20" s="1"/>
  <c r="F168" i="20"/>
  <c r="G168" i="20" s="1"/>
  <c r="H168" i="20" s="1"/>
  <c r="F164" i="20"/>
  <c r="G164" i="20" s="1"/>
  <c r="H164" i="20" s="1"/>
  <c r="F158" i="20"/>
  <c r="G158" i="20" s="1"/>
  <c r="H158" i="20" s="1"/>
  <c r="F154" i="20"/>
  <c r="G154" i="20" s="1"/>
  <c r="H154" i="20" s="1"/>
  <c r="F148" i="20"/>
  <c r="G148" i="20" s="1"/>
  <c r="H148" i="20" s="1"/>
  <c r="F144" i="20"/>
  <c r="G144" i="20" s="1"/>
  <c r="H144" i="20" s="1"/>
  <c r="F179" i="20"/>
  <c r="G179" i="20" s="1"/>
  <c r="H179" i="20" s="1"/>
  <c r="F173" i="20"/>
  <c r="G173" i="20" s="1"/>
  <c r="H173" i="20" s="1"/>
  <c r="F169" i="20"/>
  <c r="G169" i="20" s="1"/>
  <c r="H169" i="20" s="1"/>
  <c r="F163" i="20"/>
  <c r="G163" i="20" s="1"/>
  <c r="H163" i="20" s="1"/>
  <c r="F159" i="20"/>
  <c r="G159" i="20" s="1"/>
  <c r="H159" i="20" s="1"/>
  <c r="F155" i="20"/>
  <c r="G155" i="20" s="1"/>
  <c r="H155" i="20" s="1"/>
  <c r="F151" i="20"/>
  <c r="G151" i="20" s="1"/>
  <c r="H151" i="20" s="1"/>
  <c r="F147" i="20"/>
  <c r="G147" i="20" s="1"/>
  <c r="H147" i="20" s="1"/>
  <c r="F145" i="20"/>
  <c r="G145" i="20" s="1"/>
  <c r="H145" i="20" s="1"/>
  <c r="F178" i="20"/>
  <c r="G178" i="20" s="1"/>
  <c r="H178" i="20" s="1"/>
  <c r="F174" i="20"/>
  <c r="G174" i="20" s="1"/>
  <c r="H174" i="20" s="1"/>
  <c r="F170" i="20"/>
  <c r="G170" i="20" s="1"/>
  <c r="H170" i="20" s="1"/>
  <c r="F166" i="20"/>
  <c r="G166" i="20" s="1"/>
  <c r="H166" i="20" s="1"/>
  <c r="F162" i="20"/>
  <c r="G162" i="20" s="1"/>
  <c r="H162" i="20" s="1"/>
  <c r="F160" i="20"/>
  <c r="G160" i="20" s="1"/>
  <c r="H160" i="20" s="1"/>
  <c r="F150" i="20"/>
  <c r="G150" i="20" s="1"/>
  <c r="H150" i="20" s="1"/>
  <c r="F146" i="20"/>
  <c r="G146" i="20" s="1"/>
  <c r="F141" i="20"/>
  <c r="G141" i="20" s="1"/>
  <c r="H141" i="20" s="1"/>
  <c r="F137" i="20"/>
  <c r="G137" i="20" s="1"/>
  <c r="H137" i="20" s="1"/>
  <c r="F135" i="20"/>
  <c r="G135" i="20" s="1"/>
  <c r="H135" i="20" s="1"/>
  <c r="F131" i="20"/>
  <c r="G131" i="20" s="1"/>
  <c r="F129" i="20"/>
  <c r="G129" i="20" s="1"/>
  <c r="H129" i="20" s="1"/>
  <c r="F125" i="20"/>
  <c r="G125" i="20" s="1"/>
  <c r="H125" i="20" s="1"/>
  <c r="F121" i="20"/>
  <c r="G121" i="20" s="1"/>
  <c r="H121" i="20" s="1"/>
  <c r="F119" i="20"/>
  <c r="G119" i="20" s="1"/>
  <c r="H119" i="20" s="1"/>
  <c r="F115" i="20"/>
  <c r="G115" i="20" s="1"/>
  <c r="F152" i="20"/>
  <c r="G152" i="20" s="1"/>
  <c r="H152" i="20" s="1"/>
  <c r="F142" i="20"/>
  <c r="G142" i="20" s="1"/>
  <c r="H142" i="20" s="1"/>
  <c r="F138" i="20"/>
  <c r="G138" i="20" s="1"/>
  <c r="H138" i="20" s="1"/>
  <c r="F134" i="20"/>
  <c r="G134" i="20" s="1"/>
  <c r="H134" i="20" s="1"/>
  <c r="F130" i="20"/>
  <c r="G130" i="20" s="1"/>
  <c r="H130" i="20" s="1"/>
  <c r="F126" i="20"/>
  <c r="G126" i="20" s="1"/>
  <c r="H126" i="20" s="1"/>
  <c r="F122" i="20"/>
  <c r="G122" i="20" s="1"/>
  <c r="H122" i="20" s="1"/>
  <c r="F118" i="20"/>
  <c r="G118" i="20" s="1"/>
  <c r="H118" i="20" s="1"/>
  <c r="F112" i="20"/>
  <c r="G112" i="20" s="1"/>
  <c r="H112" i="20" s="1"/>
  <c r="F143" i="20"/>
  <c r="G143" i="20" s="1"/>
  <c r="H143" i="20" s="1"/>
  <c r="F139" i="20"/>
  <c r="G139" i="20" s="1"/>
  <c r="H139" i="20" s="1"/>
  <c r="F133" i="20"/>
  <c r="G133" i="20" s="1"/>
  <c r="H133" i="20" s="1"/>
  <c r="F127" i="20"/>
  <c r="G127" i="20" s="1"/>
  <c r="H127" i="20" s="1"/>
  <c r="F123" i="20"/>
  <c r="G123" i="20" s="1"/>
  <c r="H123" i="20" s="1"/>
  <c r="F117" i="20"/>
  <c r="G117" i="20" s="1"/>
  <c r="H117" i="20" s="1"/>
  <c r="F113" i="20"/>
  <c r="G113" i="20" s="1"/>
  <c r="H113" i="20" s="1"/>
  <c r="F140" i="20"/>
  <c r="G140" i="20" s="1"/>
  <c r="H140" i="20" s="1"/>
  <c r="F114" i="20"/>
  <c r="G114" i="20" s="1"/>
  <c r="H114" i="20" s="1"/>
  <c r="F108" i="20"/>
  <c r="G108" i="20" s="1"/>
  <c r="H108" i="20" s="1"/>
  <c r="F102" i="20"/>
  <c r="G102" i="20" s="1"/>
  <c r="H102" i="20" s="1"/>
  <c r="F98" i="20"/>
  <c r="G98" i="20" s="1"/>
  <c r="H98" i="20" s="1"/>
  <c r="F94" i="20"/>
  <c r="G94" i="20" s="1"/>
  <c r="H94" i="20" s="1"/>
  <c r="F90" i="20"/>
  <c r="G90" i="20" s="1"/>
  <c r="H90" i="20" s="1"/>
  <c r="F86" i="20"/>
  <c r="G86" i="20" s="1"/>
  <c r="H86" i="20" s="1"/>
  <c r="F84" i="20"/>
  <c r="G84" i="20" s="1"/>
  <c r="H84" i="20" s="1"/>
  <c r="F80" i="20"/>
  <c r="G80" i="20" s="1"/>
  <c r="H80" i="20" s="1"/>
  <c r="F76" i="20"/>
  <c r="G76" i="20" s="1"/>
  <c r="H76" i="20" s="1"/>
  <c r="F74" i="20"/>
  <c r="G74" i="20" s="1"/>
  <c r="H74" i="20" s="1"/>
  <c r="F156" i="20"/>
  <c r="G156" i="20" s="1"/>
  <c r="H156" i="20" s="1"/>
  <c r="F132" i="20"/>
  <c r="G132" i="20" s="1"/>
  <c r="H132" i="20" s="1"/>
  <c r="F128" i="20"/>
  <c r="G128" i="20" s="1"/>
  <c r="H128" i="20" s="1"/>
  <c r="F120" i="20"/>
  <c r="G120" i="20" s="1"/>
  <c r="H120" i="20" s="1"/>
  <c r="F116" i="20"/>
  <c r="G116" i="20" s="1"/>
  <c r="H116" i="20" s="1"/>
  <c r="F109" i="20"/>
  <c r="G109" i="20" s="1"/>
  <c r="H109" i="20" s="1"/>
  <c r="F105" i="20"/>
  <c r="G105" i="20" s="1"/>
  <c r="H105" i="20" s="1"/>
  <c r="F101" i="20"/>
  <c r="G101" i="20" s="1"/>
  <c r="H101" i="20" s="1"/>
  <c r="F99" i="20"/>
  <c r="G99" i="20" s="1"/>
  <c r="H99" i="20" s="1"/>
  <c r="F95" i="20"/>
  <c r="G95" i="20" s="1"/>
  <c r="H95" i="20" s="1"/>
  <c r="F91" i="20"/>
  <c r="G91" i="20" s="1"/>
  <c r="H91" i="20" s="1"/>
  <c r="F89" i="20"/>
  <c r="G89" i="20" s="1"/>
  <c r="H89" i="20" s="1"/>
  <c r="F85" i="20"/>
  <c r="G85" i="20" s="1"/>
  <c r="F81" i="20"/>
  <c r="G81" i="20" s="1"/>
  <c r="H81" i="20" s="1"/>
  <c r="F77" i="20"/>
  <c r="G77" i="20" s="1"/>
  <c r="H77" i="20" s="1"/>
  <c r="F136" i="20"/>
  <c r="G136" i="20" s="1"/>
  <c r="H136" i="20" s="1"/>
  <c r="F110" i="20"/>
  <c r="G110" i="20" s="1"/>
  <c r="H110" i="20" s="1"/>
  <c r="F106" i="20"/>
  <c r="G106" i="20" s="1"/>
  <c r="H106" i="20" s="1"/>
  <c r="F104" i="20"/>
  <c r="G104" i="20" s="1"/>
  <c r="H104" i="20" s="1"/>
  <c r="F100" i="20"/>
  <c r="G100" i="20" s="1"/>
  <c r="F96" i="20"/>
  <c r="G96" i="20" s="1"/>
  <c r="H96" i="20" s="1"/>
  <c r="F92" i="20"/>
  <c r="G92" i="20" s="1"/>
  <c r="H92" i="20" s="1"/>
  <c r="F88" i="20"/>
  <c r="G88" i="20" s="1"/>
  <c r="H88" i="20" s="1"/>
  <c r="F82" i="20"/>
  <c r="G82" i="20" s="1"/>
  <c r="H82" i="20" s="1"/>
  <c r="F78" i="20"/>
  <c r="G78" i="20" s="1"/>
  <c r="H78" i="20" s="1"/>
  <c r="F124" i="20"/>
  <c r="G124" i="20" s="1"/>
  <c r="H124" i="20" s="1"/>
  <c r="F111" i="20"/>
  <c r="G111" i="20" s="1"/>
  <c r="H111" i="20" s="1"/>
  <c r="F107" i="20"/>
  <c r="G107" i="20" s="1"/>
  <c r="H107" i="20" s="1"/>
  <c r="F103" i="20"/>
  <c r="G103" i="20" s="1"/>
  <c r="H103" i="20" s="1"/>
  <c r="F97" i="20"/>
  <c r="G97" i="20" s="1"/>
  <c r="H97" i="20" s="1"/>
  <c r="F93" i="20"/>
  <c r="G93" i="20" s="1"/>
  <c r="H93" i="20" s="1"/>
  <c r="F87" i="20"/>
  <c r="G87" i="20" s="1"/>
  <c r="H87" i="20" s="1"/>
  <c r="F79" i="20"/>
  <c r="G79" i="20" s="1"/>
  <c r="H79" i="20" s="1"/>
  <c r="F71" i="20"/>
  <c r="G71" i="20" s="1"/>
  <c r="H71" i="20" s="1"/>
  <c r="F69" i="20"/>
  <c r="G69" i="20" s="1"/>
  <c r="H69" i="20" s="1"/>
  <c r="F65" i="20"/>
  <c r="G65" i="20" s="1"/>
  <c r="H65" i="20" s="1"/>
  <c r="F61" i="20"/>
  <c r="G61" i="20" s="1"/>
  <c r="H61" i="20" s="1"/>
  <c r="F59" i="20"/>
  <c r="G59" i="20" s="1"/>
  <c r="H59" i="20" s="1"/>
  <c r="F55" i="20"/>
  <c r="G55" i="20" s="1"/>
  <c r="F51" i="20"/>
  <c r="G51" i="20" s="1"/>
  <c r="H51" i="20" s="1"/>
  <c r="F47" i="20"/>
  <c r="G47" i="20" s="1"/>
  <c r="H47" i="20" s="1"/>
  <c r="F43" i="20"/>
  <c r="G43" i="20" s="1"/>
  <c r="H43" i="20" s="1"/>
  <c r="F37" i="20"/>
  <c r="G37" i="20" s="1"/>
  <c r="H37" i="20" s="1"/>
  <c r="F33" i="20"/>
  <c r="G33" i="20" s="1"/>
  <c r="H33" i="20" s="1"/>
  <c r="F27" i="20"/>
  <c r="G27" i="20" s="1"/>
  <c r="H27" i="20" s="1"/>
  <c r="F23" i="20"/>
  <c r="G23" i="20" s="1"/>
  <c r="H23" i="20" s="1"/>
  <c r="F19" i="20"/>
  <c r="G19" i="20" s="1"/>
  <c r="H19" i="20" s="1"/>
  <c r="F15" i="20"/>
  <c r="G15" i="20" s="1"/>
  <c r="H15" i="20" s="1"/>
  <c r="F11" i="20"/>
  <c r="G11" i="20" s="1"/>
  <c r="F70" i="20"/>
  <c r="G70" i="20" s="1"/>
  <c r="F66" i="20"/>
  <c r="G66" i="20" s="1"/>
  <c r="H66" i="20" s="1"/>
  <c r="F62" i="20"/>
  <c r="G62" i="20" s="1"/>
  <c r="H62" i="20" s="1"/>
  <c r="F58" i="20"/>
  <c r="G58" i="20" s="1"/>
  <c r="H58" i="20" s="1"/>
  <c r="F52" i="20"/>
  <c r="G52" i="20" s="1"/>
  <c r="H52" i="20" s="1"/>
  <c r="F48" i="20"/>
  <c r="G48" i="20" s="1"/>
  <c r="H48" i="20" s="1"/>
  <c r="F42" i="20"/>
  <c r="G42" i="20" s="1"/>
  <c r="H42" i="20" s="1"/>
  <c r="F38" i="20"/>
  <c r="G38" i="20" s="1"/>
  <c r="H38" i="20" s="1"/>
  <c r="F34" i="20"/>
  <c r="G34" i="20" s="1"/>
  <c r="H34" i="20" s="1"/>
  <c r="F30" i="20"/>
  <c r="G30" i="20" s="1"/>
  <c r="H30" i="20" s="1"/>
  <c r="F26" i="20"/>
  <c r="G26" i="20" s="1"/>
  <c r="H26" i="20" s="1"/>
  <c r="F24" i="20"/>
  <c r="G24" i="20" s="1"/>
  <c r="H24" i="20" s="1"/>
  <c r="F20" i="20"/>
  <c r="G20" i="20" s="1"/>
  <c r="H20" i="20" s="1"/>
  <c r="F16" i="20"/>
  <c r="G16" i="20" s="1"/>
  <c r="H16" i="20" s="1"/>
  <c r="F14" i="20"/>
  <c r="G14" i="20" s="1"/>
  <c r="H14" i="20" s="1"/>
  <c r="F10" i="20"/>
  <c r="G10" i="20" s="1"/>
  <c r="H10" i="20" s="1"/>
  <c r="V11" i="20" s="1"/>
  <c r="F83" i="20"/>
  <c r="G83" i="20" s="1"/>
  <c r="H83" i="20" s="1"/>
  <c r="F75" i="20"/>
  <c r="G75" i="20" s="1"/>
  <c r="H75" i="20" s="1"/>
  <c r="F73" i="20"/>
  <c r="G73" i="20" s="1"/>
  <c r="H73" i="20" s="1"/>
  <c r="F67" i="20"/>
  <c r="G67" i="20" s="1"/>
  <c r="H67" i="20" s="1"/>
  <c r="F63" i="20"/>
  <c r="G63" i="20" s="1"/>
  <c r="H63" i="20" s="1"/>
  <c r="F57" i="20"/>
  <c r="G57" i="20" s="1"/>
  <c r="H57" i="20" s="1"/>
  <c r="F53" i="20"/>
  <c r="G53" i="20" s="1"/>
  <c r="H53" i="20" s="1"/>
  <c r="F49" i="20"/>
  <c r="G49" i="20" s="1"/>
  <c r="H49" i="20" s="1"/>
  <c r="F45" i="20"/>
  <c r="G45" i="20" s="1"/>
  <c r="H45" i="20" s="1"/>
  <c r="F41" i="20"/>
  <c r="G41" i="20" s="1"/>
  <c r="H41" i="20" s="1"/>
  <c r="F39" i="20"/>
  <c r="G39" i="20" s="1"/>
  <c r="H39" i="20" s="1"/>
  <c r="F35" i="20"/>
  <c r="G35" i="20" s="1"/>
  <c r="H35" i="20" s="1"/>
  <c r="F31" i="20"/>
  <c r="G31" i="20" s="1"/>
  <c r="H31" i="20" s="1"/>
  <c r="F29" i="20"/>
  <c r="G29" i="20" s="1"/>
  <c r="H29" i="20" s="1"/>
  <c r="F25" i="20"/>
  <c r="G25" i="20" s="1"/>
  <c r="F21" i="20"/>
  <c r="G21" i="20" s="1"/>
  <c r="H21" i="20" s="1"/>
  <c r="F17" i="20"/>
  <c r="G17" i="20" s="1"/>
  <c r="H17" i="20" s="1"/>
  <c r="F13" i="20"/>
  <c r="G13" i="20" s="1"/>
  <c r="H13" i="20" s="1"/>
  <c r="F72" i="20"/>
  <c r="G72" i="20" s="1"/>
  <c r="H72" i="20" s="1"/>
  <c r="F68" i="20"/>
  <c r="G68" i="20" s="1"/>
  <c r="H68" i="20" s="1"/>
  <c r="F64" i="20"/>
  <c r="G64" i="20" s="1"/>
  <c r="H64" i="20" s="1"/>
  <c r="F60" i="20"/>
  <c r="G60" i="20" s="1"/>
  <c r="H60" i="20" s="1"/>
  <c r="F56" i="20"/>
  <c r="G56" i="20" s="1"/>
  <c r="H56" i="20" s="1"/>
  <c r="F54" i="20"/>
  <c r="G54" i="20" s="1"/>
  <c r="H54" i="20" s="1"/>
  <c r="F50" i="20"/>
  <c r="G50" i="20" s="1"/>
  <c r="H50" i="20" s="1"/>
  <c r="F46" i="20"/>
  <c r="G46" i="20" s="1"/>
  <c r="H46" i="20" s="1"/>
  <c r="F44" i="20"/>
  <c r="G44" i="20" s="1"/>
  <c r="H44" i="20" s="1"/>
  <c r="F40" i="20"/>
  <c r="G40" i="20" s="1"/>
  <c r="F36" i="20"/>
  <c r="G36" i="20" s="1"/>
  <c r="H36" i="20" s="1"/>
  <c r="F32" i="20"/>
  <c r="G32" i="20" s="1"/>
  <c r="H32" i="20" s="1"/>
  <c r="F28" i="20"/>
  <c r="G28" i="20" s="1"/>
  <c r="H28" i="20" s="1"/>
  <c r="F22" i="20"/>
  <c r="G22" i="20" s="1"/>
  <c r="H22" i="20" s="1"/>
  <c r="F18" i="20"/>
  <c r="G18" i="20" s="1"/>
  <c r="H18" i="20" s="1"/>
  <c r="F12" i="20"/>
  <c r="G12" i="20" s="1"/>
  <c r="H12" i="20" s="1"/>
  <c r="Q146" i="20"/>
  <c r="V150" i="20" s="1"/>
  <c r="AF150" i="20"/>
  <c r="Q221" i="20"/>
  <c r="V225" i="20" s="1"/>
  <c r="AK225" i="20"/>
  <c r="AA73" i="20"/>
  <c r="N70" i="20"/>
  <c r="V73" i="20" s="1"/>
  <c r="N55" i="20"/>
  <c r="V58" i="20" s="1"/>
  <c r="Z58" i="20"/>
  <c r="Y43" i="20"/>
  <c r="N40" i="20"/>
  <c r="V43" i="20" s="1"/>
  <c r="N131" i="20"/>
  <c r="AE134" i="20"/>
  <c r="AF149" i="20"/>
  <c r="N146" i="20"/>
  <c r="V149" i="20" s="1"/>
  <c r="N191" i="20"/>
  <c r="V194" i="20" s="1"/>
  <c r="AI194" i="20"/>
  <c r="N251" i="20"/>
  <c r="V254" i="20" s="1"/>
  <c r="AM254" i="20"/>
  <c r="K70" i="20"/>
  <c r="V72" i="20" s="1"/>
  <c r="AA72" i="20"/>
  <c r="AD117" i="20"/>
  <c r="K115" i="20"/>
  <c r="V117" i="20" s="1"/>
  <c r="Z55" i="20"/>
  <c r="E55" i="20"/>
  <c r="V55" i="20" s="1"/>
  <c r="AC104" i="20"/>
  <c r="Q100" i="20"/>
  <c r="V104" i="20" s="1"/>
  <c r="AI195" i="20"/>
  <c r="Q191" i="20"/>
  <c r="V195" i="20" s="1"/>
  <c r="AM255" i="20"/>
  <c r="Q251" i="20"/>
  <c r="V255" i="20" s="1"/>
  <c r="N10" i="20"/>
  <c r="V13" i="20" s="1"/>
  <c r="W13" i="20"/>
  <c r="N100" i="20"/>
  <c r="V103" i="20" s="1"/>
  <c r="AC103" i="20"/>
  <c r="AK224" i="20"/>
  <c r="N221" i="20"/>
  <c r="V224" i="20" s="1"/>
  <c r="AL239" i="20"/>
  <c r="N236" i="20"/>
  <c r="V239" i="20" s="1"/>
  <c r="AA70" i="20"/>
  <c r="E70" i="20"/>
  <c r="V70" i="20" s="1"/>
  <c r="X25" i="20"/>
  <c r="E25" i="20"/>
  <c r="V25" i="20" s="1"/>
  <c r="AC100" i="20"/>
  <c r="E100" i="20"/>
  <c r="V100" i="20" s="1"/>
  <c r="AB85" i="20"/>
  <c r="E85" i="20"/>
  <c r="V85" i="20" s="1"/>
  <c r="E146" i="20"/>
  <c r="V146" i="20" s="1"/>
  <c r="AF146" i="20"/>
  <c r="AI191" i="20"/>
  <c r="E191" i="20"/>
  <c r="V191" i="20" s="1"/>
  <c r="E221" i="20"/>
  <c r="V221" i="20" s="1"/>
  <c r="AK221" i="20"/>
  <c r="AM251" i="20"/>
  <c r="E251" i="20"/>
  <c r="V251" i="20" s="1"/>
  <c r="AE133" i="20"/>
  <c r="K131" i="20"/>
  <c r="AF148" i="20"/>
  <c r="K146" i="20"/>
  <c r="V148" i="20" s="1"/>
  <c r="AI193" i="20"/>
  <c r="K191" i="20"/>
  <c r="V193" i="20" s="1"/>
  <c r="AJ208" i="20"/>
  <c r="K206" i="20"/>
  <c r="V208" i="20" s="1"/>
  <c r="AM253" i="20"/>
  <c r="K251" i="20"/>
  <c r="V253" i="20" s="1"/>
  <c r="X29" i="20"/>
  <c r="Q25" i="20"/>
  <c r="V29" i="20" s="1"/>
  <c r="AA74" i="20"/>
  <c r="Q70" i="20"/>
  <c r="V74" i="20" s="1"/>
  <c r="AG165" i="20"/>
  <c r="Q161" i="20"/>
  <c r="V165" i="20" s="1"/>
  <c r="AH180" i="20"/>
  <c r="Q176" i="20"/>
  <c r="V180" i="20" s="1"/>
  <c r="Q236" i="20"/>
  <c r="V240" i="20" s="1"/>
  <c r="AL240" i="20"/>
  <c r="N25" i="20"/>
  <c r="V28" i="20" s="1"/>
  <c r="X28" i="20"/>
  <c r="AH179" i="20"/>
  <c r="N176" i="20"/>
  <c r="V179" i="20" s="1"/>
  <c r="N161" i="20"/>
  <c r="V164" i="20" s="1"/>
  <c r="AG164" i="20"/>
  <c r="H55" i="20" l="1"/>
  <c r="V56" i="20" s="1"/>
  <c r="Z56" i="20"/>
  <c r="H131" i="20"/>
  <c r="AE132" i="20"/>
  <c r="H146" i="20"/>
  <c r="V147" i="20" s="1"/>
  <c r="AF147" i="20"/>
  <c r="AH177" i="20"/>
  <c r="H176" i="20"/>
  <c r="V177" i="20" s="1"/>
  <c r="H161" i="20"/>
  <c r="V162" i="20" s="1"/>
  <c r="AG162" i="20"/>
  <c r="AA71" i="20"/>
  <c r="H70" i="20"/>
  <c r="V71" i="20" s="1"/>
  <c r="H221" i="20"/>
  <c r="V222" i="20" s="1"/>
  <c r="AK222" i="20"/>
  <c r="H236" i="20"/>
  <c r="V237" i="20" s="1"/>
  <c r="AL237" i="20"/>
  <c r="AM252" i="20"/>
  <c r="H251" i="20"/>
  <c r="V252" i="20" s="1"/>
  <c r="H40" i="20"/>
  <c r="V41" i="20" s="1"/>
  <c r="Y41" i="20"/>
  <c r="W11" i="20"/>
  <c r="H11" i="20"/>
  <c r="AB86" i="20"/>
  <c r="H85" i="20"/>
  <c r="V86" i="20" s="1"/>
  <c r="H191" i="20"/>
  <c r="V192" i="20" s="1"/>
  <c r="AI192" i="20"/>
  <c r="H206" i="20"/>
  <c r="V207" i="20" s="1"/>
  <c r="AJ207" i="20"/>
  <c r="H25" i="20"/>
  <c r="V26" i="20" s="1"/>
  <c r="X26" i="20"/>
  <c r="H100" i="20"/>
  <c r="V101" i="20" s="1"/>
  <c r="AC101" i="20"/>
  <c r="H115" i="20"/>
  <c r="V116" i="20" s="1"/>
  <c r="AD116" i="20"/>
  <c r="S3" i="17" l="1"/>
  <c r="S3" i="18"/>
  <c r="A18" i="14"/>
  <c r="A18" i="12"/>
  <c r="A5" i="2" l="1"/>
  <c r="C5" i="2"/>
  <c r="C5" i="14"/>
  <c r="A5" i="14"/>
  <c r="F5" i="19" l="1"/>
  <c r="G5" i="19" s="1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V135" i="19"/>
  <c r="B135" i="19"/>
  <c r="V134" i="19"/>
  <c r="B134" i="19"/>
  <c r="V133" i="19"/>
  <c r="B133" i="19"/>
  <c r="V132" i="19"/>
  <c r="B132" i="19"/>
  <c r="V131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C6" i="19"/>
  <c r="F100" i="19" s="1"/>
  <c r="G100" i="19" s="1"/>
  <c r="H100" i="19" s="1"/>
  <c r="R5" i="19"/>
  <c r="S5" i="19" s="1"/>
  <c r="O5" i="19"/>
  <c r="P5" i="19" s="1"/>
  <c r="J5" i="19"/>
  <c r="C5" i="19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V135" i="18"/>
  <c r="B135" i="18"/>
  <c r="V134" i="18"/>
  <c r="B134" i="18"/>
  <c r="V133" i="18"/>
  <c r="B133" i="18"/>
  <c r="V132" i="18"/>
  <c r="B132" i="18"/>
  <c r="V131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C6" i="18"/>
  <c r="R5" i="18"/>
  <c r="S5" i="18" s="1"/>
  <c r="O5" i="18"/>
  <c r="P5" i="18" s="1"/>
  <c r="J5" i="18"/>
  <c r="F5" i="18"/>
  <c r="L5" i="18" s="1"/>
  <c r="M5" i="18" s="1"/>
  <c r="C5" i="18"/>
  <c r="C5" i="17"/>
  <c r="F5" i="17"/>
  <c r="G5" i="17" s="1"/>
  <c r="J5" i="17"/>
  <c r="O5" i="17"/>
  <c r="P5" i="17" s="1"/>
  <c r="R5" i="17"/>
  <c r="S5" i="17" s="1"/>
  <c r="C6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V131" i="17"/>
  <c r="B132" i="17"/>
  <c r="V132" i="17"/>
  <c r="B133" i="17"/>
  <c r="V133" i="17"/>
  <c r="B134" i="17"/>
  <c r="V134" i="17"/>
  <c r="B135" i="17"/>
  <c r="V135" i="17"/>
  <c r="B136" i="17"/>
  <c r="I136" i="17"/>
  <c r="J136" i="17" s="1"/>
  <c r="K136" i="17" s="1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C157" i="17" s="1"/>
  <c r="D157" i="17" s="1"/>
  <c r="E157" i="17" s="1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F192" i="17" s="1"/>
  <c r="G192" i="17" s="1"/>
  <c r="H192" i="17" s="1"/>
  <c r="B193" i="17"/>
  <c r="B194" i="17"/>
  <c r="B195" i="17"/>
  <c r="B196" i="17"/>
  <c r="B197" i="17"/>
  <c r="B198" i="17"/>
  <c r="B199" i="17"/>
  <c r="C199" i="17" s="1"/>
  <c r="D199" i="17" s="1"/>
  <c r="E199" i="17" s="1"/>
  <c r="B200" i="17"/>
  <c r="B201" i="17"/>
  <c r="B202" i="17"/>
  <c r="B203" i="17"/>
  <c r="B204" i="17"/>
  <c r="B205" i="17"/>
  <c r="B206" i="17"/>
  <c r="B207" i="17"/>
  <c r="I207" i="17" s="1"/>
  <c r="J207" i="17" s="1"/>
  <c r="K207" i="17" s="1"/>
  <c r="B208" i="17"/>
  <c r="B209" i="17"/>
  <c r="B210" i="17"/>
  <c r="B211" i="17"/>
  <c r="B212" i="17"/>
  <c r="B213" i="17"/>
  <c r="B214" i="17"/>
  <c r="B215" i="17"/>
  <c r="B216" i="17"/>
  <c r="B217" i="17"/>
  <c r="F217" i="17" s="1"/>
  <c r="G217" i="17" s="1"/>
  <c r="H217" i="17" s="1"/>
  <c r="B218" i="17"/>
  <c r="B219" i="17"/>
  <c r="B220" i="17"/>
  <c r="B221" i="17"/>
  <c r="B222" i="17"/>
  <c r="B223" i="17"/>
  <c r="B224" i="17"/>
  <c r="B225" i="17"/>
  <c r="B226" i="17"/>
  <c r="B227" i="17"/>
  <c r="F227" i="17" s="1"/>
  <c r="G227" i="17" s="1"/>
  <c r="H227" i="17" s="1"/>
  <c r="B228" i="17"/>
  <c r="F228" i="17" s="1"/>
  <c r="G228" i="17" s="1"/>
  <c r="H228" i="17" s="1"/>
  <c r="B229" i="17"/>
  <c r="B230" i="17"/>
  <c r="F230" i="17" s="1"/>
  <c r="G230" i="17" s="1"/>
  <c r="H230" i="17" s="1"/>
  <c r="B231" i="17"/>
  <c r="B232" i="17"/>
  <c r="B233" i="17"/>
  <c r="B234" i="17"/>
  <c r="B235" i="17"/>
  <c r="B236" i="17"/>
  <c r="B237" i="17"/>
  <c r="I237" i="17" s="1"/>
  <c r="J237" i="17" s="1"/>
  <c r="K237" i="17" s="1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F250" i="17" s="1"/>
  <c r="G250" i="17" s="1"/>
  <c r="H250" i="17" s="1"/>
  <c r="B251" i="17"/>
  <c r="F251" i="17" s="1"/>
  <c r="G251" i="17" s="1"/>
  <c r="I150" i="17" l="1"/>
  <c r="J150" i="17" s="1"/>
  <c r="K150" i="17" s="1"/>
  <c r="I243" i="17"/>
  <c r="J243" i="17" s="1"/>
  <c r="K243" i="17" s="1"/>
  <c r="I235" i="17"/>
  <c r="J235" i="17" s="1"/>
  <c r="K235" i="17" s="1"/>
  <c r="I212" i="17"/>
  <c r="J212" i="17" s="1"/>
  <c r="K212" i="17" s="1"/>
  <c r="I204" i="17"/>
  <c r="J204" i="17" s="1"/>
  <c r="K204" i="17" s="1"/>
  <c r="I164" i="17"/>
  <c r="J164" i="17" s="1"/>
  <c r="K164" i="17" s="1"/>
  <c r="C179" i="17"/>
  <c r="D179" i="17" s="1"/>
  <c r="E179" i="17" s="1"/>
  <c r="I242" i="17"/>
  <c r="J242" i="17" s="1"/>
  <c r="K242" i="17" s="1"/>
  <c r="I234" i="17"/>
  <c r="J234" i="17" s="1"/>
  <c r="K234" i="17" s="1"/>
  <c r="I236" i="17"/>
  <c r="J236" i="17" s="1"/>
  <c r="K236" i="17" s="1"/>
  <c r="V238" i="17" s="1"/>
  <c r="I209" i="17"/>
  <c r="J209" i="17" s="1"/>
  <c r="K209" i="17" s="1"/>
  <c r="I244" i="17"/>
  <c r="J244" i="17" s="1"/>
  <c r="K244" i="17" s="1"/>
  <c r="I231" i="17"/>
  <c r="J231" i="17" s="1"/>
  <c r="K231" i="17" s="1"/>
  <c r="I200" i="17"/>
  <c r="J200" i="17" s="1"/>
  <c r="K200" i="17" s="1"/>
  <c r="I145" i="17"/>
  <c r="J145" i="17" s="1"/>
  <c r="K145" i="17" s="1"/>
  <c r="R170" i="17"/>
  <c r="S170" i="17" s="1"/>
  <c r="T170" i="17" s="1"/>
  <c r="F93" i="19"/>
  <c r="G93" i="19" s="1"/>
  <c r="H93" i="19" s="1"/>
  <c r="R181" i="17"/>
  <c r="S181" i="17" s="1"/>
  <c r="T181" i="17" s="1"/>
  <c r="R70" i="17"/>
  <c r="S70" i="17" s="1"/>
  <c r="T70" i="17" s="1"/>
  <c r="R218" i="17"/>
  <c r="S218" i="17" s="1"/>
  <c r="T218" i="17" s="1"/>
  <c r="R129" i="17"/>
  <c r="S129" i="17" s="1"/>
  <c r="T129" i="17" s="1"/>
  <c r="R216" i="17"/>
  <c r="S216" i="17" s="1"/>
  <c r="T216" i="17" s="1"/>
  <c r="R184" i="17"/>
  <c r="S184" i="17" s="1"/>
  <c r="T184" i="17" s="1"/>
  <c r="O250" i="17"/>
  <c r="P250" i="17" s="1"/>
  <c r="Q250" i="17" s="1"/>
  <c r="O92" i="17"/>
  <c r="P92" i="17" s="1"/>
  <c r="Q92" i="17" s="1"/>
  <c r="O147" i="17"/>
  <c r="P147" i="17" s="1"/>
  <c r="Q147" i="17" s="1"/>
  <c r="O219" i="17"/>
  <c r="P219" i="17" s="1"/>
  <c r="Q219" i="17" s="1"/>
  <c r="C247" i="17"/>
  <c r="D247" i="17" s="1"/>
  <c r="E247" i="17" s="1"/>
  <c r="C198" i="17"/>
  <c r="D198" i="17" s="1"/>
  <c r="E198" i="17" s="1"/>
  <c r="O132" i="17"/>
  <c r="P132" i="17" s="1"/>
  <c r="Q132" i="17" s="1"/>
  <c r="C110" i="17"/>
  <c r="D110" i="17" s="1"/>
  <c r="E110" i="17" s="1"/>
  <c r="O226" i="17"/>
  <c r="P226" i="17" s="1"/>
  <c r="Q226" i="17" s="1"/>
  <c r="C177" i="17"/>
  <c r="D177" i="17" s="1"/>
  <c r="E177" i="17" s="1"/>
  <c r="R234" i="17"/>
  <c r="S234" i="17" s="1"/>
  <c r="T234" i="17" s="1"/>
  <c r="C69" i="17"/>
  <c r="D69" i="17" s="1"/>
  <c r="E69" i="17" s="1"/>
  <c r="O161" i="17"/>
  <c r="P161" i="17" s="1"/>
  <c r="C20" i="17"/>
  <c r="D20" i="17" s="1"/>
  <c r="E20" i="17" s="1"/>
  <c r="F164" i="19"/>
  <c r="G164" i="19" s="1"/>
  <c r="H164" i="19" s="1"/>
  <c r="F251" i="19"/>
  <c r="G251" i="19" s="1"/>
  <c r="H251" i="19" s="1"/>
  <c r="C202" i="17"/>
  <c r="D202" i="17" s="1"/>
  <c r="E202" i="17" s="1"/>
  <c r="C194" i="17"/>
  <c r="D194" i="17" s="1"/>
  <c r="E194" i="17" s="1"/>
  <c r="C189" i="17"/>
  <c r="D189" i="17" s="1"/>
  <c r="E189" i="17" s="1"/>
  <c r="L5" i="17"/>
  <c r="M5" i="17" s="1"/>
  <c r="F210" i="19"/>
  <c r="G210" i="19" s="1"/>
  <c r="H210" i="19" s="1"/>
  <c r="L245" i="17"/>
  <c r="M245" i="17" s="1"/>
  <c r="N245" i="17" s="1"/>
  <c r="C188" i="17"/>
  <c r="D188" i="17" s="1"/>
  <c r="E188" i="17" s="1"/>
  <c r="C120" i="17"/>
  <c r="D120" i="17" s="1"/>
  <c r="E120" i="17" s="1"/>
  <c r="I211" i="18"/>
  <c r="J211" i="18" s="1"/>
  <c r="K211" i="18" s="1"/>
  <c r="O187" i="17"/>
  <c r="P187" i="17" s="1"/>
  <c r="Q187" i="17" s="1"/>
  <c r="C144" i="17"/>
  <c r="D144" i="17" s="1"/>
  <c r="E144" i="17" s="1"/>
  <c r="F87" i="17"/>
  <c r="G87" i="17" s="1"/>
  <c r="H87" i="17" s="1"/>
  <c r="R213" i="17"/>
  <c r="S213" i="17" s="1"/>
  <c r="T213" i="17" s="1"/>
  <c r="R208" i="17"/>
  <c r="S208" i="17" s="1"/>
  <c r="T208" i="17" s="1"/>
  <c r="L104" i="17"/>
  <c r="M104" i="17" s="1"/>
  <c r="N104" i="17" s="1"/>
  <c r="L77" i="17"/>
  <c r="M77" i="17" s="1"/>
  <c r="N77" i="17" s="1"/>
  <c r="F10" i="17"/>
  <c r="G10" i="17" s="1"/>
  <c r="H10" i="17" s="1"/>
  <c r="V11" i="17" s="1"/>
  <c r="F244" i="19"/>
  <c r="G244" i="19" s="1"/>
  <c r="H244" i="19" s="1"/>
  <c r="F203" i="19"/>
  <c r="G203" i="19" s="1"/>
  <c r="H203" i="19" s="1"/>
  <c r="F159" i="19"/>
  <c r="G159" i="19" s="1"/>
  <c r="H159" i="19" s="1"/>
  <c r="F75" i="19"/>
  <c r="G75" i="19" s="1"/>
  <c r="H75" i="19" s="1"/>
  <c r="L221" i="17"/>
  <c r="M221" i="17" s="1"/>
  <c r="N221" i="17" s="1"/>
  <c r="V224" i="17" s="1"/>
  <c r="F242" i="19"/>
  <c r="G242" i="19" s="1"/>
  <c r="H242" i="19" s="1"/>
  <c r="F196" i="19"/>
  <c r="G196" i="19" s="1"/>
  <c r="H196" i="19" s="1"/>
  <c r="F151" i="19"/>
  <c r="G151" i="19" s="1"/>
  <c r="H151" i="19" s="1"/>
  <c r="F68" i="19"/>
  <c r="G68" i="19" s="1"/>
  <c r="H68" i="19" s="1"/>
  <c r="L248" i="17"/>
  <c r="M248" i="17" s="1"/>
  <c r="N248" i="17" s="1"/>
  <c r="R243" i="17"/>
  <c r="S243" i="17" s="1"/>
  <c r="T243" i="17" s="1"/>
  <c r="L211" i="17"/>
  <c r="M211" i="17" s="1"/>
  <c r="N211" i="17" s="1"/>
  <c r="F149" i="17"/>
  <c r="G149" i="17" s="1"/>
  <c r="H149" i="17" s="1"/>
  <c r="F138" i="17"/>
  <c r="G138" i="17" s="1"/>
  <c r="H138" i="17" s="1"/>
  <c r="L134" i="17"/>
  <c r="M134" i="17" s="1"/>
  <c r="N134" i="17" s="1"/>
  <c r="F235" i="19"/>
  <c r="G235" i="19" s="1"/>
  <c r="H235" i="19" s="1"/>
  <c r="F194" i="19"/>
  <c r="G194" i="19" s="1"/>
  <c r="H194" i="19" s="1"/>
  <c r="F143" i="19"/>
  <c r="G143" i="19" s="1"/>
  <c r="H143" i="19" s="1"/>
  <c r="F61" i="19"/>
  <c r="G61" i="19" s="1"/>
  <c r="H61" i="19" s="1"/>
  <c r="L240" i="17"/>
  <c r="M240" i="17" s="1"/>
  <c r="N240" i="17" s="1"/>
  <c r="L251" i="17"/>
  <c r="M251" i="17" s="1"/>
  <c r="N251" i="17" s="1"/>
  <c r="V254" i="17" s="1"/>
  <c r="O230" i="17"/>
  <c r="P230" i="17" s="1"/>
  <c r="Q230" i="17" s="1"/>
  <c r="L220" i="17"/>
  <c r="M220" i="17" s="1"/>
  <c r="N220" i="17" s="1"/>
  <c r="L95" i="17"/>
  <c r="M95" i="17" s="1"/>
  <c r="N95" i="17" s="1"/>
  <c r="F53" i="17"/>
  <c r="G53" i="17" s="1"/>
  <c r="H53" i="17" s="1"/>
  <c r="F228" i="19"/>
  <c r="G228" i="19" s="1"/>
  <c r="H228" i="19" s="1"/>
  <c r="F187" i="19"/>
  <c r="G187" i="19" s="1"/>
  <c r="H187" i="19" s="1"/>
  <c r="F135" i="19"/>
  <c r="G135" i="19" s="1"/>
  <c r="H135" i="19" s="1"/>
  <c r="F52" i="19"/>
  <c r="G52" i="19" s="1"/>
  <c r="H52" i="19" s="1"/>
  <c r="L195" i="17"/>
  <c r="M195" i="17" s="1"/>
  <c r="N195" i="17" s="1"/>
  <c r="F101" i="17"/>
  <c r="G101" i="17" s="1"/>
  <c r="H101" i="17" s="1"/>
  <c r="R106" i="17"/>
  <c r="S106" i="17" s="1"/>
  <c r="T106" i="17" s="1"/>
  <c r="F226" i="19"/>
  <c r="G226" i="19" s="1"/>
  <c r="H226" i="19" s="1"/>
  <c r="F180" i="19"/>
  <c r="G180" i="19" s="1"/>
  <c r="H180" i="19" s="1"/>
  <c r="F127" i="19"/>
  <c r="G127" i="19" s="1"/>
  <c r="H127" i="19" s="1"/>
  <c r="F36" i="19"/>
  <c r="G36" i="19" s="1"/>
  <c r="H36" i="19" s="1"/>
  <c r="F219" i="19"/>
  <c r="G219" i="19" s="1"/>
  <c r="H219" i="19" s="1"/>
  <c r="F178" i="19"/>
  <c r="G178" i="19" s="1"/>
  <c r="H178" i="19" s="1"/>
  <c r="F107" i="19"/>
  <c r="G107" i="19" s="1"/>
  <c r="H107" i="19" s="1"/>
  <c r="F20" i="19"/>
  <c r="G20" i="19" s="1"/>
  <c r="H20" i="19" s="1"/>
  <c r="R242" i="17"/>
  <c r="S242" i="17" s="1"/>
  <c r="T242" i="17" s="1"/>
  <c r="R237" i="17"/>
  <c r="S237" i="17" s="1"/>
  <c r="T237" i="17" s="1"/>
  <c r="L199" i="17"/>
  <c r="M199" i="17" s="1"/>
  <c r="N199" i="17" s="1"/>
  <c r="I189" i="17"/>
  <c r="J189" i="17" s="1"/>
  <c r="K189" i="17" s="1"/>
  <c r="L203" i="17"/>
  <c r="M203" i="17" s="1"/>
  <c r="N203" i="17" s="1"/>
  <c r="F212" i="19"/>
  <c r="G212" i="19" s="1"/>
  <c r="H212" i="19" s="1"/>
  <c r="F171" i="19"/>
  <c r="G171" i="19" s="1"/>
  <c r="H171" i="19" s="1"/>
  <c r="R177" i="17"/>
  <c r="S177" i="17" s="1"/>
  <c r="T177" i="17" s="1"/>
  <c r="R141" i="17"/>
  <c r="S141" i="17" s="1"/>
  <c r="T141" i="17" s="1"/>
  <c r="R113" i="17"/>
  <c r="S113" i="17" s="1"/>
  <c r="T113" i="17" s="1"/>
  <c r="R235" i="17"/>
  <c r="S235" i="17" s="1"/>
  <c r="T235" i="17" s="1"/>
  <c r="R231" i="17"/>
  <c r="S231" i="17" s="1"/>
  <c r="T231" i="17" s="1"/>
  <c r="R209" i="17"/>
  <c r="S209" i="17" s="1"/>
  <c r="T209" i="17" s="1"/>
  <c r="R163" i="17"/>
  <c r="S163" i="17" s="1"/>
  <c r="T163" i="17" s="1"/>
  <c r="R72" i="17"/>
  <c r="S72" i="17" s="1"/>
  <c r="T72" i="17" s="1"/>
  <c r="R17" i="17"/>
  <c r="S17" i="17" s="1"/>
  <c r="T17" i="17" s="1"/>
  <c r="R249" i="17"/>
  <c r="S249" i="17" s="1"/>
  <c r="T249" i="17" s="1"/>
  <c r="F11" i="19"/>
  <c r="G11" i="19" s="1"/>
  <c r="H11" i="19" s="1"/>
  <c r="F15" i="19"/>
  <c r="G15" i="19" s="1"/>
  <c r="H15" i="19" s="1"/>
  <c r="F19" i="19"/>
  <c r="G19" i="19" s="1"/>
  <c r="H19" i="19" s="1"/>
  <c r="F23" i="19"/>
  <c r="G23" i="19" s="1"/>
  <c r="H23" i="19" s="1"/>
  <c r="F27" i="19"/>
  <c r="G27" i="19" s="1"/>
  <c r="H27" i="19" s="1"/>
  <c r="F31" i="19"/>
  <c r="G31" i="19" s="1"/>
  <c r="H31" i="19" s="1"/>
  <c r="F35" i="19"/>
  <c r="G35" i="19" s="1"/>
  <c r="H35" i="19" s="1"/>
  <c r="F39" i="19"/>
  <c r="G39" i="19" s="1"/>
  <c r="H39" i="19" s="1"/>
  <c r="F43" i="19"/>
  <c r="G43" i="19" s="1"/>
  <c r="H43" i="19" s="1"/>
  <c r="F47" i="19"/>
  <c r="G47" i="19" s="1"/>
  <c r="H47" i="19" s="1"/>
  <c r="F51" i="19"/>
  <c r="G51" i="19" s="1"/>
  <c r="H51" i="19" s="1"/>
  <c r="F55" i="19"/>
  <c r="G55" i="19" s="1"/>
  <c r="H55" i="19" s="1"/>
  <c r="F10" i="19"/>
  <c r="G10" i="19" s="1"/>
  <c r="H10" i="19" s="1"/>
  <c r="V11" i="19" s="1"/>
  <c r="F14" i="19"/>
  <c r="G14" i="19" s="1"/>
  <c r="H14" i="19" s="1"/>
  <c r="F18" i="19"/>
  <c r="G18" i="19" s="1"/>
  <c r="H18" i="19" s="1"/>
  <c r="F22" i="19"/>
  <c r="G22" i="19" s="1"/>
  <c r="H22" i="19" s="1"/>
  <c r="F26" i="19"/>
  <c r="G26" i="19" s="1"/>
  <c r="H26" i="19" s="1"/>
  <c r="F30" i="19"/>
  <c r="G30" i="19" s="1"/>
  <c r="H30" i="19" s="1"/>
  <c r="F34" i="19"/>
  <c r="G34" i="19" s="1"/>
  <c r="H34" i="19" s="1"/>
  <c r="F38" i="19"/>
  <c r="G38" i="19" s="1"/>
  <c r="H38" i="19" s="1"/>
  <c r="F42" i="19"/>
  <c r="G42" i="19" s="1"/>
  <c r="H42" i="19" s="1"/>
  <c r="F46" i="19"/>
  <c r="G46" i="19" s="1"/>
  <c r="H46" i="19" s="1"/>
  <c r="F50" i="19"/>
  <c r="G50" i="19" s="1"/>
  <c r="H50" i="19" s="1"/>
  <c r="F54" i="19"/>
  <c r="G54" i="19" s="1"/>
  <c r="H54" i="19" s="1"/>
  <c r="F58" i="19"/>
  <c r="G58" i="19" s="1"/>
  <c r="H58" i="19" s="1"/>
  <c r="F62" i="19"/>
  <c r="G62" i="19" s="1"/>
  <c r="H62" i="19" s="1"/>
  <c r="F66" i="19"/>
  <c r="G66" i="19" s="1"/>
  <c r="H66" i="19" s="1"/>
  <c r="F70" i="19"/>
  <c r="G70" i="19" s="1"/>
  <c r="H70" i="19" s="1"/>
  <c r="F74" i="19"/>
  <c r="G74" i="19" s="1"/>
  <c r="H74" i="19" s="1"/>
  <c r="F78" i="19"/>
  <c r="G78" i="19" s="1"/>
  <c r="H78" i="19" s="1"/>
  <c r="F82" i="19"/>
  <c r="G82" i="19" s="1"/>
  <c r="H82" i="19" s="1"/>
  <c r="F86" i="19"/>
  <c r="G86" i="19" s="1"/>
  <c r="H86" i="19" s="1"/>
  <c r="F90" i="19"/>
  <c r="G90" i="19" s="1"/>
  <c r="H90" i="19" s="1"/>
  <c r="F94" i="19"/>
  <c r="G94" i="19" s="1"/>
  <c r="H94" i="19" s="1"/>
  <c r="F98" i="19"/>
  <c r="G98" i="19" s="1"/>
  <c r="H98" i="19" s="1"/>
  <c r="F102" i="19"/>
  <c r="G102" i="19" s="1"/>
  <c r="H102" i="19" s="1"/>
  <c r="F106" i="19"/>
  <c r="G106" i="19" s="1"/>
  <c r="H106" i="19" s="1"/>
  <c r="F110" i="19"/>
  <c r="G110" i="19" s="1"/>
  <c r="H110" i="19" s="1"/>
  <c r="F114" i="19"/>
  <c r="G114" i="19" s="1"/>
  <c r="H114" i="19" s="1"/>
  <c r="F118" i="19"/>
  <c r="G118" i="19" s="1"/>
  <c r="H118" i="19" s="1"/>
  <c r="F122" i="19"/>
  <c r="G122" i="19" s="1"/>
  <c r="H122" i="19" s="1"/>
  <c r="F13" i="19"/>
  <c r="G13" i="19" s="1"/>
  <c r="H13" i="19" s="1"/>
  <c r="F21" i="19"/>
  <c r="G21" i="19" s="1"/>
  <c r="H21" i="19" s="1"/>
  <c r="F29" i="19"/>
  <c r="G29" i="19" s="1"/>
  <c r="H29" i="19" s="1"/>
  <c r="F37" i="19"/>
  <c r="G37" i="19" s="1"/>
  <c r="H37" i="19" s="1"/>
  <c r="F45" i="19"/>
  <c r="G45" i="19" s="1"/>
  <c r="H45" i="19" s="1"/>
  <c r="F53" i="19"/>
  <c r="G53" i="19" s="1"/>
  <c r="H53" i="19" s="1"/>
  <c r="F63" i="19"/>
  <c r="G63" i="19" s="1"/>
  <c r="H63" i="19" s="1"/>
  <c r="F65" i="19"/>
  <c r="G65" i="19" s="1"/>
  <c r="H65" i="19" s="1"/>
  <c r="F72" i="19"/>
  <c r="G72" i="19" s="1"/>
  <c r="H72" i="19" s="1"/>
  <c r="F79" i="19"/>
  <c r="G79" i="19" s="1"/>
  <c r="H79" i="19" s="1"/>
  <c r="F81" i="19"/>
  <c r="G81" i="19" s="1"/>
  <c r="H81" i="19" s="1"/>
  <c r="F88" i="19"/>
  <c r="G88" i="19" s="1"/>
  <c r="H88" i="19" s="1"/>
  <c r="F95" i="19"/>
  <c r="G95" i="19" s="1"/>
  <c r="H95" i="19" s="1"/>
  <c r="F97" i="19"/>
  <c r="G97" i="19" s="1"/>
  <c r="H97" i="19" s="1"/>
  <c r="F104" i="19"/>
  <c r="G104" i="19" s="1"/>
  <c r="H104" i="19" s="1"/>
  <c r="F111" i="19"/>
  <c r="G111" i="19" s="1"/>
  <c r="H111" i="19" s="1"/>
  <c r="F113" i="19"/>
  <c r="G113" i="19" s="1"/>
  <c r="H113" i="19" s="1"/>
  <c r="F120" i="19"/>
  <c r="G120" i="19" s="1"/>
  <c r="H120" i="19" s="1"/>
  <c r="F126" i="19"/>
  <c r="G126" i="19" s="1"/>
  <c r="H126" i="19" s="1"/>
  <c r="F130" i="19"/>
  <c r="G130" i="19" s="1"/>
  <c r="H130" i="19" s="1"/>
  <c r="F134" i="19"/>
  <c r="G134" i="19" s="1"/>
  <c r="H134" i="19" s="1"/>
  <c r="F138" i="19"/>
  <c r="G138" i="19" s="1"/>
  <c r="H138" i="19" s="1"/>
  <c r="F142" i="19"/>
  <c r="G142" i="19" s="1"/>
  <c r="H142" i="19" s="1"/>
  <c r="F146" i="19"/>
  <c r="G146" i="19" s="1"/>
  <c r="H146" i="19" s="1"/>
  <c r="F150" i="19"/>
  <c r="G150" i="19" s="1"/>
  <c r="H150" i="19" s="1"/>
  <c r="F154" i="19"/>
  <c r="G154" i="19" s="1"/>
  <c r="H154" i="19" s="1"/>
  <c r="F158" i="19"/>
  <c r="G158" i="19" s="1"/>
  <c r="H158" i="19" s="1"/>
  <c r="F162" i="19"/>
  <c r="G162" i="19" s="1"/>
  <c r="H162" i="19" s="1"/>
  <c r="F16" i="19"/>
  <c r="G16" i="19" s="1"/>
  <c r="H16" i="19" s="1"/>
  <c r="F24" i="19"/>
  <c r="G24" i="19" s="1"/>
  <c r="H24" i="19" s="1"/>
  <c r="F32" i="19"/>
  <c r="G32" i="19" s="1"/>
  <c r="H32" i="19" s="1"/>
  <c r="F40" i="19"/>
  <c r="G40" i="19" s="1"/>
  <c r="H40" i="19" s="1"/>
  <c r="F48" i="19"/>
  <c r="G48" i="19" s="1"/>
  <c r="H48" i="19" s="1"/>
  <c r="F56" i="19"/>
  <c r="G56" i="19" s="1"/>
  <c r="H56" i="19" s="1"/>
  <c r="F60" i="19"/>
  <c r="G60" i="19" s="1"/>
  <c r="H60" i="19" s="1"/>
  <c r="F67" i="19"/>
  <c r="G67" i="19" s="1"/>
  <c r="H67" i="19" s="1"/>
  <c r="F69" i="19"/>
  <c r="G69" i="19" s="1"/>
  <c r="H69" i="19" s="1"/>
  <c r="F76" i="19"/>
  <c r="G76" i="19" s="1"/>
  <c r="H76" i="19" s="1"/>
  <c r="F83" i="19"/>
  <c r="G83" i="19" s="1"/>
  <c r="H83" i="19" s="1"/>
  <c r="F85" i="19"/>
  <c r="G85" i="19" s="1"/>
  <c r="H85" i="19" s="1"/>
  <c r="F92" i="19"/>
  <c r="G92" i="19" s="1"/>
  <c r="H92" i="19" s="1"/>
  <c r="F99" i="19"/>
  <c r="G99" i="19" s="1"/>
  <c r="H99" i="19" s="1"/>
  <c r="F101" i="19"/>
  <c r="G101" i="19" s="1"/>
  <c r="H101" i="19" s="1"/>
  <c r="F108" i="19"/>
  <c r="G108" i="19" s="1"/>
  <c r="H108" i="19" s="1"/>
  <c r="F115" i="19"/>
  <c r="G115" i="19" s="1"/>
  <c r="H115" i="19" s="1"/>
  <c r="F117" i="19"/>
  <c r="G117" i="19" s="1"/>
  <c r="H117" i="19" s="1"/>
  <c r="F125" i="19"/>
  <c r="G125" i="19" s="1"/>
  <c r="H125" i="19" s="1"/>
  <c r="F129" i="19"/>
  <c r="G129" i="19" s="1"/>
  <c r="H129" i="19" s="1"/>
  <c r="F133" i="19"/>
  <c r="G133" i="19" s="1"/>
  <c r="H133" i="19" s="1"/>
  <c r="F137" i="19"/>
  <c r="G137" i="19" s="1"/>
  <c r="H137" i="19" s="1"/>
  <c r="F141" i="19"/>
  <c r="G141" i="19" s="1"/>
  <c r="H141" i="19" s="1"/>
  <c r="F145" i="19"/>
  <c r="G145" i="19" s="1"/>
  <c r="H145" i="19" s="1"/>
  <c r="F149" i="19"/>
  <c r="G149" i="19" s="1"/>
  <c r="H149" i="19" s="1"/>
  <c r="F153" i="19"/>
  <c r="G153" i="19" s="1"/>
  <c r="H153" i="19" s="1"/>
  <c r="F157" i="19"/>
  <c r="G157" i="19" s="1"/>
  <c r="H157" i="19" s="1"/>
  <c r="F161" i="19"/>
  <c r="G161" i="19" s="1"/>
  <c r="H161" i="19" s="1"/>
  <c r="F165" i="19"/>
  <c r="G165" i="19" s="1"/>
  <c r="H165" i="19" s="1"/>
  <c r="F169" i="19"/>
  <c r="G169" i="19" s="1"/>
  <c r="H169" i="19" s="1"/>
  <c r="F173" i="19"/>
  <c r="G173" i="19" s="1"/>
  <c r="H173" i="19" s="1"/>
  <c r="F177" i="19"/>
  <c r="G177" i="19" s="1"/>
  <c r="H177" i="19" s="1"/>
  <c r="F181" i="19"/>
  <c r="G181" i="19" s="1"/>
  <c r="H181" i="19" s="1"/>
  <c r="F185" i="19"/>
  <c r="G185" i="19" s="1"/>
  <c r="H185" i="19" s="1"/>
  <c r="F189" i="19"/>
  <c r="G189" i="19" s="1"/>
  <c r="H189" i="19" s="1"/>
  <c r="F193" i="19"/>
  <c r="G193" i="19" s="1"/>
  <c r="H193" i="19" s="1"/>
  <c r="F197" i="19"/>
  <c r="G197" i="19" s="1"/>
  <c r="H197" i="19" s="1"/>
  <c r="F201" i="19"/>
  <c r="G201" i="19" s="1"/>
  <c r="H201" i="19" s="1"/>
  <c r="F205" i="19"/>
  <c r="G205" i="19" s="1"/>
  <c r="H205" i="19" s="1"/>
  <c r="F209" i="19"/>
  <c r="G209" i="19" s="1"/>
  <c r="H209" i="19" s="1"/>
  <c r="F213" i="19"/>
  <c r="G213" i="19" s="1"/>
  <c r="H213" i="19" s="1"/>
  <c r="F217" i="19"/>
  <c r="G217" i="19" s="1"/>
  <c r="H217" i="19" s="1"/>
  <c r="F221" i="19"/>
  <c r="G221" i="19" s="1"/>
  <c r="H221" i="19" s="1"/>
  <c r="F225" i="19"/>
  <c r="G225" i="19" s="1"/>
  <c r="H225" i="19" s="1"/>
  <c r="F229" i="19"/>
  <c r="G229" i="19" s="1"/>
  <c r="H229" i="19" s="1"/>
  <c r="F233" i="19"/>
  <c r="G233" i="19" s="1"/>
  <c r="H233" i="19" s="1"/>
  <c r="F237" i="19"/>
  <c r="G237" i="19" s="1"/>
  <c r="H237" i="19" s="1"/>
  <c r="F241" i="19"/>
  <c r="G241" i="19" s="1"/>
  <c r="H241" i="19" s="1"/>
  <c r="F245" i="19"/>
  <c r="G245" i="19" s="1"/>
  <c r="H245" i="19" s="1"/>
  <c r="F249" i="19"/>
  <c r="G249" i="19" s="1"/>
  <c r="H249" i="19" s="1"/>
  <c r="F240" i="19"/>
  <c r="G240" i="19" s="1"/>
  <c r="H240" i="19" s="1"/>
  <c r="F238" i="19"/>
  <c r="G238" i="19" s="1"/>
  <c r="H238" i="19" s="1"/>
  <c r="F231" i="19"/>
  <c r="G231" i="19" s="1"/>
  <c r="H231" i="19" s="1"/>
  <c r="F224" i="19"/>
  <c r="G224" i="19" s="1"/>
  <c r="H224" i="19" s="1"/>
  <c r="F215" i="19"/>
  <c r="G215" i="19" s="1"/>
  <c r="H215" i="19" s="1"/>
  <c r="F208" i="19"/>
  <c r="G208" i="19" s="1"/>
  <c r="H208" i="19" s="1"/>
  <c r="F206" i="19"/>
  <c r="G206" i="19" s="1"/>
  <c r="H206" i="19" s="1"/>
  <c r="F199" i="19"/>
  <c r="G199" i="19" s="1"/>
  <c r="H199" i="19" s="1"/>
  <c r="F192" i="19"/>
  <c r="G192" i="19" s="1"/>
  <c r="H192" i="19" s="1"/>
  <c r="F174" i="19"/>
  <c r="G174" i="19" s="1"/>
  <c r="H174" i="19" s="1"/>
  <c r="F156" i="19"/>
  <c r="G156" i="19" s="1"/>
  <c r="H156" i="19" s="1"/>
  <c r="L5" i="19"/>
  <c r="M5" i="19" s="1"/>
  <c r="L127" i="19" s="1"/>
  <c r="M127" i="19" s="1"/>
  <c r="N127" i="19" s="1"/>
  <c r="F250" i="19"/>
  <c r="G250" i="19" s="1"/>
  <c r="H250" i="19" s="1"/>
  <c r="F243" i="19"/>
  <c r="G243" i="19" s="1"/>
  <c r="H243" i="19" s="1"/>
  <c r="F236" i="19"/>
  <c r="G236" i="19" s="1"/>
  <c r="H236" i="19" s="1"/>
  <c r="F234" i="19"/>
  <c r="G234" i="19" s="1"/>
  <c r="H234" i="19" s="1"/>
  <c r="F227" i="19"/>
  <c r="G227" i="19" s="1"/>
  <c r="H227" i="19" s="1"/>
  <c r="F220" i="19"/>
  <c r="G220" i="19" s="1"/>
  <c r="H220" i="19" s="1"/>
  <c r="F218" i="19"/>
  <c r="G218" i="19" s="1"/>
  <c r="H218" i="19" s="1"/>
  <c r="F211" i="19"/>
  <c r="G211" i="19" s="1"/>
  <c r="H211" i="19" s="1"/>
  <c r="F204" i="19"/>
  <c r="G204" i="19" s="1"/>
  <c r="H204" i="19" s="1"/>
  <c r="F202" i="19"/>
  <c r="G202" i="19" s="1"/>
  <c r="H202" i="19" s="1"/>
  <c r="F195" i="19"/>
  <c r="G195" i="19" s="1"/>
  <c r="H195" i="19" s="1"/>
  <c r="F188" i="19"/>
  <c r="G188" i="19" s="1"/>
  <c r="H188" i="19" s="1"/>
  <c r="F186" i="19"/>
  <c r="G186" i="19" s="1"/>
  <c r="H186" i="19" s="1"/>
  <c r="F179" i="19"/>
  <c r="G179" i="19" s="1"/>
  <c r="H179" i="19" s="1"/>
  <c r="F172" i="19"/>
  <c r="G172" i="19" s="1"/>
  <c r="H172" i="19" s="1"/>
  <c r="F170" i="19"/>
  <c r="G170" i="19" s="1"/>
  <c r="H170" i="19" s="1"/>
  <c r="F163" i="19"/>
  <c r="G163" i="19" s="1"/>
  <c r="H163" i="19" s="1"/>
  <c r="F155" i="19"/>
  <c r="G155" i="19" s="1"/>
  <c r="H155" i="19" s="1"/>
  <c r="F147" i="19"/>
  <c r="G147" i="19" s="1"/>
  <c r="H147" i="19" s="1"/>
  <c r="F139" i="19"/>
  <c r="G139" i="19" s="1"/>
  <c r="H139" i="19" s="1"/>
  <c r="F131" i="19"/>
  <c r="G131" i="19" s="1"/>
  <c r="H131" i="19" s="1"/>
  <c r="F123" i="19"/>
  <c r="G123" i="19" s="1"/>
  <c r="H123" i="19" s="1"/>
  <c r="F116" i="19"/>
  <c r="G116" i="19" s="1"/>
  <c r="H116" i="19" s="1"/>
  <c r="F109" i="19"/>
  <c r="G109" i="19" s="1"/>
  <c r="H109" i="19" s="1"/>
  <c r="F91" i="19"/>
  <c r="G91" i="19" s="1"/>
  <c r="H91" i="19" s="1"/>
  <c r="F84" i="19"/>
  <c r="G84" i="19" s="1"/>
  <c r="H84" i="19" s="1"/>
  <c r="F77" i="19"/>
  <c r="G77" i="19" s="1"/>
  <c r="H77" i="19" s="1"/>
  <c r="F59" i="19"/>
  <c r="G59" i="19" s="1"/>
  <c r="H59" i="19" s="1"/>
  <c r="F44" i="19"/>
  <c r="G44" i="19" s="1"/>
  <c r="H44" i="19" s="1"/>
  <c r="F28" i="19"/>
  <c r="G28" i="19" s="1"/>
  <c r="H28" i="19" s="1"/>
  <c r="F12" i="19"/>
  <c r="G12" i="19" s="1"/>
  <c r="H12" i="19" s="1"/>
  <c r="L43" i="19"/>
  <c r="M43" i="19" s="1"/>
  <c r="N43" i="19" s="1"/>
  <c r="L158" i="19"/>
  <c r="M158" i="19" s="1"/>
  <c r="N158" i="19" s="1"/>
  <c r="F247" i="19"/>
  <c r="G247" i="19" s="1"/>
  <c r="H247" i="19" s="1"/>
  <c r="F222" i="19"/>
  <c r="G222" i="19" s="1"/>
  <c r="H222" i="19" s="1"/>
  <c r="F190" i="19"/>
  <c r="G190" i="19" s="1"/>
  <c r="H190" i="19" s="1"/>
  <c r="F183" i="19"/>
  <c r="G183" i="19" s="1"/>
  <c r="H183" i="19" s="1"/>
  <c r="F176" i="19"/>
  <c r="G176" i="19" s="1"/>
  <c r="H176" i="19" s="1"/>
  <c r="F167" i="19"/>
  <c r="G167" i="19" s="1"/>
  <c r="H167" i="19" s="1"/>
  <c r="F148" i="19"/>
  <c r="G148" i="19" s="1"/>
  <c r="H148" i="19" s="1"/>
  <c r="F140" i="19"/>
  <c r="G140" i="19" s="1"/>
  <c r="H140" i="19" s="1"/>
  <c r="F132" i="19"/>
  <c r="G132" i="19" s="1"/>
  <c r="H132" i="19" s="1"/>
  <c r="F124" i="19"/>
  <c r="G124" i="19" s="1"/>
  <c r="H124" i="19" s="1"/>
  <c r="F121" i="19"/>
  <c r="G121" i="19" s="1"/>
  <c r="H121" i="19" s="1"/>
  <c r="F103" i="19"/>
  <c r="G103" i="19" s="1"/>
  <c r="H103" i="19" s="1"/>
  <c r="F96" i="19"/>
  <c r="G96" i="19" s="1"/>
  <c r="H96" i="19" s="1"/>
  <c r="F89" i="19"/>
  <c r="G89" i="19" s="1"/>
  <c r="H89" i="19" s="1"/>
  <c r="F71" i="19"/>
  <c r="G71" i="19" s="1"/>
  <c r="H71" i="19" s="1"/>
  <c r="F64" i="19"/>
  <c r="G64" i="19" s="1"/>
  <c r="H64" i="19" s="1"/>
  <c r="F57" i="19"/>
  <c r="G57" i="19" s="1"/>
  <c r="H57" i="19" s="1"/>
  <c r="F41" i="19"/>
  <c r="G41" i="19" s="1"/>
  <c r="H41" i="19" s="1"/>
  <c r="F25" i="19"/>
  <c r="G25" i="19" s="1"/>
  <c r="H25" i="19" s="1"/>
  <c r="F248" i="19"/>
  <c r="G248" i="19" s="1"/>
  <c r="H248" i="19" s="1"/>
  <c r="F246" i="19"/>
  <c r="G246" i="19" s="1"/>
  <c r="H246" i="19" s="1"/>
  <c r="F239" i="19"/>
  <c r="G239" i="19" s="1"/>
  <c r="H239" i="19" s="1"/>
  <c r="F232" i="19"/>
  <c r="G232" i="19" s="1"/>
  <c r="H232" i="19" s="1"/>
  <c r="F230" i="19"/>
  <c r="G230" i="19" s="1"/>
  <c r="H230" i="19" s="1"/>
  <c r="F223" i="19"/>
  <c r="G223" i="19" s="1"/>
  <c r="H223" i="19" s="1"/>
  <c r="F216" i="19"/>
  <c r="G216" i="19" s="1"/>
  <c r="H216" i="19" s="1"/>
  <c r="F214" i="19"/>
  <c r="G214" i="19" s="1"/>
  <c r="H214" i="19" s="1"/>
  <c r="F207" i="19"/>
  <c r="G207" i="19" s="1"/>
  <c r="H207" i="19" s="1"/>
  <c r="F200" i="19"/>
  <c r="G200" i="19" s="1"/>
  <c r="H200" i="19" s="1"/>
  <c r="F198" i="19"/>
  <c r="G198" i="19" s="1"/>
  <c r="H198" i="19" s="1"/>
  <c r="F191" i="19"/>
  <c r="G191" i="19" s="1"/>
  <c r="H191" i="19" s="1"/>
  <c r="F184" i="19"/>
  <c r="G184" i="19" s="1"/>
  <c r="H184" i="19" s="1"/>
  <c r="F182" i="19"/>
  <c r="G182" i="19" s="1"/>
  <c r="H182" i="19" s="1"/>
  <c r="F175" i="19"/>
  <c r="G175" i="19" s="1"/>
  <c r="H175" i="19" s="1"/>
  <c r="F168" i="19"/>
  <c r="G168" i="19" s="1"/>
  <c r="H168" i="19" s="1"/>
  <c r="F166" i="19"/>
  <c r="G166" i="19" s="1"/>
  <c r="H166" i="19" s="1"/>
  <c r="F160" i="19"/>
  <c r="G160" i="19" s="1"/>
  <c r="H160" i="19" s="1"/>
  <c r="F152" i="19"/>
  <c r="G152" i="19" s="1"/>
  <c r="H152" i="19" s="1"/>
  <c r="F144" i="19"/>
  <c r="G144" i="19" s="1"/>
  <c r="H144" i="19" s="1"/>
  <c r="F136" i="19"/>
  <c r="G136" i="19" s="1"/>
  <c r="H136" i="19" s="1"/>
  <c r="F128" i="19"/>
  <c r="G128" i="19" s="1"/>
  <c r="H128" i="19" s="1"/>
  <c r="F119" i="19"/>
  <c r="G119" i="19" s="1"/>
  <c r="H119" i="19" s="1"/>
  <c r="F112" i="19"/>
  <c r="G112" i="19" s="1"/>
  <c r="H112" i="19" s="1"/>
  <c r="F105" i="19"/>
  <c r="G105" i="19" s="1"/>
  <c r="H105" i="19" s="1"/>
  <c r="F87" i="19"/>
  <c r="G87" i="19" s="1"/>
  <c r="H87" i="19" s="1"/>
  <c r="F80" i="19"/>
  <c r="G80" i="19" s="1"/>
  <c r="H80" i="19" s="1"/>
  <c r="F73" i="19"/>
  <c r="G73" i="19" s="1"/>
  <c r="H73" i="19" s="1"/>
  <c r="F49" i="19"/>
  <c r="G49" i="19" s="1"/>
  <c r="H49" i="19" s="1"/>
  <c r="F33" i="19"/>
  <c r="G33" i="19" s="1"/>
  <c r="H33" i="19" s="1"/>
  <c r="F17" i="19"/>
  <c r="G17" i="19" s="1"/>
  <c r="H17" i="19" s="1"/>
  <c r="L13" i="19"/>
  <c r="M13" i="19" s="1"/>
  <c r="N13" i="19" s="1"/>
  <c r="L22" i="19"/>
  <c r="M22" i="19" s="1"/>
  <c r="N22" i="19" s="1"/>
  <c r="L54" i="19"/>
  <c r="M54" i="19" s="1"/>
  <c r="N54" i="19" s="1"/>
  <c r="L63" i="19"/>
  <c r="M63" i="19" s="1"/>
  <c r="N63" i="19" s="1"/>
  <c r="L95" i="19"/>
  <c r="M95" i="19" s="1"/>
  <c r="N95" i="19" s="1"/>
  <c r="L109" i="19"/>
  <c r="M109" i="19" s="1"/>
  <c r="N109" i="19" s="1"/>
  <c r="L138" i="19"/>
  <c r="M138" i="19" s="1"/>
  <c r="N138" i="19" s="1"/>
  <c r="L146" i="19"/>
  <c r="M146" i="19" s="1"/>
  <c r="N146" i="19" s="1"/>
  <c r="L35" i="19"/>
  <c r="M35" i="19" s="1"/>
  <c r="N35" i="19" s="1"/>
  <c r="L49" i="19"/>
  <c r="M49" i="19" s="1"/>
  <c r="N49" i="19" s="1"/>
  <c r="L81" i="19"/>
  <c r="M81" i="19" s="1"/>
  <c r="N81" i="19" s="1"/>
  <c r="L90" i="19"/>
  <c r="M90" i="19" s="1"/>
  <c r="N90" i="19" s="1"/>
  <c r="L122" i="19"/>
  <c r="M122" i="19" s="1"/>
  <c r="N122" i="19" s="1"/>
  <c r="L129" i="19"/>
  <c r="M129" i="19" s="1"/>
  <c r="N129" i="19" s="1"/>
  <c r="L27" i="19"/>
  <c r="M27" i="19" s="1"/>
  <c r="N27" i="19" s="1"/>
  <c r="L41" i="19"/>
  <c r="M41" i="19" s="1"/>
  <c r="N41" i="19" s="1"/>
  <c r="L105" i="19"/>
  <c r="M105" i="19" s="1"/>
  <c r="N105" i="19" s="1"/>
  <c r="L131" i="19"/>
  <c r="M131" i="19" s="1"/>
  <c r="N131" i="19" s="1"/>
  <c r="L164" i="19"/>
  <c r="M164" i="19" s="1"/>
  <c r="N164" i="19" s="1"/>
  <c r="L172" i="19"/>
  <c r="M172" i="19" s="1"/>
  <c r="N172" i="19" s="1"/>
  <c r="L196" i="19"/>
  <c r="M196" i="19" s="1"/>
  <c r="N196" i="19" s="1"/>
  <c r="L204" i="19"/>
  <c r="M204" i="19" s="1"/>
  <c r="N204" i="19" s="1"/>
  <c r="L71" i="19"/>
  <c r="M71" i="19" s="1"/>
  <c r="N71" i="19" s="1"/>
  <c r="L85" i="19"/>
  <c r="M85" i="19" s="1"/>
  <c r="N85" i="19" s="1"/>
  <c r="L140" i="19"/>
  <c r="M140" i="19" s="1"/>
  <c r="N140" i="19" s="1"/>
  <c r="L155" i="19"/>
  <c r="M155" i="19" s="1"/>
  <c r="N155" i="19" s="1"/>
  <c r="L179" i="19"/>
  <c r="M179" i="19" s="1"/>
  <c r="N179" i="19" s="1"/>
  <c r="L187" i="19"/>
  <c r="M187" i="19" s="1"/>
  <c r="N187" i="19" s="1"/>
  <c r="L211" i="19"/>
  <c r="M211" i="19" s="1"/>
  <c r="N211" i="19" s="1"/>
  <c r="L219" i="19"/>
  <c r="M219" i="19" s="1"/>
  <c r="N219" i="19" s="1"/>
  <c r="L243" i="19"/>
  <c r="M243" i="19" s="1"/>
  <c r="N243" i="19" s="1"/>
  <c r="L222" i="19"/>
  <c r="M222" i="19" s="1"/>
  <c r="N222" i="19" s="1"/>
  <c r="L119" i="19"/>
  <c r="M119" i="19" s="1"/>
  <c r="N119" i="19" s="1"/>
  <c r="L62" i="19"/>
  <c r="M62" i="19" s="1"/>
  <c r="N62" i="19" s="1"/>
  <c r="L225" i="19"/>
  <c r="M225" i="19" s="1"/>
  <c r="N225" i="19" s="1"/>
  <c r="L216" i="19"/>
  <c r="M216" i="19" s="1"/>
  <c r="N216" i="19" s="1"/>
  <c r="L170" i="19"/>
  <c r="M170" i="19" s="1"/>
  <c r="N170" i="19" s="1"/>
  <c r="L154" i="19"/>
  <c r="M154" i="19" s="1"/>
  <c r="N154" i="19" s="1"/>
  <c r="L25" i="19"/>
  <c r="M25" i="19" s="1"/>
  <c r="N25" i="19" s="1"/>
  <c r="L11" i="19"/>
  <c r="M11" i="19" s="1"/>
  <c r="N11" i="19" s="1"/>
  <c r="L197" i="19"/>
  <c r="M197" i="19" s="1"/>
  <c r="N197" i="19" s="1"/>
  <c r="L165" i="19"/>
  <c r="M165" i="19" s="1"/>
  <c r="N165" i="19" s="1"/>
  <c r="L230" i="19"/>
  <c r="M230" i="19" s="1"/>
  <c r="N230" i="19" s="1"/>
  <c r="L221" i="19"/>
  <c r="M221" i="19" s="1"/>
  <c r="N221" i="19" s="1"/>
  <c r="L177" i="19"/>
  <c r="M177" i="19" s="1"/>
  <c r="N177" i="19" s="1"/>
  <c r="L161" i="19"/>
  <c r="M161" i="19" s="1"/>
  <c r="N161" i="19" s="1"/>
  <c r="L87" i="19"/>
  <c r="M87" i="19" s="1"/>
  <c r="N87" i="19" s="1"/>
  <c r="L30" i="19"/>
  <c r="M30" i="19" s="1"/>
  <c r="N30" i="19" s="1"/>
  <c r="L24" i="19"/>
  <c r="M24" i="19" s="1"/>
  <c r="N24" i="19" s="1"/>
  <c r="L32" i="19"/>
  <c r="M32" i="19" s="1"/>
  <c r="N32" i="19" s="1"/>
  <c r="L56" i="19"/>
  <c r="M56" i="19" s="1"/>
  <c r="N56" i="19" s="1"/>
  <c r="L64" i="19"/>
  <c r="M64" i="19" s="1"/>
  <c r="N64" i="19" s="1"/>
  <c r="L88" i="19"/>
  <c r="M88" i="19" s="1"/>
  <c r="N88" i="19" s="1"/>
  <c r="L96" i="19"/>
  <c r="M96" i="19" s="1"/>
  <c r="N96" i="19" s="1"/>
  <c r="L120" i="19"/>
  <c r="M120" i="19" s="1"/>
  <c r="N120" i="19" s="1"/>
  <c r="C35" i="19"/>
  <c r="D35" i="19" s="1"/>
  <c r="E35" i="19" s="1"/>
  <c r="C101" i="19"/>
  <c r="D101" i="19" s="1"/>
  <c r="E101" i="19" s="1"/>
  <c r="C192" i="19"/>
  <c r="D192" i="19" s="1"/>
  <c r="E192" i="19" s="1"/>
  <c r="R138" i="19"/>
  <c r="S138" i="19" s="1"/>
  <c r="T138" i="19" s="1"/>
  <c r="C45" i="19"/>
  <c r="D45" i="19" s="1"/>
  <c r="E45" i="19" s="1"/>
  <c r="C117" i="19"/>
  <c r="D117" i="19" s="1"/>
  <c r="E117" i="19" s="1"/>
  <c r="O169" i="19"/>
  <c r="P169" i="19" s="1"/>
  <c r="Q169" i="19" s="1"/>
  <c r="O123" i="19"/>
  <c r="P123" i="19" s="1"/>
  <c r="Q123" i="19" s="1"/>
  <c r="O104" i="19"/>
  <c r="P104" i="19" s="1"/>
  <c r="Q104" i="19" s="1"/>
  <c r="O83" i="19"/>
  <c r="P83" i="19" s="1"/>
  <c r="Q83" i="19" s="1"/>
  <c r="O15" i="19"/>
  <c r="P15" i="19" s="1"/>
  <c r="Q15" i="19" s="1"/>
  <c r="O71" i="19"/>
  <c r="P71" i="19" s="1"/>
  <c r="Q71" i="19" s="1"/>
  <c r="O23" i="19"/>
  <c r="P23" i="19" s="1"/>
  <c r="Q23" i="19" s="1"/>
  <c r="O183" i="19"/>
  <c r="P183" i="19" s="1"/>
  <c r="Q183" i="19" s="1"/>
  <c r="O139" i="19"/>
  <c r="P139" i="19" s="1"/>
  <c r="Q139" i="19" s="1"/>
  <c r="O132" i="19"/>
  <c r="P132" i="19" s="1"/>
  <c r="Q132" i="19" s="1"/>
  <c r="O43" i="19"/>
  <c r="P43" i="19" s="1"/>
  <c r="Q43" i="19" s="1"/>
  <c r="O18" i="19"/>
  <c r="P18" i="19" s="1"/>
  <c r="Q18" i="19" s="1"/>
  <c r="O39" i="19"/>
  <c r="P39" i="19" s="1"/>
  <c r="Q39" i="19" s="1"/>
  <c r="O81" i="19"/>
  <c r="P81" i="19" s="1"/>
  <c r="Q81" i="19" s="1"/>
  <c r="O61" i="19"/>
  <c r="P61" i="19" s="1"/>
  <c r="Q61" i="19" s="1"/>
  <c r="O201" i="19"/>
  <c r="P201" i="19" s="1"/>
  <c r="Q201" i="19" s="1"/>
  <c r="C28" i="19"/>
  <c r="D28" i="19" s="1"/>
  <c r="E28" i="19" s="1"/>
  <c r="C33" i="19"/>
  <c r="D33" i="19" s="1"/>
  <c r="E33" i="19" s="1"/>
  <c r="C69" i="19"/>
  <c r="D69" i="19" s="1"/>
  <c r="E69" i="19" s="1"/>
  <c r="C75" i="19"/>
  <c r="D75" i="19" s="1"/>
  <c r="E75" i="19" s="1"/>
  <c r="R94" i="19"/>
  <c r="S94" i="19" s="1"/>
  <c r="T94" i="19" s="1"/>
  <c r="R100" i="19"/>
  <c r="S100" i="19" s="1"/>
  <c r="T100" i="19" s="1"/>
  <c r="C145" i="19"/>
  <c r="D145" i="19" s="1"/>
  <c r="E145" i="19" s="1"/>
  <c r="O22" i="19"/>
  <c r="P22" i="19" s="1"/>
  <c r="Q22" i="19" s="1"/>
  <c r="R54" i="19"/>
  <c r="S54" i="19" s="1"/>
  <c r="T54" i="19" s="1"/>
  <c r="R115" i="19"/>
  <c r="S115" i="19" s="1"/>
  <c r="T115" i="19" s="1"/>
  <c r="R153" i="19"/>
  <c r="S153" i="19" s="1"/>
  <c r="T153" i="19" s="1"/>
  <c r="C180" i="19"/>
  <c r="D180" i="19" s="1"/>
  <c r="E180" i="19" s="1"/>
  <c r="R17" i="19"/>
  <c r="S17" i="19" s="1"/>
  <c r="T17" i="19" s="1"/>
  <c r="R26" i="19"/>
  <c r="S26" i="19" s="1"/>
  <c r="T26" i="19" s="1"/>
  <c r="R30" i="19"/>
  <c r="S30" i="19" s="1"/>
  <c r="T30" i="19" s="1"/>
  <c r="R92" i="19"/>
  <c r="S92" i="19" s="1"/>
  <c r="T92" i="19" s="1"/>
  <c r="C97" i="19"/>
  <c r="D97" i="19" s="1"/>
  <c r="E97" i="19" s="1"/>
  <c r="C108" i="19"/>
  <c r="D108" i="19" s="1"/>
  <c r="E108" i="19" s="1"/>
  <c r="C176" i="19"/>
  <c r="D176" i="19" s="1"/>
  <c r="E176" i="19" s="1"/>
  <c r="V176" i="19" s="1"/>
  <c r="R25" i="19"/>
  <c r="S25" i="19" s="1"/>
  <c r="T25" i="19" s="1"/>
  <c r="C27" i="19"/>
  <c r="D27" i="19" s="1"/>
  <c r="E27" i="19" s="1"/>
  <c r="R29" i="19"/>
  <c r="S29" i="19" s="1"/>
  <c r="T29" i="19" s="1"/>
  <c r="C32" i="19"/>
  <c r="D32" i="19" s="1"/>
  <c r="E32" i="19" s="1"/>
  <c r="C41" i="19"/>
  <c r="D41" i="19" s="1"/>
  <c r="E41" i="19" s="1"/>
  <c r="C68" i="19"/>
  <c r="D68" i="19" s="1"/>
  <c r="E68" i="19" s="1"/>
  <c r="C93" i="19"/>
  <c r="D93" i="19" s="1"/>
  <c r="E93" i="19" s="1"/>
  <c r="H251" i="17"/>
  <c r="V252" i="17" s="1"/>
  <c r="AM252" i="17"/>
  <c r="AM254" i="17"/>
  <c r="I10" i="17"/>
  <c r="J10" i="17" s="1"/>
  <c r="K10" i="17" s="1"/>
  <c r="V12" i="17" s="1"/>
  <c r="I11" i="17"/>
  <c r="J11" i="17" s="1"/>
  <c r="K11" i="17" s="1"/>
  <c r="O12" i="17"/>
  <c r="P12" i="17" s="1"/>
  <c r="Q12" i="17" s="1"/>
  <c r="F13" i="17"/>
  <c r="G13" i="17" s="1"/>
  <c r="H13" i="17" s="1"/>
  <c r="F14" i="17"/>
  <c r="G14" i="17" s="1"/>
  <c r="H14" i="17" s="1"/>
  <c r="I16" i="17"/>
  <c r="J16" i="17" s="1"/>
  <c r="K16" i="17" s="1"/>
  <c r="C17" i="17"/>
  <c r="D17" i="17" s="1"/>
  <c r="E17" i="17" s="1"/>
  <c r="I18" i="17"/>
  <c r="J18" i="17" s="1"/>
  <c r="K18" i="17" s="1"/>
  <c r="F19" i="17"/>
  <c r="G19" i="17" s="1"/>
  <c r="H19" i="17" s="1"/>
  <c r="I20" i="17"/>
  <c r="J20" i="17" s="1"/>
  <c r="K20" i="17" s="1"/>
  <c r="F21" i="17"/>
  <c r="G21" i="17" s="1"/>
  <c r="H21" i="17" s="1"/>
  <c r="C22" i="17"/>
  <c r="D22" i="17" s="1"/>
  <c r="E22" i="17" s="1"/>
  <c r="O22" i="17"/>
  <c r="P22" i="17" s="1"/>
  <c r="Q22" i="17" s="1"/>
  <c r="F23" i="17"/>
  <c r="G23" i="17" s="1"/>
  <c r="H23" i="17" s="1"/>
  <c r="O24" i="17"/>
  <c r="P24" i="17" s="1"/>
  <c r="Q24" i="17" s="1"/>
  <c r="C25" i="17"/>
  <c r="D25" i="17" s="1"/>
  <c r="E25" i="17" s="1"/>
  <c r="V25" i="17" s="1"/>
  <c r="F26" i="17"/>
  <c r="G26" i="17" s="1"/>
  <c r="H26" i="17" s="1"/>
  <c r="R26" i="17"/>
  <c r="S26" i="17" s="1"/>
  <c r="T26" i="17" s="1"/>
  <c r="F27" i="17"/>
  <c r="G27" i="17" s="1"/>
  <c r="H27" i="17" s="1"/>
  <c r="I28" i="17"/>
  <c r="J28" i="17" s="1"/>
  <c r="K28" i="17" s="1"/>
  <c r="R28" i="17"/>
  <c r="S28" i="17" s="1"/>
  <c r="T28" i="17" s="1"/>
  <c r="F29" i="17"/>
  <c r="G29" i="17" s="1"/>
  <c r="H29" i="17" s="1"/>
  <c r="O30" i="17"/>
  <c r="P30" i="17" s="1"/>
  <c r="Q30" i="17" s="1"/>
  <c r="F32" i="17"/>
  <c r="G32" i="17" s="1"/>
  <c r="H32" i="17" s="1"/>
  <c r="L33" i="17"/>
  <c r="M33" i="17" s="1"/>
  <c r="N33" i="17" s="1"/>
  <c r="R35" i="17"/>
  <c r="S35" i="17" s="1"/>
  <c r="T35" i="17" s="1"/>
  <c r="I36" i="17"/>
  <c r="J36" i="17" s="1"/>
  <c r="K36" i="17" s="1"/>
  <c r="O36" i="17"/>
  <c r="P36" i="17" s="1"/>
  <c r="Q36" i="17" s="1"/>
  <c r="F37" i="17"/>
  <c r="G37" i="17" s="1"/>
  <c r="H37" i="17" s="1"/>
  <c r="F38" i="17"/>
  <c r="G38" i="17" s="1"/>
  <c r="H38" i="17" s="1"/>
  <c r="L38" i="17"/>
  <c r="M38" i="17" s="1"/>
  <c r="N38" i="17" s="1"/>
  <c r="I39" i="17"/>
  <c r="J39" i="17" s="1"/>
  <c r="K39" i="17" s="1"/>
  <c r="L41" i="17"/>
  <c r="M41" i="17" s="1"/>
  <c r="N41" i="17" s="1"/>
  <c r="C42" i="17"/>
  <c r="D42" i="17" s="1"/>
  <c r="E42" i="17" s="1"/>
  <c r="F43" i="17"/>
  <c r="G43" i="17" s="1"/>
  <c r="H43" i="17" s="1"/>
  <c r="L45" i="17"/>
  <c r="M45" i="17" s="1"/>
  <c r="N45" i="17" s="1"/>
  <c r="R46" i="17"/>
  <c r="S46" i="17" s="1"/>
  <c r="T46" i="17" s="1"/>
  <c r="C48" i="17"/>
  <c r="D48" i="17" s="1"/>
  <c r="E48" i="17" s="1"/>
  <c r="I48" i="17"/>
  <c r="J48" i="17" s="1"/>
  <c r="K48" i="17" s="1"/>
  <c r="R48" i="17"/>
  <c r="S48" i="17" s="1"/>
  <c r="T48" i="17" s="1"/>
  <c r="F49" i="17"/>
  <c r="G49" i="17" s="1"/>
  <c r="H49" i="17" s="1"/>
  <c r="R49" i="17"/>
  <c r="S49" i="17" s="1"/>
  <c r="T49" i="17" s="1"/>
  <c r="C52" i="17"/>
  <c r="D52" i="17" s="1"/>
  <c r="E52" i="17" s="1"/>
  <c r="I52" i="17"/>
  <c r="J52" i="17" s="1"/>
  <c r="K52" i="17" s="1"/>
  <c r="R52" i="17"/>
  <c r="S52" i="17" s="1"/>
  <c r="T52" i="17" s="1"/>
  <c r="I53" i="17"/>
  <c r="J53" i="17" s="1"/>
  <c r="K53" i="17" s="1"/>
  <c r="F54" i="17"/>
  <c r="G54" i="17" s="1"/>
  <c r="H54" i="17" s="1"/>
  <c r="F55" i="17"/>
  <c r="G55" i="17" s="1"/>
  <c r="L57" i="17"/>
  <c r="M57" i="17" s="1"/>
  <c r="N57" i="17" s="1"/>
  <c r="F58" i="17"/>
  <c r="G58" i="17" s="1"/>
  <c r="H58" i="17" s="1"/>
  <c r="O58" i="17"/>
  <c r="P58" i="17" s="1"/>
  <c r="Q58" i="17" s="1"/>
  <c r="F59" i="17"/>
  <c r="G59" i="17" s="1"/>
  <c r="H59" i="17" s="1"/>
  <c r="L59" i="17"/>
  <c r="M59" i="17" s="1"/>
  <c r="N59" i="17" s="1"/>
  <c r="R59" i="17"/>
  <c r="S59" i="17" s="1"/>
  <c r="T59" i="17" s="1"/>
  <c r="F60" i="17"/>
  <c r="G60" i="17" s="1"/>
  <c r="H60" i="17" s="1"/>
  <c r="O60" i="17"/>
  <c r="P60" i="17" s="1"/>
  <c r="Q60" i="17" s="1"/>
  <c r="C61" i="17"/>
  <c r="D61" i="17" s="1"/>
  <c r="E61" i="17" s="1"/>
  <c r="R61" i="17"/>
  <c r="S61" i="17" s="1"/>
  <c r="T61" i="17" s="1"/>
  <c r="I62" i="17"/>
  <c r="J62" i="17" s="1"/>
  <c r="K62" i="17" s="1"/>
  <c r="O62" i="17"/>
  <c r="P62" i="17" s="1"/>
  <c r="Q62" i="17" s="1"/>
  <c r="F63" i="17"/>
  <c r="G63" i="17" s="1"/>
  <c r="H63" i="17" s="1"/>
  <c r="L11" i="17"/>
  <c r="M11" i="17" s="1"/>
  <c r="N11" i="17" s="1"/>
  <c r="C12" i="17"/>
  <c r="D12" i="17" s="1"/>
  <c r="E12" i="17" s="1"/>
  <c r="L13" i="17"/>
  <c r="M13" i="17" s="1"/>
  <c r="N13" i="17" s="1"/>
  <c r="I14" i="17"/>
  <c r="J14" i="17" s="1"/>
  <c r="K14" i="17" s="1"/>
  <c r="F15" i="17"/>
  <c r="G15" i="17" s="1"/>
  <c r="H15" i="17" s="1"/>
  <c r="F17" i="17"/>
  <c r="G17" i="17" s="1"/>
  <c r="H17" i="17" s="1"/>
  <c r="O17" i="17"/>
  <c r="P17" i="17" s="1"/>
  <c r="Q17" i="17" s="1"/>
  <c r="L18" i="17"/>
  <c r="M18" i="17" s="1"/>
  <c r="N18" i="17" s="1"/>
  <c r="I19" i="17"/>
  <c r="J19" i="17" s="1"/>
  <c r="K19" i="17" s="1"/>
  <c r="R20" i="17"/>
  <c r="S20" i="17" s="1"/>
  <c r="T20" i="17" s="1"/>
  <c r="L21" i="17"/>
  <c r="M21" i="17" s="1"/>
  <c r="N21" i="17" s="1"/>
  <c r="R21" i="17"/>
  <c r="S21" i="17" s="1"/>
  <c r="T21" i="17" s="1"/>
  <c r="I23" i="17"/>
  <c r="J23" i="17" s="1"/>
  <c r="K23" i="17" s="1"/>
  <c r="C24" i="17"/>
  <c r="D24" i="17" s="1"/>
  <c r="E24" i="17" s="1"/>
  <c r="F25" i="17"/>
  <c r="G25" i="17" s="1"/>
  <c r="R25" i="17"/>
  <c r="S25" i="17" s="1"/>
  <c r="T25" i="17" s="1"/>
  <c r="I26" i="17"/>
  <c r="J26" i="17" s="1"/>
  <c r="K26" i="17" s="1"/>
  <c r="I27" i="17"/>
  <c r="J27" i="17" s="1"/>
  <c r="K27" i="17" s="1"/>
  <c r="C28" i="17"/>
  <c r="D28" i="17" s="1"/>
  <c r="E28" i="17" s="1"/>
  <c r="L28" i="17"/>
  <c r="M28" i="17" s="1"/>
  <c r="N28" i="17" s="1"/>
  <c r="L29" i="17"/>
  <c r="M29" i="17" s="1"/>
  <c r="N29" i="17" s="1"/>
  <c r="C30" i="17"/>
  <c r="D30" i="17" s="1"/>
  <c r="E30" i="17" s="1"/>
  <c r="I30" i="17"/>
  <c r="J30" i="17" s="1"/>
  <c r="K30" i="17" s="1"/>
  <c r="R30" i="17"/>
  <c r="S30" i="17" s="1"/>
  <c r="T30" i="17" s="1"/>
  <c r="R31" i="17"/>
  <c r="S31" i="17" s="1"/>
  <c r="T31" i="17" s="1"/>
  <c r="O32" i="17"/>
  <c r="P32" i="17" s="1"/>
  <c r="Q32" i="17" s="1"/>
  <c r="F33" i="17"/>
  <c r="G33" i="17" s="1"/>
  <c r="H33" i="17" s="1"/>
  <c r="R33" i="17"/>
  <c r="S33" i="17" s="1"/>
  <c r="T33" i="17" s="1"/>
  <c r="C35" i="17"/>
  <c r="D35" i="17" s="1"/>
  <c r="E35" i="17" s="1"/>
  <c r="L35" i="17"/>
  <c r="M35" i="17" s="1"/>
  <c r="N35" i="17" s="1"/>
  <c r="F36" i="17"/>
  <c r="G36" i="17" s="1"/>
  <c r="H36" i="17" s="1"/>
  <c r="L36" i="17"/>
  <c r="M36" i="17" s="1"/>
  <c r="N36" i="17" s="1"/>
  <c r="R36" i="17"/>
  <c r="S36" i="17" s="1"/>
  <c r="T36" i="17" s="1"/>
  <c r="O38" i="17"/>
  <c r="P38" i="17" s="1"/>
  <c r="Q38" i="17" s="1"/>
  <c r="L39" i="17"/>
  <c r="M39" i="17" s="1"/>
  <c r="N39" i="17" s="1"/>
  <c r="I42" i="17"/>
  <c r="J42" i="17" s="1"/>
  <c r="K42" i="17" s="1"/>
  <c r="R42" i="17"/>
  <c r="S42" i="17" s="1"/>
  <c r="T42" i="17" s="1"/>
  <c r="O47" i="17"/>
  <c r="P47" i="17" s="1"/>
  <c r="Q47" i="17" s="1"/>
  <c r="F48" i="17"/>
  <c r="G48" i="17" s="1"/>
  <c r="H48" i="17" s="1"/>
  <c r="I49" i="17"/>
  <c r="J49" i="17" s="1"/>
  <c r="K49" i="17" s="1"/>
  <c r="F51" i="17"/>
  <c r="G51" i="17" s="1"/>
  <c r="H51" i="17" s="1"/>
  <c r="L52" i="17"/>
  <c r="M52" i="17" s="1"/>
  <c r="N52" i="17" s="1"/>
  <c r="L53" i="17"/>
  <c r="M53" i="17" s="1"/>
  <c r="N53" i="17" s="1"/>
  <c r="R54" i="17"/>
  <c r="S54" i="17" s="1"/>
  <c r="T54" i="17" s="1"/>
  <c r="F56" i="17"/>
  <c r="G56" i="17" s="1"/>
  <c r="H56" i="17" s="1"/>
  <c r="R57" i="17"/>
  <c r="S57" i="17" s="1"/>
  <c r="T57" i="17" s="1"/>
  <c r="C13" i="17"/>
  <c r="D13" i="17" s="1"/>
  <c r="E13" i="17" s="1"/>
  <c r="C14" i="17"/>
  <c r="D14" i="17" s="1"/>
  <c r="E14" i="17" s="1"/>
  <c r="I15" i="17"/>
  <c r="J15" i="17" s="1"/>
  <c r="K15" i="17" s="1"/>
  <c r="F16" i="17"/>
  <c r="G16" i="17" s="1"/>
  <c r="H16" i="17" s="1"/>
  <c r="L17" i="17"/>
  <c r="M17" i="17" s="1"/>
  <c r="N17" i="17" s="1"/>
  <c r="C18" i="17"/>
  <c r="D18" i="17" s="1"/>
  <c r="E18" i="17" s="1"/>
  <c r="L19" i="17"/>
  <c r="M19" i="17" s="1"/>
  <c r="N19" i="17" s="1"/>
  <c r="F20" i="17"/>
  <c r="G20" i="17" s="1"/>
  <c r="H20" i="17" s="1"/>
  <c r="O21" i="17"/>
  <c r="P21" i="17" s="1"/>
  <c r="Q21" i="17" s="1"/>
  <c r="L22" i="17"/>
  <c r="M22" i="17" s="1"/>
  <c r="N22" i="17" s="1"/>
  <c r="R23" i="17"/>
  <c r="S23" i="17" s="1"/>
  <c r="T23" i="17" s="1"/>
  <c r="R24" i="17"/>
  <c r="S24" i="17" s="1"/>
  <c r="T24" i="17" s="1"/>
  <c r="O28" i="17"/>
  <c r="P28" i="17" s="1"/>
  <c r="Q28" i="17" s="1"/>
  <c r="R29" i="17"/>
  <c r="S29" i="17" s="1"/>
  <c r="T29" i="17" s="1"/>
  <c r="R32" i="17"/>
  <c r="S32" i="17" s="1"/>
  <c r="T32" i="17" s="1"/>
  <c r="C37" i="17"/>
  <c r="D37" i="17" s="1"/>
  <c r="E37" i="17" s="1"/>
  <c r="C38" i="17"/>
  <c r="D38" i="17" s="1"/>
  <c r="E38" i="17" s="1"/>
  <c r="F41" i="17"/>
  <c r="G41" i="17" s="1"/>
  <c r="H41" i="17" s="1"/>
  <c r="F42" i="17"/>
  <c r="G42" i="17" s="1"/>
  <c r="H42" i="17" s="1"/>
  <c r="R45" i="17"/>
  <c r="S45" i="17" s="1"/>
  <c r="T45" i="17" s="1"/>
  <c r="F47" i="17"/>
  <c r="G47" i="17" s="1"/>
  <c r="H47" i="17" s="1"/>
  <c r="I50" i="17"/>
  <c r="J50" i="17" s="1"/>
  <c r="K50" i="17" s="1"/>
  <c r="R53" i="17"/>
  <c r="S53" i="17" s="1"/>
  <c r="T53" i="17" s="1"/>
  <c r="O55" i="17"/>
  <c r="P55" i="17" s="1"/>
  <c r="L58" i="17"/>
  <c r="M58" i="17" s="1"/>
  <c r="N58" i="17" s="1"/>
  <c r="O59" i="17"/>
  <c r="P59" i="17" s="1"/>
  <c r="Q59" i="17" s="1"/>
  <c r="C60" i="17"/>
  <c r="D60" i="17" s="1"/>
  <c r="E60" i="17" s="1"/>
  <c r="L61" i="17"/>
  <c r="M61" i="17" s="1"/>
  <c r="N61" i="17" s="1"/>
  <c r="C62" i="17"/>
  <c r="D62" i="17" s="1"/>
  <c r="E62" i="17" s="1"/>
  <c r="R62" i="17"/>
  <c r="S62" i="17" s="1"/>
  <c r="T62" i="17" s="1"/>
  <c r="R63" i="17"/>
  <c r="S63" i="17" s="1"/>
  <c r="T63" i="17" s="1"/>
  <c r="I64" i="17"/>
  <c r="J64" i="17" s="1"/>
  <c r="K64" i="17" s="1"/>
  <c r="C65" i="17"/>
  <c r="D65" i="17" s="1"/>
  <c r="E65" i="17" s="1"/>
  <c r="R65" i="17"/>
  <c r="S65" i="17" s="1"/>
  <c r="T65" i="17" s="1"/>
  <c r="F66" i="17"/>
  <c r="G66" i="17" s="1"/>
  <c r="H66" i="17" s="1"/>
  <c r="F67" i="17"/>
  <c r="G67" i="17" s="1"/>
  <c r="H67" i="17" s="1"/>
  <c r="R67" i="17"/>
  <c r="S67" i="17" s="1"/>
  <c r="T67" i="17" s="1"/>
  <c r="F68" i="17"/>
  <c r="G68" i="17" s="1"/>
  <c r="H68" i="17" s="1"/>
  <c r="O70" i="17"/>
  <c r="P70" i="17" s="1"/>
  <c r="R71" i="17"/>
  <c r="S71" i="17" s="1"/>
  <c r="T71" i="17" s="1"/>
  <c r="C74" i="17"/>
  <c r="D74" i="17" s="1"/>
  <c r="E74" i="17" s="1"/>
  <c r="L75" i="17"/>
  <c r="M75" i="17" s="1"/>
  <c r="N75" i="17" s="1"/>
  <c r="C76" i="17"/>
  <c r="D76" i="17" s="1"/>
  <c r="E76" i="17" s="1"/>
  <c r="L76" i="17"/>
  <c r="M76" i="17" s="1"/>
  <c r="N76" i="17" s="1"/>
  <c r="I78" i="17"/>
  <c r="J78" i="17" s="1"/>
  <c r="K78" i="17" s="1"/>
  <c r="O78" i="17"/>
  <c r="P78" i="17" s="1"/>
  <c r="Q78" i="17" s="1"/>
  <c r="L79" i="17"/>
  <c r="M79" i="17" s="1"/>
  <c r="N79" i="17" s="1"/>
  <c r="C80" i="17"/>
  <c r="D80" i="17" s="1"/>
  <c r="E80" i="17" s="1"/>
  <c r="I80" i="17"/>
  <c r="J80" i="17" s="1"/>
  <c r="K80" i="17" s="1"/>
  <c r="C82" i="17"/>
  <c r="D82" i="17" s="1"/>
  <c r="E82" i="17" s="1"/>
  <c r="I82" i="17"/>
  <c r="J82" i="17" s="1"/>
  <c r="K82" i="17" s="1"/>
  <c r="O82" i="17"/>
  <c r="P82" i="17" s="1"/>
  <c r="Q82" i="17" s="1"/>
  <c r="L83" i="17"/>
  <c r="M83" i="17" s="1"/>
  <c r="N83" i="17" s="1"/>
  <c r="F84" i="17"/>
  <c r="G84" i="17" s="1"/>
  <c r="H84" i="17" s="1"/>
  <c r="O84" i="17"/>
  <c r="P84" i="17" s="1"/>
  <c r="Q84" i="17" s="1"/>
  <c r="R85" i="17"/>
  <c r="S85" i="17" s="1"/>
  <c r="T85" i="17" s="1"/>
  <c r="F86" i="17"/>
  <c r="G86" i="17" s="1"/>
  <c r="H86" i="17" s="1"/>
  <c r="O86" i="17"/>
  <c r="P86" i="17" s="1"/>
  <c r="Q86" i="17" s="1"/>
  <c r="R87" i="17"/>
  <c r="S87" i="17" s="1"/>
  <c r="T87" i="17" s="1"/>
  <c r="F88" i="17"/>
  <c r="G88" i="17" s="1"/>
  <c r="H88" i="17" s="1"/>
  <c r="L88" i="17"/>
  <c r="M88" i="17" s="1"/>
  <c r="N88" i="17" s="1"/>
  <c r="R88" i="17"/>
  <c r="S88" i="17" s="1"/>
  <c r="T88" i="17" s="1"/>
  <c r="I90" i="17"/>
  <c r="J90" i="17" s="1"/>
  <c r="K90" i="17" s="1"/>
  <c r="R90" i="17"/>
  <c r="S90" i="17" s="1"/>
  <c r="T90" i="17" s="1"/>
  <c r="I92" i="17"/>
  <c r="J92" i="17" s="1"/>
  <c r="K92" i="17" s="1"/>
  <c r="O94" i="17"/>
  <c r="P94" i="17" s="1"/>
  <c r="Q94" i="17" s="1"/>
  <c r="R95" i="17"/>
  <c r="S95" i="17" s="1"/>
  <c r="T95" i="17" s="1"/>
  <c r="R96" i="17"/>
  <c r="S96" i="17" s="1"/>
  <c r="T96" i="17" s="1"/>
  <c r="C100" i="17"/>
  <c r="D100" i="17" s="1"/>
  <c r="E100" i="17" s="1"/>
  <c r="V100" i="17" s="1"/>
  <c r="L100" i="17"/>
  <c r="M100" i="17" s="1"/>
  <c r="C101" i="17"/>
  <c r="D101" i="17" s="1"/>
  <c r="E101" i="17" s="1"/>
  <c r="F102" i="17"/>
  <c r="G102" i="17" s="1"/>
  <c r="H102" i="17" s="1"/>
  <c r="I104" i="17"/>
  <c r="J104" i="17" s="1"/>
  <c r="K104" i="17" s="1"/>
  <c r="O105" i="17"/>
  <c r="P105" i="17" s="1"/>
  <c r="Q105" i="17" s="1"/>
  <c r="C106" i="17"/>
  <c r="D106" i="17" s="1"/>
  <c r="E106" i="17" s="1"/>
  <c r="I107" i="17"/>
  <c r="J107" i="17" s="1"/>
  <c r="K107" i="17" s="1"/>
  <c r="C108" i="17"/>
  <c r="D108" i="17" s="1"/>
  <c r="E108" i="17" s="1"/>
  <c r="F109" i="17"/>
  <c r="G109" i="17" s="1"/>
  <c r="H109" i="17" s="1"/>
  <c r="L109" i="17"/>
  <c r="M109" i="17" s="1"/>
  <c r="N109" i="17" s="1"/>
  <c r="R109" i="17"/>
  <c r="S109" i="17" s="1"/>
  <c r="T109" i="17" s="1"/>
  <c r="F110" i="17"/>
  <c r="G110" i="17" s="1"/>
  <c r="H110" i="17" s="1"/>
  <c r="F111" i="17"/>
  <c r="G111" i="17" s="1"/>
  <c r="H111" i="17" s="1"/>
  <c r="I112" i="17"/>
  <c r="J112" i="17" s="1"/>
  <c r="K112" i="17" s="1"/>
  <c r="F114" i="17"/>
  <c r="G114" i="17" s="1"/>
  <c r="H114" i="17" s="1"/>
  <c r="I115" i="17"/>
  <c r="J115" i="17" s="1"/>
  <c r="C117" i="17"/>
  <c r="D117" i="17" s="1"/>
  <c r="E117" i="17" s="1"/>
  <c r="R119" i="17"/>
  <c r="S119" i="17" s="1"/>
  <c r="T119" i="17" s="1"/>
  <c r="F120" i="17"/>
  <c r="G120" i="17" s="1"/>
  <c r="H120" i="17" s="1"/>
  <c r="O120" i="17"/>
  <c r="P120" i="17" s="1"/>
  <c r="Q120" i="17" s="1"/>
  <c r="L123" i="17"/>
  <c r="M123" i="17" s="1"/>
  <c r="N123" i="17" s="1"/>
  <c r="L12" i="17"/>
  <c r="M12" i="17" s="1"/>
  <c r="N12" i="17" s="1"/>
  <c r="O14" i="17"/>
  <c r="P14" i="17" s="1"/>
  <c r="Q14" i="17" s="1"/>
  <c r="L15" i="17"/>
  <c r="M15" i="17" s="1"/>
  <c r="N15" i="17" s="1"/>
  <c r="R19" i="17"/>
  <c r="S19" i="17" s="1"/>
  <c r="T19" i="17" s="1"/>
  <c r="C26" i="17"/>
  <c r="D26" i="17" s="1"/>
  <c r="E26" i="17" s="1"/>
  <c r="F28" i="17"/>
  <c r="G28" i="17" s="1"/>
  <c r="H28" i="17" s="1"/>
  <c r="C32" i="17"/>
  <c r="D32" i="17" s="1"/>
  <c r="E32" i="17" s="1"/>
  <c r="F35" i="17"/>
  <c r="G35" i="17" s="1"/>
  <c r="H35" i="17" s="1"/>
  <c r="C36" i="17"/>
  <c r="D36" i="17" s="1"/>
  <c r="E36" i="17" s="1"/>
  <c r="O37" i="17"/>
  <c r="P37" i="17" s="1"/>
  <c r="Q37" i="17" s="1"/>
  <c r="R38" i="17"/>
  <c r="S38" i="17" s="1"/>
  <c r="T38" i="17" s="1"/>
  <c r="R39" i="17"/>
  <c r="S39" i="17" s="1"/>
  <c r="T39" i="17" s="1"/>
  <c r="I41" i="17"/>
  <c r="J41" i="17" s="1"/>
  <c r="K41" i="17" s="1"/>
  <c r="C43" i="17"/>
  <c r="D43" i="17" s="1"/>
  <c r="E43" i="17" s="1"/>
  <c r="R47" i="17"/>
  <c r="S47" i="17" s="1"/>
  <c r="T47" i="17" s="1"/>
  <c r="L48" i="17"/>
  <c r="M48" i="17" s="1"/>
  <c r="N48" i="17" s="1"/>
  <c r="L49" i="17"/>
  <c r="M49" i="17" s="1"/>
  <c r="N49" i="17" s="1"/>
  <c r="R50" i="17"/>
  <c r="S50" i="17" s="1"/>
  <c r="T50" i="17" s="1"/>
  <c r="F52" i="17"/>
  <c r="G52" i="17" s="1"/>
  <c r="H52" i="17" s="1"/>
  <c r="R55" i="17"/>
  <c r="S55" i="17" s="1"/>
  <c r="T55" i="17" s="1"/>
  <c r="C58" i="17"/>
  <c r="D58" i="17" s="1"/>
  <c r="E58" i="17" s="1"/>
  <c r="R58" i="17"/>
  <c r="S58" i="17" s="1"/>
  <c r="T58" i="17" s="1"/>
  <c r="I60" i="17"/>
  <c r="J60" i="17" s="1"/>
  <c r="K60" i="17" s="1"/>
  <c r="R60" i="17"/>
  <c r="S60" i="17" s="1"/>
  <c r="T60" i="17" s="1"/>
  <c r="F62" i="17"/>
  <c r="G62" i="17" s="1"/>
  <c r="H62" i="17" s="1"/>
  <c r="L62" i="17"/>
  <c r="M62" i="17" s="1"/>
  <c r="N62" i="17" s="1"/>
  <c r="R64" i="17"/>
  <c r="S64" i="17" s="1"/>
  <c r="T64" i="17" s="1"/>
  <c r="F65" i="17"/>
  <c r="G65" i="17" s="1"/>
  <c r="H65" i="17" s="1"/>
  <c r="L66" i="17"/>
  <c r="M66" i="17" s="1"/>
  <c r="N66" i="17" s="1"/>
  <c r="R66" i="17"/>
  <c r="S66" i="17" s="1"/>
  <c r="T66" i="17" s="1"/>
  <c r="I67" i="17"/>
  <c r="J67" i="17" s="1"/>
  <c r="K67" i="17" s="1"/>
  <c r="I68" i="17"/>
  <c r="J68" i="17" s="1"/>
  <c r="K68" i="17" s="1"/>
  <c r="O68" i="17"/>
  <c r="P68" i="17" s="1"/>
  <c r="Q68" i="17" s="1"/>
  <c r="C70" i="17"/>
  <c r="D70" i="17" s="1"/>
  <c r="AA70" i="17" s="1"/>
  <c r="I70" i="17"/>
  <c r="J70" i="17" s="1"/>
  <c r="O72" i="17"/>
  <c r="P72" i="17" s="1"/>
  <c r="Q72" i="17" s="1"/>
  <c r="I74" i="17"/>
  <c r="J74" i="17" s="1"/>
  <c r="K74" i="17" s="1"/>
  <c r="O74" i="17"/>
  <c r="P74" i="17" s="1"/>
  <c r="Q74" i="17" s="1"/>
  <c r="O75" i="17"/>
  <c r="P75" i="17" s="1"/>
  <c r="Q75" i="17" s="1"/>
  <c r="F76" i="17"/>
  <c r="G76" i="17" s="1"/>
  <c r="H76" i="17" s="1"/>
  <c r="O76" i="17"/>
  <c r="P76" i="17" s="1"/>
  <c r="Q76" i="17" s="1"/>
  <c r="C78" i="17"/>
  <c r="D78" i="17" s="1"/>
  <c r="E78" i="17" s="1"/>
  <c r="R78" i="17"/>
  <c r="S78" i="17" s="1"/>
  <c r="T78" i="17" s="1"/>
  <c r="F81" i="17"/>
  <c r="G81" i="17" s="1"/>
  <c r="H81" i="17" s="1"/>
  <c r="R83" i="17"/>
  <c r="S83" i="17" s="1"/>
  <c r="T83" i="17" s="1"/>
  <c r="F85" i="17"/>
  <c r="G85" i="17" s="1"/>
  <c r="O18" i="17"/>
  <c r="P18" i="17" s="1"/>
  <c r="Q18" i="17" s="1"/>
  <c r="I22" i="17"/>
  <c r="J22" i="17" s="1"/>
  <c r="K22" i="17" s="1"/>
  <c r="L32" i="17"/>
  <c r="M32" i="17" s="1"/>
  <c r="N32" i="17" s="1"/>
  <c r="R34" i="17"/>
  <c r="S34" i="17" s="1"/>
  <c r="T34" i="17" s="1"/>
  <c r="I38" i="17"/>
  <c r="J38" i="17" s="1"/>
  <c r="K38" i="17" s="1"/>
  <c r="O42" i="17"/>
  <c r="P42" i="17" s="1"/>
  <c r="Q42" i="17" s="1"/>
  <c r="I57" i="17"/>
  <c r="J57" i="17" s="1"/>
  <c r="K57" i="17" s="1"/>
  <c r="C64" i="17"/>
  <c r="D64" i="17" s="1"/>
  <c r="E64" i="17" s="1"/>
  <c r="I66" i="17"/>
  <c r="J66" i="17" s="1"/>
  <c r="K66" i="17" s="1"/>
  <c r="C68" i="17"/>
  <c r="D68" i="17" s="1"/>
  <c r="E68" i="17" s="1"/>
  <c r="R68" i="17"/>
  <c r="S68" i="17" s="1"/>
  <c r="T68" i="17" s="1"/>
  <c r="L70" i="17"/>
  <c r="M70" i="17" s="1"/>
  <c r="N70" i="17" s="1"/>
  <c r="V73" i="17" s="1"/>
  <c r="O71" i="17"/>
  <c r="P71" i="17" s="1"/>
  <c r="Q71" i="17" s="1"/>
  <c r="F74" i="17"/>
  <c r="G74" i="17" s="1"/>
  <c r="H74" i="17" s="1"/>
  <c r="R75" i="17"/>
  <c r="S75" i="17" s="1"/>
  <c r="T75" i="17" s="1"/>
  <c r="R76" i="17"/>
  <c r="S76" i="17" s="1"/>
  <c r="T76" i="17" s="1"/>
  <c r="R77" i="17"/>
  <c r="S77" i="17" s="1"/>
  <c r="T77" i="17" s="1"/>
  <c r="L78" i="17"/>
  <c r="M78" i="17" s="1"/>
  <c r="N78" i="17" s="1"/>
  <c r="R79" i="17"/>
  <c r="S79" i="17" s="1"/>
  <c r="T79" i="17" s="1"/>
  <c r="O80" i="17"/>
  <c r="P80" i="17" s="1"/>
  <c r="Q80" i="17" s="1"/>
  <c r="C84" i="17"/>
  <c r="D84" i="17" s="1"/>
  <c r="E84" i="17" s="1"/>
  <c r="I86" i="17"/>
  <c r="J86" i="17" s="1"/>
  <c r="K86" i="17" s="1"/>
  <c r="L87" i="17"/>
  <c r="M87" i="17" s="1"/>
  <c r="N87" i="17" s="1"/>
  <c r="O88" i="17"/>
  <c r="P88" i="17" s="1"/>
  <c r="Q88" i="17" s="1"/>
  <c r="R89" i="17"/>
  <c r="S89" i="17" s="1"/>
  <c r="T89" i="17" s="1"/>
  <c r="O91" i="17"/>
  <c r="P91" i="17" s="1"/>
  <c r="Q91" i="17" s="1"/>
  <c r="F92" i="17"/>
  <c r="G92" i="17" s="1"/>
  <c r="H92" i="17" s="1"/>
  <c r="R92" i="17"/>
  <c r="S92" i="17" s="1"/>
  <c r="T92" i="17" s="1"/>
  <c r="L96" i="17"/>
  <c r="M96" i="17" s="1"/>
  <c r="N96" i="17" s="1"/>
  <c r="R97" i="17"/>
  <c r="S97" i="17" s="1"/>
  <c r="T97" i="17" s="1"/>
  <c r="R98" i="17"/>
  <c r="S98" i="17" s="1"/>
  <c r="T98" i="17" s="1"/>
  <c r="O100" i="17"/>
  <c r="P100" i="17" s="1"/>
  <c r="AC104" i="17" s="1"/>
  <c r="C102" i="17"/>
  <c r="D102" i="17" s="1"/>
  <c r="E102" i="17" s="1"/>
  <c r="R102" i="17"/>
  <c r="S102" i="17" s="1"/>
  <c r="T102" i="17" s="1"/>
  <c r="F103" i="17"/>
  <c r="G103" i="17" s="1"/>
  <c r="H103" i="17" s="1"/>
  <c r="F104" i="17"/>
  <c r="G104" i="17" s="1"/>
  <c r="H104" i="17" s="1"/>
  <c r="R104" i="17"/>
  <c r="S104" i="17" s="1"/>
  <c r="T104" i="17" s="1"/>
  <c r="F106" i="17"/>
  <c r="G106" i="17" s="1"/>
  <c r="H106" i="17" s="1"/>
  <c r="L106" i="17"/>
  <c r="M106" i="17" s="1"/>
  <c r="N106" i="17" s="1"/>
  <c r="R107" i="17"/>
  <c r="S107" i="17" s="1"/>
  <c r="T107" i="17" s="1"/>
  <c r="O109" i="17"/>
  <c r="P109" i="17" s="1"/>
  <c r="Q109" i="17" s="1"/>
  <c r="L110" i="17"/>
  <c r="M110" i="17" s="1"/>
  <c r="N110" i="17" s="1"/>
  <c r="R111" i="17"/>
  <c r="S111" i="17" s="1"/>
  <c r="T111" i="17" s="1"/>
  <c r="C113" i="17"/>
  <c r="D113" i="17" s="1"/>
  <c r="E113" i="17" s="1"/>
  <c r="L113" i="17"/>
  <c r="M113" i="17" s="1"/>
  <c r="N113" i="17" s="1"/>
  <c r="O114" i="17"/>
  <c r="P114" i="17" s="1"/>
  <c r="Q114" i="17" s="1"/>
  <c r="L115" i="17"/>
  <c r="M115" i="17" s="1"/>
  <c r="C116" i="17"/>
  <c r="D116" i="17" s="1"/>
  <c r="E116" i="17" s="1"/>
  <c r="L116" i="17"/>
  <c r="M116" i="17" s="1"/>
  <c r="N116" i="17" s="1"/>
  <c r="R117" i="17"/>
  <c r="S117" i="17" s="1"/>
  <c r="T117" i="17" s="1"/>
  <c r="C118" i="17"/>
  <c r="D118" i="17" s="1"/>
  <c r="E118" i="17" s="1"/>
  <c r="R118" i="17"/>
  <c r="S118" i="17" s="1"/>
  <c r="T118" i="17" s="1"/>
  <c r="I119" i="17"/>
  <c r="J119" i="17" s="1"/>
  <c r="K119" i="17" s="1"/>
  <c r="R122" i="17"/>
  <c r="S122" i="17" s="1"/>
  <c r="T122" i="17" s="1"/>
  <c r="C124" i="17"/>
  <c r="D124" i="17" s="1"/>
  <c r="E124" i="17" s="1"/>
  <c r="O124" i="17"/>
  <c r="P124" i="17" s="1"/>
  <c r="Q124" i="17" s="1"/>
  <c r="L125" i="17"/>
  <c r="M125" i="17" s="1"/>
  <c r="N125" i="17" s="1"/>
  <c r="I126" i="17"/>
  <c r="J126" i="17" s="1"/>
  <c r="K126" i="17" s="1"/>
  <c r="C130" i="17"/>
  <c r="D130" i="17" s="1"/>
  <c r="AE130" i="17" s="1"/>
  <c r="R130" i="17"/>
  <c r="S130" i="17" s="1"/>
  <c r="T130" i="17" s="1"/>
  <c r="R131" i="17"/>
  <c r="S131" i="17" s="1"/>
  <c r="T131" i="17" s="1"/>
  <c r="F132" i="17"/>
  <c r="G132" i="17" s="1"/>
  <c r="H132" i="17" s="1"/>
  <c r="F134" i="17"/>
  <c r="G134" i="17" s="1"/>
  <c r="H134" i="17" s="1"/>
  <c r="L135" i="17"/>
  <c r="M135" i="17" s="1"/>
  <c r="N135" i="17" s="1"/>
  <c r="O136" i="17"/>
  <c r="P136" i="17" s="1"/>
  <c r="Q136" i="17" s="1"/>
  <c r="I137" i="17"/>
  <c r="J137" i="17" s="1"/>
  <c r="K137" i="17" s="1"/>
  <c r="O138" i="17"/>
  <c r="P138" i="17" s="1"/>
  <c r="Q138" i="17" s="1"/>
  <c r="O139" i="17"/>
  <c r="P139" i="17" s="1"/>
  <c r="Q139" i="17" s="1"/>
  <c r="F140" i="17"/>
  <c r="G140" i="17" s="1"/>
  <c r="H140" i="17" s="1"/>
  <c r="C21" i="17"/>
  <c r="D21" i="17" s="1"/>
  <c r="E21" i="17" s="1"/>
  <c r="F24" i="17"/>
  <c r="G24" i="17" s="1"/>
  <c r="H24" i="17" s="1"/>
  <c r="L25" i="17"/>
  <c r="M25" i="17" s="1"/>
  <c r="F31" i="17"/>
  <c r="G31" i="17" s="1"/>
  <c r="H31" i="17" s="1"/>
  <c r="R37" i="17"/>
  <c r="S37" i="17" s="1"/>
  <c r="T37" i="17" s="1"/>
  <c r="R41" i="17"/>
  <c r="S41" i="17" s="1"/>
  <c r="T41" i="17" s="1"/>
  <c r="O48" i="17"/>
  <c r="P48" i="17" s="1"/>
  <c r="Q48" i="17" s="1"/>
  <c r="O52" i="17"/>
  <c r="P52" i="17" s="1"/>
  <c r="Q52" i="17" s="1"/>
  <c r="R56" i="17"/>
  <c r="S56" i="17" s="1"/>
  <c r="T56" i="17" s="1"/>
  <c r="C59" i="17"/>
  <c r="D59" i="17" s="1"/>
  <c r="E59" i="17" s="1"/>
  <c r="F61" i="17"/>
  <c r="G61" i="17" s="1"/>
  <c r="H61" i="17" s="1"/>
  <c r="I63" i="17"/>
  <c r="J63" i="17" s="1"/>
  <c r="K63" i="17" s="1"/>
  <c r="F64" i="17"/>
  <c r="G64" i="17" s="1"/>
  <c r="H64" i="17" s="1"/>
  <c r="C66" i="17"/>
  <c r="D66" i="17" s="1"/>
  <c r="E66" i="17" s="1"/>
  <c r="L67" i="17"/>
  <c r="M67" i="17" s="1"/>
  <c r="N67" i="17" s="1"/>
  <c r="R74" i="17"/>
  <c r="S74" i="17" s="1"/>
  <c r="T74" i="17" s="1"/>
  <c r="R80" i="17"/>
  <c r="S80" i="17" s="1"/>
  <c r="T80" i="17" s="1"/>
  <c r="F82" i="17"/>
  <c r="G82" i="17" s="1"/>
  <c r="H82" i="17" s="1"/>
  <c r="R82" i="17"/>
  <c r="S82" i="17" s="1"/>
  <c r="T82" i="17" s="1"/>
  <c r="I84" i="17"/>
  <c r="J84" i="17" s="1"/>
  <c r="K84" i="17" s="1"/>
  <c r="C86" i="17"/>
  <c r="D86" i="17" s="1"/>
  <c r="E86" i="17" s="1"/>
  <c r="I88" i="17"/>
  <c r="J88" i="17" s="1"/>
  <c r="K88" i="17" s="1"/>
  <c r="R91" i="17"/>
  <c r="S91" i="17" s="1"/>
  <c r="T91" i="17" s="1"/>
  <c r="R94" i="17"/>
  <c r="S94" i="17" s="1"/>
  <c r="T94" i="17" s="1"/>
  <c r="C96" i="17"/>
  <c r="D96" i="17" s="1"/>
  <c r="E96" i="17" s="1"/>
  <c r="O96" i="17"/>
  <c r="P96" i="17" s="1"/>
  <c r="Q96" i="17" s="1"/>
  <c r="F100" i="17"/>
  <c r="G100" i="17" s="1"/>
  <c r="H100" i="17" s="1"/>
  <c r="V101" i="17" s="1"/>
  <c r="R100" i="17"/>
  <c r="S100" i="17" s="1"/>
  <c r="T100" i="17" s="1"/>
  <c r="L101" i="17"/>
  <c r="M101" i="17" s="1"/>
  <c r="N101" i="17" s="1"/>
  <c r="I102" i="17"/>
  <c r="J102" i="17" s="1"/>
  <c r="K102" i="17" s="1"/>
  <c r="I103" i="17"/>
  <c r="J103" i="17" s="1"/>
  <c r="K103" i="17" s="1"/>
  <c r="R105" i="17"/>
  <c r="S105" i="17" s="1"/>
  <c r="T105" i="17" s="1"/>
  <c r="O106" i="17"/>
  <c r="P106" i="17" s="1"/>
  <c r="Q106" i="17" s="1"/>
  <c r="R108" i="17"/>
  <c r="S108" i="17" s="1"/>
  <c r="T108" i="17" s="1"/>
  <c r="F113" i="17"/>
  <c r="G113" i="17" s="1"/>
  <c r="H113" i="17" s="1"/>
  <c r="O113" i="17"/>
  <c r="P113" i="17" s="1"/>
  <c r="Q113" i="17" s="1"/>
  <c r="C114" i="17"/>
  <c r="D114" i="17" s="1"/>
  <c r="E114" i="17" s="1"/>
  <c r="I114" i="17"/>
  <c r="J114" i="17" s="1"/>
  <c r="K114" i="17" s="1"/>
  <c r="R114" i="17"/>
  <c r="S114" i="17" s="1"/>
  <c r="T114" i="17" s="1"/>
  <c r="R115" i="17"/>
  <c r="S115" i="17" s="1"/>
  <c r="T115" i="17" s="1"/>
  <c r="O116" i="17"/>
  <c r="P116" i="17" s="1"/>
  <c r="Q116" i="17" s="1"/>
  <c r="F117" i="17"/>
  <c r="G117" i="17" s="1"/>
  <c r="H117" i="17" s="1"/>
  <c r="F118" i="17"/>
  <c r="G118" i="17" s="1"/>
  <c r="H118" i="17" s="1"/>
  <c r="L119" i="17"/>
  <c r="M119" i="17" s="1"/>
  <c r="N119" i="17" s="1"/>
  <c r="R120" i="17"/>
  <c r="S120" i="17" s="1"/>
  <c r="T120" i="17" s="1"/>
  <c r="F124" i="17"/>
  <c r="G124" i="17" s="1"/>
  <c r="H124" i="17" s="1"/>
  <c r="R124" i="17"/>
  <c r="S124" i="17" s="1"/>
  <c r="T124" i="17" s="1"/>
  <c r="R125" i="17"/>
  <c r="S125" i="17" s="1"/>
  <c r="T125" i="17" s="1"/>
  <c r="I128" i="17"/>
  <c r="J128" i="17" s="1"/>
  <c r="K128" i="17" s="1"/>
  <c r="R128" i="17"/>
  <c r="S128" i="17" s="1"/>
  <c r="T128" i="17" s="1"/>
  <c r="L129" i="17"/>
  <c r="M129" i="17" s="1"/>
  <c r="N129" i="17" s="1"/>
  <c r="I130" i="17"/>
  <c r="J130" i="17" s="1"/>
  <c r="K130" i="17" s="1"/>
  <c r="L132" i="17"/>
  <c r="M132" i="17" s="1"/>
  <c r="N132" i="17" s="1"/>
  <c r="R132" i="17"/>
  <c r="S132" i="17" s="1"/>
  <c r="T132" i="17" s="1"/>
  <c r="I134" i="17"/>
  <c r="J134" i="17" s="1"/>
  <c r="K134" i="17" s="1"/>
  <c r="O134" i="17"/>
  <c r="P134" i="17" s="1"/>
  <c r="Q134" i="17" s="1"/>
  <c r="R135" i="17"/>
  <c r="S135" i="17" s="1"/>
  <c r="T135" i="17" s="1"/>
  <c r="C136" i="17"/>
  <c r="D136" i="17" s="1"/>
  <c r="E136" i="17" s="1"/>
  <c r="R136" i="17"/>
  <c r="S136" i="17" s="1"/>
  <c r="T136" i="17" s="1"/>
  <c r="R138" i="17"/>
  <c r="S138" i="17" s="1"/>
  <c r="T138" i="17" s="1"/>
  <c r="R139" i="17"/>
  <c r="S139" i="17" s="1"/>
  <c r="T139" i="17" s="1"/>
  <c r="O140" i="17"/>
  <c r="P140" i="17" s="1"/>
  <c r="Q140" i="17" s="1"/>
  <c r="I141" i="17"/>
  <c r="J141" i="17" s="1"/>
  <c r="K141" i="17" s="1"/>
  <c r="F142" i="17"/>
  <c r="G142" i="17" s="1"/>
  <c r="H142" i="17" s="1"/>
  <c r="I144" i="17"/>
  <c r="J144" i="17" s="1"/>
  <c r="K144" i="17" s="1"/>
  <c r="R147" i="17"/>
  <c r="S147" i="17" s="1"/>
  <c r="T147" i="17" s="1"/>
  <c r="C149" i="17"/>
  <c r="D149" i="17" s="1"/>
  <c r="E149" i="17" s="1"/>
  <c r="O150" i="17"/>
  <c r="P150" i="17" s="1"/>
  <c r="Q150" i="17" s="1"/>
  <c r="C153" i="17"/>
  <c r="D153" i="17" s="1"/>
  <c r="E153" i="17" s="1"/>
  <c r="L153" i="17"/>
  <c r="M153" i="17" s="1"/>
  <c r="N153" i="17" s="1"/>
  <c r="F157" i="17"/>
  <c r="G157" i="17" s="1"/>
  <c r="H157" i="17" s="1"/>
  <c r="O157" i="17"/>
  <c r="P157" i="17" s="1"/>
  <c r="Q157" i="17" s="1"/>
  <c r="L160" i="17"/>
  <c r="M160" i="17" s="1"/>
  <c r="N160" i="17" s="1"/>
  <c r="L161" i="17"/>
  <c r="M161" i="17" s="1"/>
  <c r="R162" i="17"/>
  <c r="S162" i="17" s="1"/>
  <c r="T162" i="17" s="1"/>
  <c r="F163" i="17"/>
  <c r="G163" i="17" s="1"/>
  <c r="H163" i="17" s="1"/>
  <c r="R165" i="17"/>
  <c r="S165" i="17" s="1"/>
  <c r="T165" i="17" s="1"/>
  <c r="L167" i="17"/>
  <c r="M167" i="17" s="1"/>
  <c r="N167" i="17" s="1"/>
  <c r="R167" i="17"/>
  <c r="S167" i="17" s="1"/>
  <c r="T167" i="17" s="1"/>
  <c r="I168" i="17"/>
  <c r="J168" i="17" s="1"/>
  <c r="K168" i="17" s="1"/>
  <c r="I171" i="17"/>
  <c r="J171" i="17" s="1"/>
  <c r="K171" i="17" s="1"/>
  <c r="O171" i="17"/>
  <c r="P171" i="17" s="1"/>
  <c r="Q171" i="17" s="1"/>
  <c r="C173" i="17"/>
  <c r="D173" i="17" s="1"/>
  <c r="E173" i="17" s="1"/>
  <c r="C174" i="17"/>
  <c r="D174" i="17" s="1"/>
  <c r="E174" i="17" s="1"/>
  <c r="I175" i="17"/>
  <c r="J175" i="17" s="1"/>
  <c r="K175" i="17" s="1"/>
  <c r="O175" i="17"/>
  <c r="P175" i="17" s="1"/>
  <c r="Q175" i="17" s="1"/>
  <c r="L176" i="17"/>
  <c r="M176" i="17" s="1"/>
  <c r="N176" i="17" s="1"/>
  <c r="V179" i="17" s="1"/>
  <c r="L177" i="17"/>
  <c r="M177" i="17" s="1"/>
  <c r="N177" i="17" s="1"/>
  <c r="L178" i="17"/>
  <c r="M178" i="17" s="1"/>
  <c r="N178" i="17" s="1"/>
  <c r="I179" i="17"/>
  <c r="J179" i="17" s="1"/>
  <c r="K179" i="17" s="1"/>
  <c r="R180" i="17"/>
  <c r="S180" i="17" s="1"/>
  <c r="T180" i="17" s="1"/>
  <c r="L181" i="17"/>
  <c r="M181" i="17" s="1"/>
  <c r="N181" i="17" s="1"/>
  <c r="R182" i="17"/>
  <c r="S182" i="17" s="1"/>
  <c r="T182" i="17" s="1"/>
  <c r="O13" i="17"/>
  <c r="P13" i="17" s="1"/>
  <c r="Q13" i="17" s="1"/>
  <c r="C16" i="17"/>
  <c r="D16" i="17" s="1"/>
  <c r="E16" i="17" s="1"/>
  <c r="L23" i="17"/>
  <c r="M23" i="17" s="1"/>
  <c r="N23" i="17" s="1"/>
  <c r="R27" i="17"/>
  <c r="S27" i="17" s="1"/>
  <c r="T27" i="17" s="1"/>
  <c r="F57" i="17"/>
  <c r="G57" i="17" s="1"/>
  <c r="H57" i="17" s="1"/>
  <c r="L63" i="17"/>
  <c r="M63" i="17" s="1"/>
  <c r="N63" i="17" s="1"/>
  <c r="L74" i="17"/>
  <c r="M74" i="17" s="1"/>
  <c r="N74" i="17" s="1"/>
  <c r="F79" i="17"/>
  <c r="G79" i="17" s="1"/>
  <c r="H79" i="17" s="1"/>
  <c r="L82" i="17"/>
  <c r="M82" i="17" s="1"/>
  <c r="N82" i="17" s="1"/>
  <c r="R84" i="17"/>
  <c r="S84" i="17" s="1"/>
  <c r="T84" i="17" s="1"/>
  <c r="C90" i="17"/>
  <c r="D90" i="17" s="1"/>
  <c r="E90" i="17" s="1"/>
  <c r="C92" i="17"/>
  <c r="D92" i="17" s="1"/>
  <c r="E92" i="17" s="1"/>
  <c r="R93" i="17"/>
  <c r="S93" i="17" s="1"/>
  <c r="T93" i="17" s="1"/>
  <c r="R101" i="17"/>
  <c r="S101" i="17" s="1"/>
  <c r="T101" i="17" s="1"/>
  <c r="F107" i="17"/>
  <c r="G107" i="17" s="1"/>
  <c r="H107" i="17" s="1"/>
  <c r="I108" i="17"/>
  <c r="J108" i="17" s="1"/>
  <c r="K108" i="17" s="1"/>
  <c r="I110" i="17"/>
  <c r="J110" i="17" s="1"/>
  <c r="K110" i="17" s="1"/>
  <c r="I111" i="17"/>
  <c r="J111" i="17" s="1"/>
  <c r="K111" i="17" s="1"/>
  <c r="F112" i="17"/>
  <c r="G112" i="17" s="1"/>
  <c r="H112" i="17" s="1"/>
  <c r="F116" i="17"/>
  <c r="G116" i="17" s="1"/>
  <c r="H116" i="17" s="1"/>
  <c r="F119" i="17"/>
  <c r="G119" i="17" s="1"/>
  <c r="H119" i="17" s="1"/>
  <c r="L120" i="17"/>
  <c r="M120" i="17" s="1"/>
  <c r="N120" i="17" s="1"/>
  <c r="F123" i="17"/>
  <c r="G123" i="17" s="1"/>
  <c r="H123" i="17" s="1"/>
  <c r="O126" i="17"/>
  <c r="P126" i="17" s="1"/>
  <c r="Q126" i="17" s="1"/>
  <c r="C128" i="17"/>
  <c r="D128" i="17" s="1"/>
  <c r="E128" i="17" s="1"/>
  <c r="C134" i="17"/>
  <c r="D134" i="17" s="1"/>
  <c r="E134" i="17" s="1"/>
  <c r="I135" i="17"/>
  <c r="J135" i="17" s="1"/>
  <c r="K135" i="17" s="1"/>
  <c r="C140" i="17"/>
  <c r="D140" i="17" s="1"/>
  <c r="E140" i="17" s="1"/>
  <c r="R140" i="17"/>
  <c r="S140" i="17" s="1"/>
  <c r="T140" i="17" s="1"/>
  <c r="F144" i="17"/>
  <c r="G144" i="17" s="1"/>
  <c r="H144" i="17" s="1"/>
  <c r="O144" i="17"/>
  <c r="P144" i="17" s="1"/>
  <c r="Q144" i="17" s="1"/>
  <c r="I147" i="17"/>
  <c r="J147" i="17" s="1"/>
  <c r="K147" i="17" s="1"/>
  <c r="R148" i="17"/>
  <c r="S148" i="17" s="1"/>
  <c r="T148" i="17" s="1"/>
  <c r="O149" i="17"/>
  <c r="P149" i="17" s="1"/>
  <c r="Q149" i="17" s="1"/>
  <c r="O153" i="17"/>
  <c r="P153" i="17" s="1"/>
  <c r="Q153" i="17" s="1"/>
  <c r="R154" i="17"/>
  <c r="S154" i="17" s="1"/>
  <c r="T154" i="17" s="1"/>
  <c r="L156" i="17"/>
  <c r="M156" i="17" s="1"/>
  <c r="N156" i="17" s="1"/>
  <c r="I157" i="17"/>
  <c r="J157" i="17" s="1"/>
  <c r="K157" i="17" s="1"/>
  <c r="F161" i="17"/>
  <c r="G161" i="17" s="1"/>
  <c r="R161" i="17"/>
  <c r="S161" i="17" s="1"/>
  <c r="T161" i="17" s="1"/>
  <c r="F162" i="17"/>
  <c r="G162" i="17" s="1"/>
  <c r="H162" i="17" s="1"/>
  <c r="L164" i="17"/>
  <c r="M164" i="17" s="1"/>
  <c r="N164" i="17" s="1"/>
  <c r="I165" i="17"/>
  <c r="J165" i="17" s="1"/>
  <c r="K165" i="17" s="1"/>
  <c r="C166" i="17"/>
  <c r="D166" i="17" s="1"/>
  <c r="E166" i="17" s="1"/>
  <c r="L166" i="17"/>
  <c r="M166" i="17" s="1"/>
  <c r="N166" i="17" s="1"/>
  <c r="O167" i="17"/>
  <c r="P167" i="17" s="1"/>
  <c r="Q167" i="17" s="1"/>
  <c r="F168" i="17"/>
  <c r="G168" i="17" s="1"/>
  <c r="H168" i="17" s="1"/>
  <c r="C170" i="17"/>
  <c r="D170" i="17" s="1"/>
  <c r="E170" i="17" s="1"/>
  <c r="C171" i="17"/>
  <c r="D171" i="17" s="1"/>
  <c r="E171" i="17" s="1"/>
  <c r="R171" i="17"/>
  <c r="S171" i="17" s="1"/>
  <c r="T171" i="17" s="1"/>
  <c r="I172" i="17"/>
  <c r="J172" i="17" s="1"/>
  <c r="K172" i="17" s="1"/>
  <c r="O174" i="17"/>
  <c r="P174" i="17" s="1"/>
  <c r="Q174" i="17" s="1"/>
  <c r="F175" i="17"/>
  <c r="G175" i="17" s="1"/>
  <c r="H175" i="17" s="1"/>
  <c r="L175" i="17"/>
  <c r="M175" i="17" s="1"/>
  <c r="N175" i="17" s="1"/>
  <c r="R176" i="17"/>
  <c r="S176" i="17" s="1"/>
  <c r="T176" i="17" s="1"/>
  <c r="I180" i="17"/>
  <c r="J180" i="17" s="1"/>
  <c r="K180" i="17" s="1"/>
  <c r="C181" i="17"/>
  <c r="D181" i="17" s="1"/>
  <c r="E181" i="17" s="1"/>
  <c r="O181" i="17"/>
  <c r="P181" i="17" s="1"/>
  <c r="Q181" i="17" s="1"/>
  <c r="L185" i="17"/>
  <c r="M185" i="17" s="1"/>
  <c r="N185" i="17" s="1"/>
  <c r="I186" i="17"/>
  <c r="J186" i="17" s="1"/>
  <c r="K186" i="17" s="1"/>
  <c r="R188" i="17"/>
  <c r="S188" i="17" s="1"/>
  <c r="T188" i="17" s="1"/>
  <c r="F189" i="17"/>
  <c r="G189" i="17" s="1"/>
  <c r="H189" i="17" s="1"/>
  <c r="L189" i="17"/>
  <c r="M189" i="17" s="1"/>
  <c r="N189" i="17" s="1"/>
  <c r="F191" i="17"/>
  <c r="G191" i="17" s="1"/>
  <c r="H191" i="17" s="1"/>
  <c r="V192" i="17" s="1"/>
  <c r="R191" i="17"/>
  <c r="S191" i="17" s="1"/>
  <c r="T191" i="17" s="1"/>
  <c r="R192" i="17"/>
  <c r="S192" i="17" s="1"/>
  <c r="T192" i="17" s="1"/>
  <c r="I193" i="17"/>
  <c r="J193" i="17" s="1"/>
  <c r="K193" i="17" s="1"/>
  <c r="R193" i="17"/>
  <c r="S193" i="17" s="1"/>
  <c r="T193" i="17" s="1"/>
  <c r="C195" i="17"/>
  <c r="D195" i="17" s="1"/>
  <c r="E195" i="17" s="1"/>
  <c r="F197" i="17"/>
  <c r="G197" i="17" s="1"/>
  <c r="H197" i="17" s="1"/>
  <c r="R197" i="17"/>
  <c r="S197" i="17" s="1"/>
  <c r="T197" i="17" s="1"/>
  <c r="I199" i="17"/>
  <c r="J199" i="17" s="1"/>
  <c r="K199" i="17" s="1"/>
  <c r="R199" i="17"/>
  <c r="S199" i="17" s="1"/>
  <c r="T199" i="17" s="1"/>
  <c r="L202" i="17"/>
  <c r="M202" i="17" s="1"/>
  <c r="N202" i="17" s="1"/>
  <c r="C203" i="17"/>
  <c r="D203" i="17" s="1"/>
  <c r="E203" i="17" s="1"/>
  <c r="O203" i="17"/>
  <c r="P203" i="17" s="1"/>
  <c r="Q203" i="17" s="1"/>
  <c r="R204" i="17"/>
  <c r="S204" i="17" s="1"/>
  <c r="T204" i="17" s="1"/>
  <c r="O205" i="17"/>
  <c r="P205" i="17" s="1"/>
  <c r="Q205" i="17" s="1"/>
  <c r="C206" i="17"/>
  <c r="D206" i="17" s="1"/>
  <c r="AJ206" i="17" s="1"/>
  <c r="C209" i="17"/>
  <c r="D209" i="17" s="1"/>
  <c r="E209" i="17" s="1"/>
  <c r="F210" i="17"/>
  <c r="G210" i="17" s="1"/>
  <c r="H210" i="17" s="1"/>
  <c r="O210" i="17"/>
  <c r="P210" i="17" s="1"/>
  <c r="Q210" i="17" s="1"/>
  <c r="F211" i="17"/>
  <c r="G211" i="17" s="1"/>
  <c r="H211" i="17" s="1"/>
  <c r="R211" i="17"/>
  <c r="S211" i="17" s="1"/>
  <c r="T211" i="17" s="1"/>
  <c r="C213" i="17"/>
  <c r="D213" i="17" s="1"/>
  <c r="E213" i="17" s="1"/>
  <c r="O213" i="17"/>
  <c r="P213" i="17" s="1"/>
  <c r="Q213" i="17" s="1"/>
  <c r="I214" i="17"/>
  <c r="J214" i="17" s="1"/>
  <c r="K214" i="17" s="1"/>
  <c r="F215" i="17"/>
  <c r="G215" i="17" s="1"/>
  <c r="H215" i="17" s="1"/>
  <c r="R215" i="17"/>
  <c r="S215" i="17" s="1"/>
  <c r="T215" i="17" s="1"/>
  <c r="C217" i="17"/>
  <c r="D217" i="17" s="1"/>
  <c r="E217" i="17" s="1"/>
  <c r="O217" i="17"/>
  <c r="P217" i="17" s="1"/>
  <c r="Q217" i="17" s="1"/>
  <c r="I218" i="17"/>
  <c r="J218" i="17" s="1"/>
  <c r="K218" i="17" s="1"/>
  <c r="F219" i="17"/>
  <c r="G219" i="17" s="1"/>
  <c r="H219" i="17" s="1"/>
  <c r="R219" i="17"/>
  <c r="S219" i="17" s="1"/>
  <c r="T219" i="17" s="1"/>
  <c r="C221" i="17"/>
  <c r="D221" i="17" s="1"/>
  <c r="AK221" i="17" s="1"/>
  <c r="O221" i="17"/>
  <c r="P221" i="17" s="1"/>
  <c r="AK225" i="17" s="1"/>
  <c r="F225" i="17"/>
  <c r="G225" i="17" s="1"/>
  <c r="H225" i="17" s="1"/>
  <c r="L225" i="17"/>
  <c r="M225" i="17" s="1"/>
  <c r="N225" i="17" s="1"/>
  <c r="R226" i="17"/>
  <c r="S226" i="17" s="1"/>
  <c r="T226" i="17" s="1"/>
  <c r="I227" i="17"/>
  <c r="J227" i="17" s="1"/>
  <c r="K227" i="17" s="1"/>
  <c r="R227" i="17"/>
  <c r="S227" i="17" s="1"/>
  <c r="T227" i="17" s="1"/>
  <c r="I228" i="17"/>
  <c r="J228" i="17" s="1"/>
  <c r="K228" i="17" s="1"/>
  <c r="I32" i="17"/>
  <c r="J32" i="17" s="1"/>
  <c r="K32" i="17" s="1"/>
  <c r="O43" i="17"/>
  <c r="P43" i="17" s="1"/>
  <c r="Q43" i="17" s="1"/>
  <c r="F45" i="17"/>
  <c r="G45" i="17" s="1"/>
  <c r="H45" i="17" s="1"/>
  <c r="C47" i="17"/>
  <c r="D47" i="17" s="1"/>
  <c r="E47" i="17" s="1"/>
  <c r="C55" i="17"/>
  <c r="D55" i="17" s="1"/>
  <c r="Z55" i="17" s="1"/>
  <c r="L65" i="17"/>
  <c r="M65" i="17" s="1"/>
  <c r="N65" i="17" s="1"/>
  <c r="F70" i="17"/>
  <c r="G70" i="17" s="1"/>
  <c r="R73" i="17"/>
  <c r="S73" i="17" s="1"/>
  <c r="T73" i="17" s="1"/>
  <c r="I76" i="17"/>
  <c r="J76" i="17" s="1"/>
  <c r="K76" i="17" s="1"/>
  <c r="F78" i="17"/>
  <c r="G78" i="17" s="1"/>
  <c r="H78" i="17" s="1"/>
  <c r="R81" i="17"/>
  <c r="S81" i="17" s="1"/>
  <c r="T81" i="17" s="1"/>
  <c r="C88" i="17"/>
  <c r="D88" i="17" s="1"/>
  <c r="E88" i="17" s="1"/>
  <c r="F90" i="17"/>
  <c r="G90" i="17" s="1"/>
  <c r="H90" i="17" s="1"/>
  <c r="F91" i="17"/>
  <c r="G91" i="17" s="1"/>
  <c r="H91" i="17" s="1"/>
  <c r="L92" i="17"/>
  <c r="M92" i="17" s="1"/>
  <c r="N92" i="17" s="1"/>
  <c r="F96" i="17"/>
  <c r="G96" i="17" s="1"/>
  <c r="H96" i="17" s="1"/>
  <c r="L99" i="17"/>
  <c r="M99" i="17" s="1"/>
  <c r="N99" i="17" s="1"/>
  <c r="I100" i="17"/>
  <c r="J100" i="17" s="1"/>
  <c r="C104" i="17"/>
  <c r="D104" i="17" s="1"/>
  <c r="E104" i="17" s="1"/>
  <c r="C105" i="17"/>
  <c r="D105" i="17" s="1"/>
  <c r="E105" i="17" s="1"/>
  <c r="L107" i="17"/>
  <c r="M107" i="17" s="1"/>
  <c r="N107" i="17" s="1"/>
  <c r="O110" i="17"/>
  <c r="P110" i="17" s="1"/>
  <c r="Q110" i="17" s="1"/>
  <c r="L111" i="17"/>
  <c r="M111" i="17" s="1"/>
  <c r="N111" i="17" s="1"/>
  <c r="R112" i="17"/>
  <c r="S112" i="17" s="1"/>
  <c r="T112" i="17" s="1"/>
  <c r="F115" i="17"/>
  <c r="G115" i="17" s="1"/>
  <c r="AD116" i="17" s="1"/>
  <c r="I116" i="17"/>
  <c r="J116" i="17" s="1"/>
  <c r="K116" i="17" s="1"/>
  <c r="I118" i="17"/>
  <c r="J118" i="17" s="1"/>
  <c r="K118" i="17" s="1"/>
  <c r="F125" i="17"/>
  <c r="G125" i="17" s="1"/>
  <c r="H125" i="17" s="1"/>
  <c r="R126" i="17"/>
  <c r="S126" i="17" s="1"/>
  <c r="T126" i="17" s="1"/>
  <c r="F128" i="17"/>
  <c r="G128" i="17" s="1"/>
  <c r="H128" i="17" s="1"/>
  <c r="O130" i="17"/>
  <c r="P130" i="17" s="1"/>
  <c r="Q130" i="17" s="1"/>
  <c r="I132" i="17"/>
  <c r="J132" i="17" s="1"/>
  <c r="K132" i="17" s="1"/>
  <c r="F136" i="17"/>
  <c r="G136" i="17" s="1"/>
  <c r="H136" i="17" s="1"/>
  <c r="I140" i="17"/>
  <c r="J140" i="17" s="1"/>
  <c r="K140" i="17" s="1"/>
  <c r="R144" i="17"/>
  <c r="S144" i="17" s="1"/>
  <c r="T144" i="17" s="1"/>
  <c r="O146" i="17"/>
  <c r="P146" i="17" s="1"/>
  <c r="Q146" i="17" s="1"/>
  <c r="V150" i="17" s="1"/>
  <c r="I149" i="17"/>
  <c r="J149" i="17" s="1"/>
  <c r="K149" i="17" s="1"/>
  <c r="L150" i="17"/>
  <c r="M150" i="17" s="1"/>
  <c r="N150" i="17" s="1"/>
  <c r="F153" i="17"/>
  <c r="G153" i="17" s="1"/>
  <c r="H153" i="17" s="1"/>
  <c r="L157" i="17"/>
  <c r="M157" i="17" s="1"/>
  <c r="N157" i="17" s="1"/>
  <c r="R160" i="17"/>
  <c r="S160" i="17" s="1"/>
  <c r="T160" i="17" s="1"/>
  <c r="R164" i="17"/>
  <c r="S164" i="17" s="1"/>
  <c r="T164" i="17" s="1"/>
  <c r="C165" i="17"/>
  <c r="D165" i="17" s="1"/>
  <c r="E165" i="17" s="1"/>
  <c r="L165" i="17"/>
  <c r="M165" i="17" s="1"/>
  <c r="N165" i="17" s="1"/>
  <c r="F166" i="17"/>
  <c r="G166" i="17" s="1"/>
  <c r="H166" i="17" s="1"/>
  <c r="O166" i="17"/>
  <c r="P166" i="17" s="1"/>
  <c r="Q166" i="17" s="1"/>
  <c r="C167" i="17"/>
  <c r="D167" i="17" s="1"/>
  <c r="E167" i="17" s="1"/>
  <c r="I167" i="17"/>
  <c r="J167" i="17" s="1"/>
  <c r="K167" i="17" s="1"/>
  <c r="L168" i="17"/>
  <c r="M168" i="17" s="1"/>
  <c r="N168" i="17" s="1"/>
  <c r="C169" i="17"/>
  <c r="D169" i="17" s="1"/>
  <c r="E169" i="17" s="1"/>
  <c r="R169" i="17"/>
  <c r="S169" i="17" s="1"/>
  <c r="T169" i="17" s="1"/>
  <c r="F170" i="17"/>
  <c r="G170" i="17" s="1"/>
  <c r="H170" i="17" s="1"/>
  <c r="O170" i="17"/>
  <c r="P170" i="17" s="1"/>
  <c r="Q170" i="17" s="1"/>
  <c r="F171" i="17"/>
  <c r="G171" i="17" s="1"/>
  <c r="H171" i="17" s="1"/>
  <c r="I251" i="17"/>
  <c r="J251" i="17" s="1"/>
  <c r="AM253" i="17" s="1"/>
  <c r="L247" i="17"/>
  <c r="M247" i="17" s="1"/>
  <c r="N247" i="17" s="1"/>
  <c r="L246" i="17"/>
  <c r="M246" i="17" s="1"/>
  <c r="N246" i="17" s="1"/>
  <c r="R244" i="17"/>
  <c r="S244" i="17" s="1"/>
  <c r="T244" i="17" s="1"/>
  <c r="O243" i="17"/>
  <c r="P243" i="17" s="1"/>
  <c r="Q243" i="17" s="1"/>
  <c r="O242" i="17"/>
  <c r="P242" i="17" s="1"/>
  <c r="Q242" i="17" s="1"/>
  <c r="R241" i="17"/>
  <c r="S241" i="17" s="1"/>
  <c r="T241" i="17" s="1"/>
  <c r="L239" i="17"/>
  <c r="M239" i="17" s="1"/>
  <c r="N239" i="17" s="1"/>
  <c r="F236" i="17"/>
  <c r="G236" i="17" s="1"/>
  <c r="O234" i="17"/>
  <c r="P234" i="17" s="1"/>
  <c r="Q234" i="17" s="1"/>
  <c r="R233" i="17"/>
  <c r="S233" i="17" s="1"/>
  <c r="T233" i="17" s="1"/>
  <c r="I232" i="17"/>
  <c r="J232" i="17" s="1"/>
  <c r="K232" i="17" s="1"/>
  <c r="R228" i="17"/>
  <c r="S228" i="17" s="1"/>
  <c r="T228" i="17" s="1"/>
  <c r="O225" i="17"/>
  <c r="P225" i="17" s="1"/>
  <c r="Q225" i="17" s="1"/>
  <c r="I221" i="17"/>
  <c r="J221" i="17" s="1"/>
  <c r="L216" i="17"/>
  <c r="M216" i="17" s="1"/>
  <c r="N216" i="17" s="1"/>
  <c r="R214" i="17"/>
  <c r="S214" i="17" s="1"/>
  <c r="T214" i="17" s="1"/>
  <c r="F213" i="17"/>
  <c r="G213" i="17" s="1"/>
  <c r="H213" i="17" s="1"/>
  <c r="R210" i="17"/>
  <c r="S210" i="17" s="1"/>
  <c r="T210" i="17" s="1"/>
  <c r="I208" i="17"/>
  <c r="J208" i="17" s="1"/>
  <c r="K208" i="17" s="1"/>
  <c r="L206" i="17"/>
  <c r="M206" i="17" s="1"/>
  <c r="I203" i="17"/>
  <c r="J203" i="17" s="1"/>
  <c r="K203" i="17" s="1"/>
  <c r="F201" i="17"/>
  <c r="G201" i="17" s="1"/>
  <c r="H201" i="17" s="1"/>
  <c r="L197" i="17"/>
  <c r="M197" i="17" s="1"/>
  <c r="N197" i="17" s="1"/>
  <c r="L191" i="17"/>
  <c r="M191" i="17" s="1"/>
  <c r="N191" i="17" s="1"/>
  <c r="V194" i="17" s="1"/>
  <c r="F187" i="17"/>
  <c r="G187" i="17" s="1"/>
  <c r="H187" i="17" s="1"/>
  <c r="F185" i="17"/>
  <c r="G185" i="17" s="1"/>
  <c r="H185" i="17" s="1"/>
  <c r="F178" i="17"/>
  <c r="G178" i="17" s="1"/>
  <c r="H178" i="17" s="1"/>
  <c r="R175" i="17"/>
  <c r="S175" i="17" s="1"/>
  <c r="T175" i="17" s="1"/>
  <c r="R174" i="17"/>
  <c r="S174" i="17" s="1"/>
  <c r="T174" i="17" s="1"/>
  <c r="R172" i="17"/>
  <c r="S172" i="17" s="1"/>
  <c r="T172" i="17" s="1"/>
  <c r="L170" i="17"/>
  <c r="M170" i="17" s="1"/>
  <c r="N170" i="17" s="1"/>
  <c r="R168" i="17"/>
  <c r="S168" i="17" s="1"/>
  <c r="T168" i="17" s="1"/>
  <c r="I166" i="17"/>
  <c r="J166" i="17" s="1"/>
  <c r="K166" i="17" s="1"/>
  <c r="I163" i="17"/>
  <c r="J163" i="17" s="1"/>
  <c r="K163" i="17" s="1"/>
  <c r="I161" i="17"/>
  <c r="J161" i="17" s="1"/>
  <c r="R159" i="17"/>
  <c r="S159" i="17" s="1"/>
  <c r="T159" i="17" s="1"/>
  <c r="R149" i="17"/>
  <c r="S149" i="17" s="1"/>
  <c r="T149" i="17" s="1"/>
  <c r="F147" i="17"/>
  <c r="G147" i="17" s="1"/>
  <c r="H147" i="17" s="1"/>
  <c r="R145" i="17"/>
  <c r="S145" i="17" s="1"/>
  <c r="T145" i="17" s="1"/>
  <c r="I131" i="17"/>
  <c r="J131" i="17" s="1"/>
  <c r="L124" i="17"/>
  <c r="M124" i="17" s="1"/>
  <c r="N124" i="17" s="1"/>
  <c r="R116" i="17"/>
  <c r="S116" i="17" s="1"/>
  <c r="T116" i="17" s="1"/>
  <c r="F108" i="17"/>
  <c r="G108" i="17" s="1"/>
  <c r="H108" i="17" s="1"/>
  <c r="I106" i="17"/>
  <c r="J106" i="17" s="1"/>
  <c r="K106" i="17" s="1"/>
  <c r="F105" i="17"/>
  <c r="G105" i="17" s="1"/>
  <c r="H105" i="17" s="1"/>
  <c r="I101" i="17"/>
  <c r="J101" i="17" s="1"/>
  <c r="K101" i="17" s="1"/>
  <c r="O98" i="17"/>
  <c r="P98" i="17" s="1"/>
  <c r="Q98" i="17" s="1"/>
  <c r="O90" i="17"/>
  <c r="P90" i="17" s="1"/>
  <c r="Q90" i="17" s="1"/>
  <c r="L85" i="17"/>
  <c r="M85" i="17" s="1"/>
  <c r="L84" i="17"/>
  <c r="M84" i="17" s="1"/>
  <c r="N84" i="17" s="1"/>
  <c r="I79" i="17"/>
  <c r="J79" i="17" s="1"/>
  <c r="K79" i="17" s="1"/>
  <c r="I72" i="17"/>
  <c r="J72" i="17" s="1"/>
  <c r="K72" i="17" s="1"/>
  <c r="I58" i="17"/>
  <c r="J58" i="17" s="1"/>
  <c r="K58" i="17" s="1"/>
  <c r="R43" i="17"/>
  <c r="S43" i="17" s="1"/>
  <c r="T43" i="17" s="1"/>
  <c r="O35" i="17"/>
  <c r="P35" i="17" s="1"/>
  <c r="Q35" i="17" s="1"/>
  <c r="I33" i="17"/>
  <c r="J33" i="17" s="1"/>
  <c r="K33" i="17" s="1"/>
  <c r="F30" i="17"/>
  <c r="G30" i="17" s="1"/>
  <c r="H30" i="17" s="1"/>
  <c r="R13" i="17"/>
  <c r="S13" i="17" s="1"/>
  <c r="T13" i="17" s="1"/>
  <c r="O251" i="17"/>
  <c r="P251" i="17" s="1"/>
  <c r="AM255" i="17" s="1"/>
  <c r="L250" i="17"/>
  <c r="M250" i="17" s="1"/>
  <c r="N250" i="17" s="1"/>
  <c r="C250" i="17"/>
  <c r="D250" i="17" s="1"/>
  <c r="E250" i="17" s="1"/>
  <c r="I248" i="17"/>
  <c r="J248" i="17" s="1"/>
  <c r="K248" i="17" s="1"/>
  <c r="R247" i="17"/>
  <c r="S247" i="17" s="1"/>
  <c r="T247" i="17" s="1"/>
  <c r="I247" i="17"/>
  <c r="J247" i="17" s="1"/>
  <c r="K247" i="17" s="1"/>
  <c r="R246" i="17"/>
  <c r="S246" i="17" s="1"/>
  <c r="T246" i="17" s="1"/>
  <c r="I246" i="17"/>
  <c r="J246" i="17" s="1"/>
  <c r="K246" i="17" s="1"/>
  <c r="L244" i="17"/>
  <c r="M244" i="17" s="1"/>
  <c r="N244" i="17" s="1"/>
  <c r="C243" i="17"/>
  <c r="D243" i="17" s="1"/>
  <c r="E243" i="17" s="1"/>
  <c r="L241" i="17"/>
  <c r="M241" i="17" s="1"/>
  <c r="N241" i="17" s="1"/>
  <c r="R239" i="17"/>
  <c r="S239" i="17" s="1"/>
  <c r="T239" i="17" s="1"/>
  <c r="I239" i="17"/>
  <c r="J239" i="17" s="1"/>
  <c r="K239" i="17" s="1"/>
  <c r="O237" i="17"/>
  <c r="P237" i="17" s="1"/>
  <c r="Q237" i="17" s="1"/>
  <c r="C237" i="17"/>
  <c r="D237" i="17" s="1"/>
  <c r="E237" i="17" s="1"/>
  <c r="L236" i="17"/>
  <c r="M236" i="17" s="1"/>
  <c r="AL239" i="17" s="1"/>
  <c r="C235" i="17"/>
  <c r="D235" i="17" s="1"/>
  <c r="E235" i="17" s="1"/>
  <c r="R232" i="17"/>
  <c r="S232" i="17" s="1"/>
  <c r="T232" i="17" s="1"/>
  <c r="F232" i="17"/>
  <c r="G232" i="17" s="1"/>
  <c r="H232" i="17" s="1"/>
  <c r="L230" i="17"/>
  <c r="M230" i="17" s="1"/>
  <c r="N230" i="17" s="1"/>
  <c r="C230" i="17"/>
  <c r="D230" i="17" s="1"/>
  <c r="E230" i="17" s="1"/>
  <c r="L228" i="17"/>
  <c r="M228" i="17" s="1"/>
  <c r="N228" i="17" s="1"/>
  <c r="C227" i="17"/>
  <c r="D227" i="17" s="1"/>
  <c r="E227" i="17" s="1"/>
  <c r="L226" i="17"/>
  <c r="M226" i="17" s="1"/>
  <c r="N226" i="17" s="1"/>
  <c r="R223" i="17"/>
  <c r="S223" i="17" s="1"/>
  <c r="T223" i="17" s="1"/>
  <c r="R221" i="17"/>
  <c r="S221" i="17" s="1"/>
  <c r="T221" i="17" s="1"/>
  <c r="I220" i="17"/>
  <c r="J220" i="17" s="1"/>
  <c r="K220" i="17" s="1"/>
  <c r="L219" i="17"/>
  <c r="M219" i="17" s="1"/>
  <c r="N219" i="17" s="1"/>
  <c r="I217" i="17"/>
  <c r="J217" i="17" s="1"/>
  <c r="K217" i="17" s="1"/>
  <c r="C216" i="17"/>
  <c r="D216" i="17" s="1"/>
  <c r="E216" i="17" s="1"/>
  <c r="L213" i="17"/>
  <c r="M213" i="17" s="1"/>
  <c r="N213" i="17" s="1"/>
  <c r="L212" i="17"/>
  <c r="M212" i="17" s="1"/>
  <c r="N212" i="17" s="1"/>
  <c r="O211" i="17"/>
  <c r="P211" i="17" s="1"/>
  <c r="Q211" i="17" s="1"/>
  <c r="I210" i="17"/>
  <c r="J210" i="17" s="1"/>
  <c r="K210" i="17" s="1"/>
  <c r="O209" i="17"/>
  <c r="P209" i="17" s="1"/>
  <c r="Q209" i="17" s="1"/>
  <c r="F209" i="17"/>
  <c r="G209" i="17" s="1"/>
  <c r="H209" i="17" s="1"/>
  <c r="I206" i="17"/>
  <c r="J206" i="17" s="1"/>
  <c r="K206" i="17" s="1"/>
  <c r="V208" i="17" s="1"/>
  <c r="F205" i="17"/>
  <c r="G205" i="17" s="1"/>
  <c r="H205" i="17" s="1"/>
  <c r="R203" i="17"/>
  <c r="S203" i="17" s="1"/>
  <c r="T203" i="17" s="1"/>
  <c r="R202" i="17"/>
  <c r="S202" i="17" s="1"/>
  <c r="T202" i="17" s="1"/>
  <c r="R201" i="17"/>
  <c r="S201" i="17" s="1"/>
  <c r="T201" i="17" s="1"/>
  <c r="O199" i="17"/>
  <c r="P199" i="17" s="1"/>
  <c r="Q199" i="17" s="1"/>
  <c r="R198" i="17"/>
  <c r="S198" i="17" s="1"/>
  <c r="T198" i="17" s="1"/>
  <c r="R196" i="17"/>
  <c r="S196" i="17" s="1"/>
  <c r="T196" i="17" s="1"/>
  <c r="R194" i="17"/>
  <c r="S194" i="17" s="1"/>
  <c r="T194" i="17" s="1"/>
  <c r="O193" i="17"/>
  <c r="P193" i="17" s="1"/>
  <c r="Q193" i="17" s="1"/>
  <c r="R190" i="17"/>
  <c r="S190" i="17" s="1"/>
  <c r="T190" i="17" s="1"/>
  <c r="O189" i="17"/>
  <c r="P189" i="17" s="1"/>
  <c r="Q189" i="17" s="1"/>
  <c r="R187" i="17"/>
  <c r="S187" i="17" s="1"/>
  <c r="T187" i="17" s="1"/>
  <c r="L187" i="17"/>
  <c r="M187" i="17" s="1"/>
  <c r="N187" i="17" s="1"/>
  <c r="O185" i="17"/>
  <c r="P185" i="17" s="1"/>
  <c r="Q185" i="17" s="1"/>
  <c r="C185" i="17"/>
  <c r="D185" i="17" s="1"/>
  <c r="E185" i="17" s="1"/>
  <c r="L180" i="17"/>
  <c r="M180" i="17" s="1"/>
  <c r="N180" i="17" s="1"/>
  <c r="C178" i="17"/>
  <c r="D178" i="17" s="1"/>
  <c r="E178" i="17" s="1"/>
  <c r="I177" i="17"/>
  <c r="J177" i="17" s="1"/>
  <c r="K177" i="17" s="1"/>
  <c r="I176" i="17"/>
  <c r="J176" i="17" s="1"/>
  <c r="I174" i="17"/>
  <c r="J174" i="17" s="1"/>
  <c r="K174" i="17" s="1"/>
  <c r="F173" i="17"/>
  <c r="G173" i="17" s="1"/>
  <c r="H173" i="17" s="1"/>
  <c r="L172" i="17"/>
  <c r="M172" i="17" s="1"/>
  <c r="N172" i="17" s="1"/>
  <c r="F169" i="17"/>
  <c r="G169" i="17" s="1"/>
  <c r="H169" i="17" s="1"/>
  <c r="F167" i="17"/>
  <c r="G167" i="17" s="1"/>
  <c r="H167" i="17" s="1"/>
  <c r="O165" i="17"/>
  <c r="P165" i="17" s="1"/>
  <c r="Q165" i="17" s="1"/>
  <c r="C163" i="17"/>
  <c r="D163" i="17" s="1"/>
  <c r="E163" i="17" s="1"/>
  <c r="C162" i="17"/>
  <c r="D162" i="17" s="1"/>
  <c r="E162" i="17" s="1"/>
  <c r="C161" i="17"/>
  <c r="D161" i="17" s="1"/>
  <c r="O159" i="17"/>
  <c r="P159" i="17" s="1"/>
  <c r="Q159" i="17" s="1"/>
  <c r="R153" i="17"/>
  <c r="S153" i="17" s="1"/>
  <c r="T153" i="17" s="1"/>
  <c r="O152" i="17"/>
  <c r="P152" i="17" s="1"/>
  <c r="Q152" i="17" s="1"/>
  <c r="L149" i="17"/>
  <c r="M149" i="17" s="1"/>
  <c r="N149" i="17" s="1"/>
  <c r="R146" i="17"/>
  <c r="S146" i="17" s="1"/>
  <c r="T146" i="17" s="1"/>
  <c r="L144" i="17"/>
  <c r="M144" i="17" s="1"/>
  <c r="N144" i="17" s="1"/>
  <c r="C139" i="17"/>
  <c r="D139" i="17" s="1"/>
  <c r="E139" i="17" s="1"/>
  <c r="R134" i="17"/>
  <c r="S134" i="17" s="1"/>
  <c r="T134" i="17" s="1"/>
  <c r="C132" i="17"/>
  <c r="D132" i="17" s="1"/>
  <c r="E132" i="17" s="1"/>
  <c r="O128" i="17"/>
  <c r="P128" i="17" s="1"/>
  <c r="Q128" i="17" s="1"/>
  <c r="C126" i="17"/>
  <c r="D126" i="17" s="1"/>
  <c r="E126" i="17" s="1"/>
  <c r="I124" i="17"/>
  <c r="J124" i="17" s="1"/>
  <c r="K124" i="17" s="1"/>
  <c r="L117" i="17"/>
  <c r="M117" i="17" s="1"/>
  <c r="N117" i="17" s="1"/>
  <c r="L114" i="17"/>
  <c r="M114" i="17" s="1"/>
  <c r="N114" i="17" s="1"/>
  <c r="I113" i="17"/>
  <c r="J113" i="17" s="1"/>
  <c r="K113" i="17" s="1"/>
  <c r="R110" i="17"/>
  <c r="S110" i="17" s="1"/>
  <c r="T110" i="17" s="1"/>
  <c r="R103" i="17"/>
  <c r="S103" i="17" s="1"/>
  <c r="T103" i="17" s="1"/>
  <c r="I96" i="17"/>
  <c r="J96" i="17" s="1"/>
  <c r="K96" i="17" s="1"/>
  <c r="L91" i="17"/>
  <c r="M91" i="17" s="1"/>
  <c r="N91" i="17" s="1"/>
  <c r="R86" i="17"/>
  <c r="S86" i="17" s="1"/>
  <c r="T86" i="17" s="1"/>
  <c r="O66" i="17"/>
  <c r="P66" i="17" s="1"/>
  <c r="Q66" i="17" s="1"/>
  <c r="O64" i="17"/>
  <c r="P64" i="17" s="1"/>
  <c r="Q64" i="17" s="1"/>
  <c r="C49" i="17"/>
  <c r="D49" i="17" s="1"/>
  <c r="E49" i="17" s="1"/>
  <c r="I45" i="17"/>
  <c r="J45" i="17" s="1"/>
  <c r="K45" i="17" s="1"/>
  <c r="L27" i="17"/>
  <c r="M27" i="17" s="1"/>
  <c r="N27" i="17" s="1"/>
  <c r="I24" i="17"/>
  <c r="J24" i="17" s="1"/>
  <c r="K24" i="17" s="1"/>
  <c r="R251" i="17"/>
  <c r="S251" i="17" s="1"/>
  <c r="T251" i="17" s="1"/>
  <c r="L249" i="17"/>
  <c r="M249" i="17" s="1"/>
  <c r="N249" i="17" s="1"/>
  <c r="F247" i="17"/>
  <c r="G247" i="17" s="1"/>
  <c r="H247" i="17" s="1"/>
  <c r="C246" i="17"/>
  <c r="D246" i="17" s="1"/>
  <c r="E246" i="17" s="1"/>
  <c r="F244" i="17"/>
  <c r="G244" i="17" s="1"/>
  <c r="H244" i="17" s="1"/>
  <c r="F242" i="17"/>
  <c r="G242" i="17" s="1"/>
  <c r="H242" i="17" s="1"/>
  <c r="I240" i="17"/>
  <c r="J240" i="17" s="1"/>
  <c r="K240" i="17" s="1"/>
  <c r="F239" i="17"/>
  <c r="G239" i="17" s="1"/>
  <c r="H239" i="17" s="1"/>
  <c r="R236" i="17"/>
  <c r="S236" i="17" s="1"/>
  <c r="T236" i="17" s="1"/>
  <c r="O235" i="17"/>
  <c r="P235" i="17" s="1"/>
  <c r="Q235" i="17" s="1"/>
  <c r="F234" i="17"/>
  <c r="G234" i="17" s="1"/>
  <c r="H234" i="17" s="1"/>
  <c r="O231" i="17"/>
  <c r="P231" i="17" s="1"/>
  <c r="Q231" i="17" s="1"/>
  <c r="C231" i="17"/>
  <c r="D231" i="17" s="1"/>
  <c r="E231" i="17" s="1"/>
  <c r="L227" i="17"/>
  <c r="M227" i="17" s="1"/>
  <c r="N227" i="17" s="1"/>
  <c r="C226" i="17"/>
  <c r="D226" i="17" s="1"/>
  <c r="E226" i="17" s="1"/>
  <c r="C225" i="17"/>
  <c r="D225" i="17" s="1"/>
  <c r="E225" i="17" s="1"/>
  <c r="C220" i="17"/>
  <c r="D220" i="17" s="1"/>
  <c r="E220" i="17" s="1"/>
  <c r="L217" i="17"/>
  <c r="M217" i="17" s="1"/>
  <c r="N217" i="17" s="1"/>
  <c r="O215" i="17"/>
  <c r="P215" i="17" s="1"/>
  <c r="Q215" i="17" s="1"/>
  <c r="R212" i="17"/>
  <c r="S212" i="17" s="1"/>
  <c r="T212" i="17" s="1"/>
  <c r="C207" i="17"/>
  <c r="D207" i="17" s="1"/>
  <c r="E207" i="17" s="1"/>
  <c r="I202" i="17"/>
  <c r="J202" i="17" s="1"/>
  <c r="K202" i="17" s="1"/>
  <c r="I198" i="17"/>
  <c r="J198" i="17" s="1"/>
  <c r="K198" i="17" s="1"/>
  <c r="R195" i="17"/>
  <c r="S195" i="17" s="1"/>
  <c r="T195" i="17" s="1"/>
  <c r="I194" i="17"/>
  <c r="J194" i="17" s="1"/>
  <c r="K194" i="17" s="1"/>
  <c r="C193" i="17"/>
  <c r="D193" i="17" s="1"/>
  <c r="E193" i="17" s="1"/>
  <c r="I192" i="17"/>
  <c r="J192" i="17" s="1"/>
  <c r="K192" i="17" s="1"/>
  <c r="R189" i="17"/>
  <c r="S189" i="17" s="1"/>
  <c r="T189" i="17" s="1"/>
  <c r="R185" i="17"/>
  <c r="S185" i="17" s="1"/>
  <c r="T185" i="17" s="1"/>
  <c r="I181" i="17"/>
  <c r="J181" i="17" s="1"/>
  <c r="K181" i="17" s="1"/>
  <c r="R179" i="17"/>
  <c r="S179" i="17" s="1"/>
  <c r="T179" i="17" s="1"/>
  <c r="O177" i="17"/>
  <c r="P177" i="17" s="1"/>
  <c r="Q177" i="17" s="1"/>
  <c r="F174" i="17"/>
  <c r="G174" i="17" s="1"/>
  <c r="H174" i="17" s="1"/>
  <c r="I173" i="17"/>
  <c r="J173" i="17" s="1"/>
  <c r="K173" i="17" s="1"/>
  <c r="I169" i="17"/>
  <c r="J169" i="17" s="1"/>
  <c r="K169" i="17" s="1"/>
  <c r="R166" i="17"/>
  <c r="S166" i="17" s="1"/>
  <c r="T166" i="17" s="1"/>
  <c r="F164" i="17"/>
  <c r="G164" i="17" s="1"/>
  <c r="H164" i="17" s="1"/>
  <c r="L162" i="17"/>
  <c r="M162" i="17" s="1"/>
  <c r="N162" i="17" s="1"/>
  <c r="R157" i="17"/>
  <c r="S157" i="17" s="1"/>
  <c r="T157" i="17" s="1"/>
  <c r="C251" i="17"/>
  <c r="D251" i="17" s="1"/>
  <c r="R250" i="17"/>
  <c r="S250" i="17" s="1"/>
  <c r="T250" i="17" s="1"/>
  <c r="I250" i="17"/>
  <c r="J250" i="17" s="1"/>
  <c r="K250" i="17" s="1"/>
  <c r="R248" i="17"/>
  <c r="S248" i="17" s="1"/>
  <c r="T248" i="17" s="1"/>
  <c r="F248" i="17"/>
  <c r="G248" i="17" s="1"/>
  <c r="H248" i="17" s="1"/>
  <c r="O247" i="17"/>
  <c r="P247" i="17" s="1"/>
  <c r="Q247" i="17" s="1"/>
  <c r="O246" i="17"/>
  <c r="P246" i="17" s="1"/>
  <c r="Q246" i="17" s="1"/>
  <c r="F246" i="17"/>
  <c r="G246" i="17" s="1"/>
  <c r="H246" i="17" s="1"/>
  <c r="R245" i="17"/>
  <c r="S245" i="17" s="1"/>
  <c r="T245" i="17" s="1"/>
  <c r="L243" i="17"/>
  <c r="M243" i="17" s="1"/>
  <c r="N243" i="17" s="1"/>
  <c r="F243" i="17"/>
  <c r="G243" i="17" s="1"/>
  <c r="H243" i="17" s="1"/>
  <c r="L242" i="17"/>
  <c r="M242" i="17" s="1"/>
  <c r="N242" i="17" s="1"/>
  <c r="C242" i="17"/>
  <c r="D242" i="17" s="1"/>
  <c r="E242" i="17" s="1"/>
  <c r="R240" i="17"/>
  <c r="S240" i="17" s="1"/>
  <c r="T240" i="17" s="1"/>
  <c r="O239" i="17"/>
  <c r="P239" i="17" s="1"/>
  <c r="Q239" i="17" s="1"/>
  <c r="C239" i="17"/>
  <c r="D239" i="17" s="1"/>
  <c r="E239" i="17" s="1"/>
  <c r="L237" i="17"/>
  <c r="M237" i="17" s="1"/>
  <c r="N237" i="17" s="1"/>
  <c r="F237" i="17"/>
  <c r="G237" i="17" s="1"/>
  <c r="H237" i="17" s="1"/>
  <c r="L235" i="17"/>
  <c r="M235" i="17" s="1"/>
  <c r="N235" i="17" s="1"/>
  <c r="F235" i="17"/>
  <c r="G235" i="17" s="1"/>
  <c r="H235" i="17" s="1"/>
  <c r="L234" i="17"/>
  <c r="M234" i="17" s="1"/>
  <c r="N234" i="17" s="1"/>
  <c r="C234" i="17"/>
  <c r="D234" i="17" s="1"/>
  <c r="E234" i="17" s="1"/>
  <c r="F233" i="17"/>
  <c r="G233" i="17" s="1"/>
  <c r="H233" i="17" s="1"/>
  <c r="L232" i="17"/>
  <c r="M232" i="17" s="1"/>
  <c r="N232" i="17" s="1"/>
  <c r="L231" i="17"/>
  <c r="M231" i="17" s="1"/>
  <c r="N231" i="17" s="1"/>
  <c r="F231" i="17"/>
  <c r="G231" i="17" s="1"/>
  <c r="H231" i="17" s="1"/>
  <c r="R230" i="17"/>
  <c r="S230" i="17" s="1"/>
  <c r="T230" i="17" s="1"/>
  <c r="I230" i="17"/>
  <c r="J230" i="17" s="1"/>
  <c r="K230" i="17" s="1"/>
  <c r="O227" i="17"/>
  <c r="P227" i="17" s="1"/>
  <c r="Q227" i="17" s="1"/>
  <c r="F226" i="17"/>
  <c r="G226" i="17" s="1"/>
  <c r="H226" i="17" s="1"/>
  <c r="R225" i="17"/>
  <c r="S225" i="17" s="1"/>
  <c r="T225" i="17" s="1"/>
  <c r="I225" i="17"/>
  <c r="J225" i="17" s="1"/>
  <c r="K225" i="17" s="1"/>
  <c r="R224" i="17"/>
  <c r="S224" i="17" s="1"/>
  <c r="T224" i="17" s="1"/>
  <c r="F221" i="17"/>
  <c r="G221" i="17" s="1"/>
  <c r="R220" i="17"/>
  <c r="S220" i="17" s="1"/>
  <c r="T220" i="17" s="1"/>
  <c r="R217" i="17"/>
  <c r="S217" i="17" s="1"/>
  <c r="T217" i="17" s="1"/>
  <c r="I216" i="17"/>
  <c r="J216" i="17" s="1"/>
  <c r="K216" i="17" s="1"/>
  <c r="L215" i="17"/>
  <c r="M215" i="17" s="1"/>
  <c r="N215" i="17" s="1"/>
  <c r="I213" i="17"/>
  <c r="J213" i="17" s="1"/>
  <c r="K213" i="17" s="1"/>
  <c r="C212" i="17"/>
  <c r="D212" i="17" s="1"/>
  <c r="E212" i="17" s="1"/>
  <c r="L210" i="17"/>
  <c r="M210" i="17" s="1"/>
  <c r="N210" i="17" s="1"/>
  <c r="L209" i="17"/>
  <c r="M209" i="17" s="1"/>
  <c r="N209" i="17" s="1"/>
  <c r="R207" i="17"/>
  <c r="S207" i="17" s="1"/>
  <c r="T207" i="17" s="1"/>
  <c r="R206" i="17"/>
  <c r="S206" i="17" s="1"/>
  <c r="T206" i="17" s="1"/>
  <c r="R205" i="17"/>
  <c r="S205" i="17" s="1"/>
  <c r="T205" i="17" s="1"/>
  <c r="L205" i="17"/>
  <c r="M205" i="17" s="1"/>
  <c r="N205" i="17" s="1"/>
  <c r="F203" i="17"/>
  <c r="G203" i="17" s="1"/>
  <c r="H203" i="17" s="1"/>
  <c r="O201" i="17"/>
  <c r="P201" i="17" s="1"/>
  <c r="Q201" i="17" s="1"/>
  <c r="R200" i="17"/>
  <c r="S200" i="17" s="1"/>
  <c r="T200" i="17" s="1"/>
  <c r="F199" i="17"/>
  <c r="G199" i="17" s="1"/>
  <c r="H199" i="17" s="1"/>
  <c r="L198" i="17"/>
  <c r="M198" i="17" s="1"/>
  <c r="N198" i="17" s="1"/>
  <c r="O197" i="17"/>
  <c r="P197" i="17" s="1"/>
  <c r="Q197" i="17" s="1"/>
  <c r="I196" i="17"/>
  <c r="J196" i="17" s="1"/>
  <c r="K196" i="17" s="1"/>
  <c r="I195" i="17"/>
  <c r="J195" i="17" s="1"/>
  <c r="K195" i="17" s="1"/>
  <c r="L194" i="17"/>
  <c r="M194" i="17" s="1"/>
  <c r="N194" i="17" s="1"/>
  <c r="F193" i="17"/>
  <c r="G193" i="17" s="1"/>
  <c r="H193" i="17" s="1"/>
  <c r="L192" i="17"/>
  <c r="M192" i="17" s="1"/>
  <c r="N192" i="17" s="1"/>
  <c r="O191" i="17"/>
  <c r="P191" i="17" s="1"/>
  <c r="I190" i="17"/>
  <c r="J190" i="17" s="1"/>
  <c r="K190" i="17" s="1"/>
  <c r="L188" i="17"/>
  <c r="M188" i="17" s="1"/>
  <c r="N188" i="17" s="1"/>
  <c r="R186" i="17"/>
  <c r="S186" i="17" s="1"/>
  <c r="T186" i="17" s="1"/>
  <c r="I185" i="17"/>
  <c r="J185" i="17" s="1"/>
  <c r="K185" i="17" s="1"/>
  <c r="F181" i="17"/>
  <c r="G181" i="17" s="1"/>
  <c r="H181" i="17" s="1"/>
  <c r="F180" i="17"/>
  <c r="G180" i="17" s="1"/>
  <c r="H180" i="17" s="1"/>
  <c r="F179" i="17"/>
  <c r="G179" i="17" s="1"/>
  <c r="H179" i="17" s="1"/>
  <c r="R178" i="17"/>
  <c r="S178" i="17" s="1"/>
  <c r="T178" i="17" s="1"/>
  <c r="F177" i="17"/>
  <c r="G177" i="17" s="1"/>
  <c r="H177" i="17" s="1"/>
  <c r="F176" i="17"/>
  <c r="G176" i="17" s="1"/>
  <c r="C175" i="17"/>
  <c r="D175" i="17" s="1"/>
  <c r="E175" i="17" s="1"/>
  <c r="L174" i="17"/>
  <c r="M174" i="17" s="1"/>
  <c r="N174" i="17" s="1"/>
  <c r="R173" i="17"/>
  <c r="S173" i="17" s="1"/>
  <c r="T173" i="17" s="1"/>
  <c r="F172" i="17"/>
  <c r="G172" i="17" s="1"/>
  <c r="H172" i="17" s="1"/>
  <c r="F165" i="17"/>
  <c r="G165" i="17" s="1"/>
  <c r="H165" i="17" s="1"/>
  <c r="I162" i="17"/>
  <c r="J162" i="17" s="1"/>
  <c r="K162" i="17" s="1"/>
  <c r="R155" i="17"/>
  <c r="S155" i="17" s="1"/>
  <c r="T155" i="17" s="1"/>
  <c r="I153" i="17"/>
  <c r="J153" i="17" s="1"/>
  <c r="K153" i="17" s="1"/>
  <c r="L152" i="17"/>
  <c r="M152" i="17" s="1"/>
  <c r="N152" i="17" s="1"/>
  <c r="R150" i="17"/>
  <c r="S150" i="17" s="1"/>
  <c r="T150" i="17" s="1"/>
  <c r="L136" i="17"/>
  <c r="M136" i="17" s="1"/>
  <c r="N136" i="17" s="1"/>
  <c r="F135" i="17"/>
  <c r="G135" i="17" s="1"/>
  <c r="H135" i="17" s="1"/>
  <c r="L128" i="17"/>
  <c r="M128" i="17" s="1"/>
  <c r="N128" i="17" s="1"/>
  <c r="I120" i="17"/>
  <c r="J120" i="17" s="1"/>
  <c r="K120" i="17" s="1"/>
  <c r="C112" i="17"/>
  <c r="D112" i="17" s="1"/>
  <c r="E112" i="17" s="1"/>
  <c r="C109" i="17"/>
  <c r="D109" i="17" s="1"/>
  <c r="E109" i="17" s="1"/>
  <c r="O104" i="17"/>
  <c r="P104" i="17" s="1"/>
  <c r="Q104" i="17" s="1"/>
  <c r="L103" i="17"/>
  <c r="M103" i="17" s="1"/>
  <c r="N103" i="17" s="1"/>
  <c r="R99" i="17"/>
  <c r="S99" i="17" s="1"/>
  <c r="T99" i="17" s="1"/>
  <c r="F80" i="17"/>
  <c r="G80" i="17" s="1"/>
  <c r="H80" i="17" s="1"/>
  <c r="R69" i="17"/>
  <c r="S69" i="17" s="1"/>
  <c r="T69" i="17" s="1"/>
  <c r="L68" i="17"/>
  <c r="M68" i="17" s="1"/>
  <c r="N68" i="17" s="1"/>
  <c r="R51" i="17"/>
  <c r="S51" i="17" s="1"/>
  <c r="T51" i="17" s="1"/>
  <c r="L42" i="17"/>
  <c r="M42" i="17" s="1"/>
  <c r="N42" i="17" s="1"/>
  <c r="F39" i="17"/>
  <c r="G39" i="17" s="1"/>
  <c r="H39" i="17" s="1"/>
  <c r="L163" i="17"/>
  <c r="M163" i="17" s="1"/>
  <c r="N163" i="17" s="1"/>
  <c r="O155" i="17"/>
  <c r="P155" i="17" s="1"/>
  <c r="Q155" i="17" s="1"/>
  <c r="L139" i="17"/>
  <c r="M139" i="17" s="1"/>
  <c r="N139" i="17" s="1"/>
  <c r="F129" i="17"/>
  <c r="G129" i="17" s="1"/>
  <c r="H129" i="17" s="1"/>
  <c r="R121" i="17"/>
  <c r="S121" i="17" s="1"/>
  <c r="T121" i="17" s="1"/>
  <c r="I109" i="17"/>
  <c r="J109" i="17" s="1"/>
  <c r="K109" i="17" s="1"/>
  <c r="L102" i="17"/>
  <c r="M102" i="17" s="1"/>
  <c r="N102" i="17" s="1"/>
  <c r="L94" i="17"/>
  <c r="M94" i="17" s="1"/>
  <c r="N94" i="17" s="1"/>
  <c r="F83" i="17"/>
  <c r="G83" i="17" s="1"/>
  <c r="H83" i="17" s="1"/>
  <c r="I75" i="17"/>
  <c r="J75" i="17" s="1"/>
  <c r="K75" i="17" s="1"/>
  <c r="I226" i="17"/>
  <c r="J226" i="17" s="1"/>
  <c r="K226" i="17" s="1"/>
  <c r="L207" i="17"/>
  <c r="M207" i="17" s="1"/>
  <c r="N207" i="17" s="1"/>
  <c r="L201" i="17"/>
  <c r="M201" i="17" s="1"/>
  <c r="N201" i="17" s="1"/>
  <c r="I188" i="17"/>
  <c r="J188" i="17" s="1"/>
  <c r="K188" i="17" s="1"/>
  <c r="L179" i="17"/>
  <c r="M179" i="17" s="1"/>
  <c r="N179" i="17" s="1"/>
  <c r="L173" i="17"/>
  <c r="M173" i="17" s="1"/>
  <c r="N173" i="17" s="1"/>
  <c r="O160" i="17"/>
  <c r="P160" i="17" s="1"/>
  <c r="Q160" i="17" s="1"/>
  <c r="F146" i="17"/>
  <c r="G146" i="17" s="1"/>
  <c r="AF147" i="17" s="1"/>
  <c r="R142" i="17"/>
  <c r="S142" i="17" s="1"/>
  <c r="T142" i="17" s="1"/>
  <c r="F71" i="17"/>
  <c r="G71" i="17" s="1"/>
  <c r="H71" i="17" s="1"/>
  <c r="I178" i="17"/>
  <c r="J178" i="17" s="1"/>
  <c r="K178" i="17" s="1"/>
  <c r="I170" i="17"/>
  <c r="J170" i="17" s="1"/>
  <c r="K170" i="17" s="1"/>
  <c r="L169" i="17"/>
  <c r="M169" i="17" s="1"/>
  <c r="N169" i="17" s="1"/>
  <c r="R123" i="17"/>
  <c r="S123" i="17" s="1"/>
  <c r="T123" i="17" s="1"/>
  <c r="L112" i="17"/>
  <c r="M112" i="17" s="1"/>
  <c r="N112" i="17" s="1"/>
  <c r="L108" i="17"/>
  <c r="M108" i="17" s="1"/>
  <c r="N108" i="17" s="1"/>
  <c r="L80" i="17"/>
  <c r="M80" i="17" s="1"/>
  <c r="N80" i="17" s="1"/>
  <c r="F72" i="17"/>
  <c r="G72" i="17" s="1"/>
  <c r="H72" i="17" s="1"/>
  <c r="I65" i="17"/>
  <c r="J65" i="17" s="1"/>
  <c r="K65" i="17" s="1"/>
  <c r="L60" i="17"/>
  <c r="M60" i="17" s="1"/>
  <c r="N60" i="17" s="1"/>
  <c r="C39" i="17"/>
  <c r="D39" i="17" s="1"/>
  <c r="E39" i="17" s="1"/>
  <c r="I117" i="17"/>
  <c r="J117" i="17" s="1"/>
  <c r="K117" i="17" s="1"/>
  <c r="I61" i="17"/>
  <c r="J61" i="17" s="1"/>
  <c r="K61" i="17" s="1"/>
  <c r="I59" i="17"/>
  <c r="J59" i="17" s="1"/>
  <c r="K59" i="17" s="1"/>
  <c r="L37" i="17"/>
  <c r="M37" i="17" s="1"/>
  <c r="N37" i="17" s="1"/>
  <c r="L31" i="17"/>
  <c r="M31" i="17" s="1"/>
  <c r="N31" i="17" s="1"/>
  <c r="L86" i="17"/>
  <c r="M86" i="17" s="1"/>
  <c r="N86" i="17" s="1"/>
  <c r="F69" i="17"/>
  <c r="G69" i="17" s="1"/>
  <c r="H69" i="17" s="1"/>
  <c r="L64" i="17"/>
  <c r="M64" i="17" s="1"/>
  <c r="N64" i="17" s="1"/>
  <c r="F46" i="17"/>
  <c r="G46" i="17" s="1"/>
  <c r="H46" i="17" s="1"/>
  <c r="O25" i="17"/>
  <c r="P25" i="17" s="1"/>
  <c r="C23" i="17"/>
  <c r="D23" i="17" s="1"/>
  <c r="E23" i="17" s="1"/>
  <c r="L118" i="17"/>
  <c r="M118" i="17" s="1"/>
  <c r="N118" i="17" s="1"/>
  <c r="I105" i="17"/>
  <c r="J105" i="17" s="1"/>
  <c r="K105" i="17" s="1"/>
  <c r="L98" i="17"/>
  <c r="M98" i="17" s="1"/>
  <c r="N98" i="17" s="1"/>
  <c r="L90" i="17"/>
  <c r="M90" i="17" s="1"/>
  <c r="N90" i="17" s="1"/>
  <c r="L81" i="17"/>
  <c r="M81" i="17" s="1"/>
  <c r="N81" i="17" s="1"/>
  <c r="C77" i="17"/>
  <c r="D77" i="17" s="1"/>
  <c r="E77" i="17" s="1"/>
  <c r="L43" i="17"/>
  <c r="M43" i="17" s="1"/>
  <c r="N43" i="17" s="1"/>
  <c r="C27" i="17"/>
  <c r="D27" i="17" s="1"/>
  <c r="E27" i="17" s="1"/>
  <c r="O26" i="17"/>
  <c r="P26" i="17" s="1"/>
  <c r="Q26" i="17" s="1"/>
  <c r="C53" i="17"/>
  <c r="D53" i="17" s="1"/>
  <c r="E53" i="17" s="1"/>
  <c r="F50" i="17"/>
  <c r="G50" i="17" s="1"/>
  <c r="H50" i="17" s="1"/>
  <c r="L47" i="17"/>
  <c r="M47" i="17" s="1"/>
  <c r="N47" i="17" s="1"/>
  <c r="C45" i="17"/>
  <c r="D45" i="17" s="1"/>
  <c r="E45" i="17" s="1"/>
  <c r="C41" i="17"/>
  <c r="D41" i="17" s="1"/>
  <c r="E41" i="17" s="1"/>
  <c r="O20" i="17"/>
  <c r="P20" i="17" s="1"/>
  <c r="Q20" i="17" s="1"/>
  <c r="O16" i="17"/>
  <c r="P16" i="17" s="1"/>
  <c r="Q16" i="17" s="1"/>
  <c r="C10" i="17"/>
  <c r="D10" i="17" s="1"/>
  <c r="C57" i="17"/>
  <c r="D57" i="17" s="1"/>
  <c r="E57" i="17" s="1"/>
  <c r="C51" i="17"/>
  <c r="D51" i="17" s="1"/>
  <c r="E51" i="17" s="1"/>
  <c r="R44" i="17"/>
  <c r="S44" i="17" s="1"/>
  <c r="T44" i="17" s="1"/>
  <c r="I35" i="17"/>
  <c r="J35" i="17" s="1"/>
  <c r="K35" i="17" s="1"/>
  <c r="L30" i="17"/>
  <c r="M30" i="17" s="1"/>
  <c r="N30" i="17" s="1"/>
  <c r="C11" i="17"/>
  <c r="D11" i="17" s="1"/>
  <c r="E11" i="17" s="1"/>
  <c r="O11" i="19"/>
  <c r="P11" i="19" s="1"/>
  <c r="Q11" i="19" s="1"/>
  <c r="C17" i="19"/>
  <c r="D17" i="19" s="1"/>
  <c r="E17" i="19" s="1"/>
  <c r="C25" i="19"/>
  <c r="D25" i="19" s="1"/>
  <c r="X25" i="19" s="1"/>
  <c r="R28" i="19"/>
  <c r="S28" i="19" s="1"/>
  <c r="T28" i="19" s="1"/>
  <c r="O31" i="19"/>
  <c r="P31" i="19" s="1"/>
  <c r="Q31" i="19" s="1"/>
  <c r="O33" i="19"/>
  <c r="P33" i="19" s="1"/>
  <c r="Q33" i="19" s="1"/>
  <c r="C37" i="19"/>
  <c r="D37" i="19" s="1"/>
  <c r="E37" i="19" s="1"/>
  <c r="C44" i="19"/>
  <c r="D44" i="19" s="1"/>
  <c r="E44" i="19" s="1"/>
  <c r="R46" i="19"/>
  <c r="S46" i="19" s="1"/>
  <c r="T46" i="19" s="1"/>
  <c r="C63" i="19"/>
  <c r="D63" i="19" s="1"/>
  <c r="E63" i="19" s="1"/>
  <c r="O67" i="19"/>
  <c r="P67" i="19" s="1"/>
  <c r="Q67" i="19" s="1"/>
  <c r="O75" i="19"/>
  <c r="P75" i="19" s="1"/>
  <c r="Q75" i="19" s="1"/>
  <c r="O78" i="19"/>
  <c r="P78" i="19" s="1"/>
  <c r="Q78" i="19" s="1"/>
  <c r="R80" i="19"/>
  <c r="S80" i="19" s="1"/>
  <c r="T80" i="19" s="1"/>
  <c r="C82" i="19"/>
  <c r="D82" i="19" s="1"/>
  <c r="E82" i="19" s="1"/>
  <c r="C92" i="19"/>
  <c r="D92" i="19" s="1"/>
  <c r="E92" i="19" s="1"/>
  <c r="O95" i="19"/>
  <c r="P95" i="19" s="1"/>
  <c r="Q95" i="19" s="1"/>
  <c r="C100" i="19"/>
  <c r="D100" i="19" s="1"/>
  <c r="E100" i="19" s="1"/>
  <c r="V100" i="19" s="1"/>
  <c r="R101" i="19"/>
  <c r="S101" i="19" s="1"/>
  <c r="T101" i="19" s="1"/>
  <c r="C113" i="19"/>
  <c r="D113" i="19" s="1"/>
  <c r="E113" i="19" s="1"/>
  <c r="C123" i="19"/>
  <c r="D123" i="19" s="1"/>
  <c r="E123" i="19" s="1"/>
  <c r="R129" i="19"/>
  <c r="S129" i="19" s="1"/>
  <c r="T129" i="19" s="1"/>
  <c r="C155" i="19"/>
  <c r="D155" i="19" s="1"/>
  <c r="E155" i="19" s="1"/>
  <c r="R165" i="19"/>
  <c r="S165" i="19" s="1"/>
  <c r="T165" i="19" s="1"/>
  <c r="O206" i="19"/>
  <c r="P206" i="19" s="1"/>
  <c r="AJ210" i="19" s="1"/>
  <c r="I185" i="19"/>
  <c r="J185" i="19" s="1"/>
  <c r="K185" i="19" s="1"/>
  <c r="C12" i="19"/>
  <c r="D12" i="19" s="1"/>
  <c r="E12" i="19" s="1"/>
  <c r="C13" i="19"/>
  <c r="D13" i="19" s="1"/>
  <c r="E13" i="19" s="1"/>
  <c r="R21" i="19"/>
  <c r="S21" i="19" s="1"/>
  <c r="T21" i="19" s="1"/>
  <c r="C29" i="19"/>
  <c r="D29" i="19" s="1"/>
  <c r="E29" i="19" s="1"/>
  <c r="O36" i="19"/>
  <c r="P36" i="19" s="1"/>
  <c r="Q36" i="19" s="1"/>
  <c r="R38" i="19"/>
  <c r="S38" i="19" s="1"/>
  <c r="T38" i="19" s="1"/>
  <c r="C40" i="19"/>
  <c r="D40" i="19" s="1"/>
  <c r="Y40" i="19" s="1"/>
  <c r="C43" i="19"/>
  <c r="D43" i="19" s="1"/>
  <c r="E43" i="19" s="1"/>
  <c r="C53" i="19"/>
  <c r="D53" i="19" s="1"/>
  <c r="E53" i="19" s="1"/>
  <c r="C64" i="19"/>
  <c r="D64" i="19" s="1"/>
  <c r="E64" i="19" s="1"/>
  <c r="C71" i="19"/>
  <c r="D71" i="19" s="1"/>
  <c r="E71" i="19" s="1"/>
  <c r="O72" i="19"/>
  <c r="P72" i="19" s="1"/>
  <c r="Q72" i="19" s="1"/>
  <c r="C79" i="19"/>
  <c r="D79" i="19" s="1"/>
  <c r="E79" i="19" s="1"/>
  <c r="C83" i="19"/>
  <c r="D83" i="19" s="1"/>
  <c r="E83" i="19" s="1"/>
  <c r="O91" i="19"/>
  <c r="P91" i="19" s="1"/>
  <c r="Q91" i="19" s="1"/>
  <c r="O99" i="19"/>
  <c r="P99" i="19" s="1"/>
  <c r="Q99" i="19" s="1"/>
  <c r="O102" i="19"/>
  <c r="P102" i="19" s="1"/>
  <c r="Q102" i="19" s="1"/>
  <c r="O106" i="19"/>
  <c r="P106" i="19" s="1"/>
  <c r="Q106" i="19" s="1"/>
  <c r="C109" i="19"/>
  <c r="D109" i="19" s="1"/>
  <c r="E109" i="19" s="1"/>
  <c r="R141" i="19"/>
  <c r="S141" i="19" s="1"/>
  <c r="T141" i="19" s="1"/>
  <c r="I10" i="19"/>
  <c r="J10" i="19" s="1"/>
  <c r="I20" i="19"/>
  <c r="J20" i="19" s="1"/>
  <c r="K20" i="19" s="1"/>
  <c r="I27" i="19"/>
  <c r="J27" i="19" s="1"/>
  <c r="K27" i="19" s="1"/>
  <c r="O32" i="19"/>
  <c r="P32" i="19" s="1"/>
  <c r="Q32" i="19" s="1"/>
  <c r="I45" i="19"/>
  <c r="J45" i="19" s="1"/>
  <c r="K45" i="19" s="1"/>
  <c r="I53" i="19"/>
  <c r="J53" i="19" s="1"/>
  <c r="K53" i="19" s="1"/>
  <c r="I63" i="19"/>
  <c r="J63" i="19" s="1"/>
  <c r="K63" i="19" s="1"/>
  <c r="I69" i="19"/>
  <c r="J69" i="19" s="1"/>
  <c r="K69" i="19" s="1"/>
  <c r="O82" i="19"/>
  <c r="P82" i="19" s="1"/>
  <c r="Q82" i="19" s="1"/>
  <c r="I93" i="19"/>
  <c r="J93" i="19" s="1"/>
  <c r="K93" i="19" s="1"/>
  <c r="I118" i="19"/>
  <c r="J118" i="19" s="1"/>
  <c r="K118" i="19" s="1"/>
  <c r="I135" i="19"/>
  <c r="J135" i="19" s="1"/>
  <c r="K135" i="19" s="1"/>
  <c r="R32" i="19"/>
  <c r="S32" i="19" s="1"/>
  <c r="T32" i="19" s="1"/>
  <c r="I33" i="19"/>
  <c r="J33" i="19" s="1"/>
  <c r="K33" i="19" s="1"/>
  <c r="I62" i="19"/>
  <c r="J62" i="19" s="1"/>
  <c r="K62" i="19" s="1"/>
  <c r="I71" i="19"/>
  <c r="J71" i="19" s="1"/>
  <c r="K71" i="19" s="1"/>
  <c r="I75" i="19"/>
  <c r="J75" i="19" s="1"/>
  <c r="K75" i="19" s="1"/>
  <c r="R76" i="19"/>
  <c r="S76" i="19" s="1"/>
  <c r="T76" i="19" s="1"/>
  <c r="R82" i="19"/>
  <c r="S82" i="19" s="1"/>
  <c r="T82" i="19" s="1"/>
  <c r="I83" i="19"/>
  <c r="J83" i="19" s="1"/>
  <c r="K83" i="19" s="1"/>
  <c r="R84" i="19"/>
  <c r="S84" i="19" s="1"/>
  <c r="T84" i="19" s="1"/>
  <c r="I110" i="19"/>
  <c r="J110" i="19" s="1"/>
  <c r="K110" i="19" s="1"/>
  <c r="R119" i="19"/>
  <c r="S119" i="19" s="1"/>
  <c r="T119" i="19" s="1"/>
  <c r="I141" i="19"/>
  <c r="J141" i="19" s="1"/>
  <c r="K141" i="19" s="1"/>
  <c r="I146" i="19"/>
  <c r="J146" i="19" s="1"/>
  <c r="R172" i="19"/>
  <c r="S172" i="19" s="1"/>
  <c r="T172" i="19" s="1"/>
  <c r="R186" i="19"/>
  <c r="S186" i="19" s="1"/>
  <c r="T186" i="19" s="1"/>
  <c r="I196" i="19"/>
  <c r="J196" i="19" s="1"/>
  <c r="K196" i="19" s="1"/>
  <c r="C201" i="19"/>
  <c r="D201" i="19" s="1"/>
  <c r="E201" i="19" s="1"/>
  <c r="C182" i="19"/>
  <c r="D182" i="19" s="1"/>
  <c r="E182" i="19" s="1"/>
  <c r="C179" i="19"/>
  <c r="D179" i="19" s="1"/>
  <c r="E179" i="19" s="1"/>
  <c r="C164" i="19"/>
  <c r="D164" i="19" s="1"/>
  <c r="E164" i="19" s="1"/>
  <c r="C154" i="19"/>
  <c r="D154" i="19" s="1"/>
  <c r="E154" i="19" s="1"/>
  <c r="C140" i="19"/>
  <c r="D140" i="19" s="1"/>
  <c r="E140" i="19" s="1"/>
  <c r="C136" i="19"/>
  <c r="D136" i="19" s="1"/>
  <c r="E136" i="19" s="1"/>
  <c r="C11" i="19"/>
  <c r="D11" i="19" s="1"/>
  <c r="E11" i="19" s="1"/>
  <c r="I11" i="19"/>
  <c r="J11" i="19" s="1"/>
  <c r="K11" i="19" s="1"/>
  <c r="O12" i="19"/>
  <c r="P12" i="19" s="1"/>
  <c r="Q12" i="19" s="1"/>
  <c r="C15" i="19"/>
  <c r="D15" i="19" s="1"/>
  <c r="E15" i="19" s="1"/>
  <c r="I15" i="19"/>
  <c r="J15" i="19" s="1"/>
  <c r="K15" i="19" s="1"/>
  <c r="R16" i="19"/>
  <c r="S16" i="19" s="1"/>
  <c r="T16" i="19" s="1"/>
  <c r="C19" i="19"/>
  <c r="D19" i="19" s="1"/>
  <c r="E19" i="19" s="1"/>
  <c r="O21" i="19"/>
  <c r="P21" i="19" s="1"/>
  <c r="Q21" i="19" s="1"/>
  <c r="C22" i="19"/>
  <c r="D22" i="19" s="1"/>
  <c r="E22" i="19" s="1"/>
  <c r="R22" i="19"/>
  <c r="S22" i="19" s="1"/>
  <c r="T22" i="19" s="1"/>
  <c r="C23" i="19"/>
  <c r="D23" i="19" s="1"/>
  <c r="E23" i="19" s="1"/>
  <c r="I23" i="19"/>
  <c r="J23" i="19" s="1"/>
  <c r="K23" i="19" s="1"/>
  <c r="R24" i="19"/>
  <c r="S24" i="19" s="1"/>
  <c r="T24" i="19" s="1"/>
  <c r="I35" i="19"/>
  <c r="J35" i="19" s="1"/>
  <c r="K35" i="19" s="1"/>
  <c r="O35" i="19"/>
  <c r="P35" i="19" s="1"/>
  <c r="Q35" i="19" s="1"/>
  <c r="R36" i="19"/>
  <c r="S36" i="19" s="1"/>
  <c r="T36" i="19" s="1"/>
  <c r="O46" i="19"/>
  <c r="P46" i="19" s="1"/>
  <c r="Q46" i="19" s="1"/>
  <c r="R48" i="19"/>
  <c r="S48" i="19" s="1"/>
  <c r="T48" i="19" s="1"/>
  <c r="O50" i="19"/>
  <c r="P50" i="19" s="1"/>
  <c r="Q50" i="19" s="1"/>
  <c r="O51" i="19"/>
  <c r="P51" i="19" s="1"/>
  <c r="Q51" i="19" s="1"/>
  <c r="O54" i="19"/>
  <c r="P54" i="19" s="1"/>
  <c r="Q54" i="19" s="1"/>
  <c r="I57" i="19"/>
  <c r="J57" i="19" s="1"/>
  <c r="K57" i="19" s="1"/>
  <c r="I58" i="19"/>
  <c r="J58" i="19" s="1"/>
  <c r="K58" i="19" s="1"/>
  <c r="C61" i="19"/>
  <c r="D61" i="19" s="1"/>
  <c r="E61" i="19" s="1"/>
  <c r="I61" i="19"/>
  <c r="J61" i="19" s="1"/>
  <c r="K61" i="19" s="1"/>
  <c r="O65" i="19"/>
  <c r="P65" i="19" s="1"/>
  <c r="Q65" i="19" s="1"/>
  <c r="I66" i="19"/>
  <c r="J66" i="19" s="1"/>
  <c r="K66" i="19" s="1"/>
  <c r="C67" i="19"/>
  <c r="D67" i="19" s="1"/>
  <c r="E67" i="19" s="1"/>
  <c r="C72" i="19"/>
  <c r="D72" i="19" s="1"/>
  <c r="E72" i="19" s="1"/>
  <c r="I73" i="19"/>
  <c r="J73" i="19" s="1"/>
  <c r="K73" i="19" s="1"/>
  <c r="O73" i="19"/>
  <c r="P73" i="19" s="1"/>
  <c r="Q73" i="19" s="1"/>
  <c r="I77" i="19"/>
  <c r="J77" i="19" s="1"/>
  <c r="K77" i="19" s="1"/>
  <c r="O77" i="19"/>
  <c r="P77" i="19" s="1"/>
  <c r="Q77" i="19" s="1"/>
  <c r="R78" i="19"/>
  <c r="S78" i="19" s="1"/>
  <c r="T78" i="19" s="1"/>
  <c r="I85" i="19"/>
  <c r="J85" i="19" s="1"/>
  <c r="O85" i="19"/>
  <c r="P85" i="19" s="1"/>
  <c r="I86" i="19"/>
  <c r="J86" i="19" s="1"/>
  <c r="K86" i="19" s="1"/>
  <c r="O87" i="19"/>
  <c r="P87" i="19" s="1"/>
  <c r="Q87" i="19" s="1"/>
  <c r="O88" i="19"/>
  <c r="P88" i="19" s="1"/>
  <c r="Q88" i="19" s="1"/>
  <c r="I89" i="19"/>
  <c r="J89" i="19" s="1"/>
  <c r="K89" i="19" s="1"/>
  <c r="O89" i="19"/>
  <c r="P89" i="19" s="1"/>
  <c r="Q89" i="19" s="1"/>
  <c r="I90" i="19"/>
  <c r="J90" i="19" s="1"/>
  <c r="K90" i="19" s="1"/>
  <c r="R91" i="19"/>
  <c r="S91" i="19" s="1"/>
  <c r="T91" i="19" s="1"/>
  <c r="C95" i="19"/>
  <c r="D95" i="19" s="1"/>
  <c r="E95" i="19" s="1"/>
  <c r="R95" i="19"/>
  <c r="S95" i="19" s="1"/>
  <c r="T95" i="19" s="1"/>
  <c r="I98" i="19"/>
  <c r="J98" i="19" s="1"/>
  <c r="K98" i="19" s="1"/>
  <c r="R99" i="19"/>
  <c r="S99" i="19" s="1"/>
  <c r="T99" i="19" s="1"/>
  <c r="I102" i="19"/>
  <c r="J102" i="19" s="1"/>
  <c r="K102" i="19" s="1"/>
  <c r="C105" i="19"/>
  <c r="D105" i="19" s="1"/>
  <c r="E105" i="19" s="1"/>
  <c r="O108" i="19"/>
  <c r="P108" i="19" s="1"/>
  <c r="Q108" i="19" s="1"/>
  <c r="C110" i="19"/>
  <c r="D110" i="19" s="1"/>
  <c r="E110" i="19" s="1"/>
  <c r="O113" i="19"/>
  <c r="P113" i="19" s="1"/>
  <c r="Q113" i="19" s="1"/>
  <c r="O114" i="19"/>
  <c r="P114" i="19" s="1"/>
  <c r="Q114" i="19" s="1"/>
  <c r="I119" i="19"/>
  <c r="J119" i="19" s="1"/>
  <c r="K119" i="19" s="1"/>
  <c r="O124" i="19"/>
  <c r="P124" i="19" s="1"/>
  <c r="Q124" i="19" s="1"/>
  <c r="C128" i="19"/>
  <c r="D128" i="19" s="1"/>
  <c r="E128" i="19" s="1"/>
  <c r="O130" i="19"/>
  <c r="P130" i="19" s="1"/>
  <c r="Q130" i="19" s="1"/>
  <c r="O136" i="19"/>
  <c r="P136" i="19" s="1"/>
  <c r="Q136" i="19" s="1"/>
  <c r="C138" i="19"/>
  <c r="D138" i="19" s="1"/>
  <c r="E138" i="19" s="1"/>
  <c r="O155" i="19"/>
  <c r="P155" i="19" s="1"/>
  <c r="Q155" i="19" s="1"/>
  <c r="I157" i="19"/>
  <c r="J157" i="19" s="1"/>
  <c r="K157" i="19" s="1"/>
  <c r="O158" i="19"/>
  <c r="P158" i="19" s="1"/>
  <c r="Q158" i="19" s="1"/>
  <c r="I177" i="19"/>
  <c r="J177" i="19" s="1"/>
  <c r="K177" i="19" s="1"/>
  <c r="C190" i="19"/>
  <c r="D190" i="19" s="1"/>
  <c r="E190" i="19" s="1"/>
  <c r="C220" i="19"/>
  <c r="D220" i="19" s="1"/>
  <c r="E220" i="19" s="1"/>
  <c r="I251" i="19"/>
  <c r="J251" i="19" s="1"/>
  <c r="I247" i="19"/>
  <c r="J247" i="19" s="1"/>
  <c r="K247" i="19" s="1"/>
  <c r="I243" i="19"/>
  <c r="J243" i="19" s="1"/>
  <c r="K243" i="19" s="1"/>
  <c r="I239" i="19"/>
  <c r="J239" i="19" s="1"/>
  <c r="K239" i="19" s="1"/>
  <c r="I234" i="19"/>
  <c r="J234" i="19" s="1"/>
  <c r="K234" i="19" s="1"/>
  <c r="I230" i="19"/>
  <c r="J230" i="19" s="1"/>
  <c r="K230" i="19" s="1"/>
  <c r="I226" i="19"/>
  <c r="J226" i="19" s="1"/>
  <c r="K226" i="19" s="1"/>
  <c r="I222" i="19"/>
  <c r="J222" i="19" s="1"/>
  <c r="K222" i="19" s="1"/>
  <c r="I220" i="19"/>
  <c r="J220" i="19" s="1"/>
  <c r="K220" i="19" s="1"/>
  <c r="I216" i="19"/>
  <c r="J216" i="19" s="1"/>
  <c r="K216" i="19" s="1"/>
  <c r="I212" i="19"/>
  <c r="J212" i="19" s="1"/>
  <c r="K212" i="19" s="1"/>
  <c r="I210" i="19"/>
  <c r="J210" i="19" s="1"/>
  <c r="K210" i="19" s="1"/>
  <c r="I248" i="19"/>
  <c r="J248" i="19" s="1"/>
  <c r="K248" i="19" s="1"/>
  <c r="I245" i="19"/>
  <c r="J245" i="19" s="1"/>
  <c r="K245" i="19" s="1"/>
  <c r="I241" i="19"/>
  <c r="J241" i="19" s="1"/>
  <c r="K241" i="19" s="1"/>
  <c r="I237" i="19"/>
  <c r="J237" i="19" s="1"/>
  <c r="K237" i="19" s="1"/>
  <c r="I235" i="19"/>
  <c r="J235" i="19" s="1"/>
  <c r="K235" i="19" s="1"/>
  <c r="I232" i="19"/>
  <c r="J232" i="19" s="1"/>
  <c r="K232" i="19" s="1"/>
  <c r="I229" i="19"/>
  <c r="J229" i="19" s="1"/>
  <c r="K229" i="19" s="1"/>
  <c r="I227" i="19"/>
  <c r="J227" i="19" s="1"/>
  <c r="K227" i="19" s="1"/>
  <c r="I224" i="19"/>
  <c r="J224" i="19" s="1"/>
  <c r="K224" i="19" s="1"/>
  <c r="I223" i="19"/>
  <c r="J223" i="19" s="1"/>
  <c r="K223" i="19" s="1"/>
  <c r="I246" i="19"/>
  <c r="J246" i="19" s="1"/>
  <c r="K246" i="19" s="1"/>
  <c r="I244" i="19"/>
  <c r="J244" i="19" s="1"/>
  <c r="K244" i="19" s="1"/>
  <c r="I242" i="19"/>
  <c r="J242" i="19" s="1"/>
  <c r="K242" i="19" s="1"/>
  <c r="I233" i="19"/>
  <c r="J233" i="19" s="1"/>
  <c r="K233" i="19" s="1"/>
  <c r="I219" i="19"/>
  <c r="J219" i="19" s="1"/>
  <c r="K219" i="19" s="1"/>
  <c r="I217" i="19"/>
  <c r="J217" i="19" s="1"/>
  <c r="K217" i="19" s="1"/>
  <c r="I214" i="19"/>
  <c r="J214" i="19" s="1"/>
  <c r="K214" i="19" s="1"/>
  <c r="I211" i="19"/>
  <c r="J211" i="19" s="1"/>
  <c r="K211" i="19" s="1"/>
  <c r="I206" i="19"/>
  <c r="J206" i="19" s="1"/>
  <c r="I202" i="19"/>
  <c r="J202" i="19" s="1"/>
  <c r="K202" i="19" s="1"/>
  <c r="I198" i="19"/>
  <c r="J198" i="19" s="1"/>
  <c r="K198" i="19" s="1"/>
  <c r="I240" i="19"/>
  <c r="J240" i="19" s="1"/>
  <c r="K240" i="19" s="1"/>
  <c r="I236" i="19"/>
  <c r="J236" i="19" s="1"/>
  <c r="I231" i="19"/>
  <c r="J231" i="19" s="1"/>
  <c r="K231" i="19" s="1"/>
  <c r="I225" i="19"/>
  <c r="J225" i="19" s="1"/>
  <c r="K225" i="19" s="1"/>
  <c r="I215" i="19"/>
  <c r="J215" i="19" s="1"/>
  <c r="K215" i="19" s="1"/>
  <c r="I238" i="19"/>
  <c r="J238" i="19" s="1"/>
  <c r="K238" i="19" s="1"/>
  <c r="I213" i="19"/>
  <c r="J213" i="19" s="1"/>
  <c r="K213" i="19" s="1"/>
  <c r="I209" i="19"/>
  <c r="J209" i="19" s="1"/>
  <c r="K209" i="19" s="1"/>
  <c r="I192" i="19"/>
  <c r="J192" i="19" s="1"/>
  <c r="K192" i="19" s="1"/>
  <c r="I190" i="19"/>
  <c r="J190" i="19" s="1"/>
  <c r="K190" i="19" s="1"/>
  <c r="I186" i="19"/>
  <c r="J186" i="19" s="1"/>
  <c r="K186" i="19" s="1"/>
  <c r="I182" i="19"/>
  <c r="J182" i="19" s="1"/>
  <c r="K182" i="19" s="1"/>
  <c r="I180" i="19"/>
  <c r="J180" i="19" s="1"/>
  <c r="K180" i="19" s="1"/>
  <c r="I176" i="19"/>
  <c r="J176" i="19" s="1"/>
  <c r="I172" i="19"/>
  <c r="J172" i="19" s="1"/>
  <c r="K172" i="19" s="1"/>
  <c r="I168" i="19"/>
  <c r="J168" i="19" s="1"/>
  <c r="K168" i="19" s="1"/>
  <c r="I164" i="19"/>
  <c r="J164" i="19" s="1"/>
  <c r="K164" i="19" s="1"/>
  <c r="I158" i="19"/>
  <c r="J158" i="19" s="1"/>
  <c r="K158" i="19" s="1"/>
  <c r="I154" i="19"/>
  <c r="J154" i="19" s="1"/>
  <c r="K154" i="19" s="1"/>
  <c r="I148" i="19"/>
  <c r="J148" i="19" s="1"/>
  <c r="K148" i="19" s="1"/>
  <c r="I144" i="19"/>
  <c r="J144" i="19" s="1"/>
  <c r="K144" i="19" s="1"/>
  <c r="I249" i="19"/>
  <c r="J249" i="19" s="1"/>
  <c r="K249" i="19" s="1"/>
  <c r="I228" i="19"/>
  <c r="J228" i="19" s="1"/>
  <c r="K228" i="19" s="1"/>
  <c r="I221" i="19"/>
  <c r="J221" i="19" s="1"/>
  <c r="I218" i="19"/>
  <c r="J218" i="19" s="1"/>
  <c r="K218" i="19" s="1"/>
  <c r="I208" i="19"/>
  <c r="J208" i="19" s="1"/>
  <c r="K208" i="19" s="1"/>
  <c r="I207" i="19"/>
  <c r="J207" i="19" s="1"/>
  <c r="K207" i="19" s="1"/>
  <c r="I205" i="19"/>
  <c r="J205" i="19" s="1"/>
  <c r="K205" i="19" s="1"/>
  <c r="I203" i="19"/>
  <c r="J203" i="19" s="1"/>
  <c r="K203" i="19" s="1"/>
  <c r="I200" i="19"/>
  <c r="J200" i="19" s="1"/>
  <c r="K200" i="19" s="1"/>
  <c r="I197" i="19"/>
  <c r="J197" i="19" s="1"/>
  <c r="K197" i="19" s="1"/>
  <c r="I195" i="19"/>
  <c r="J195" i="19" s="1"/>
  <c r="K195" i="19" s="1"/>
  <c r="I191" i="19"/>
  <c r="J191" i="19" s="1"/>
  <c r="I187" i="19"/>
  <c r="J187" i="19" s="1"/>
  <c r="K187" i="19" s="1"/>
  <c r="I183" i="19"/>
  <c r="J183" i="19" s="1"/>
  <c r="K183" i="19" s="1"/>
  <c r="I179" i="19"/>
  <c r="J179" i="19" s="1"/>
  <c r="K179" i="19" s="1"/>
  <c r="I173" i="19"/>
  <c r="J173" i="19" s="1"/>
  <c r="K173" i="19" s="1"/>
  <c r="I169" i="19"/>
  <c r="J169" i="19" s="1"/>
  <c r="K169" i="19" s="1"/>
  <c r="I163" i="19"/>
  <c r="J163" i="19" s="1"/>
  <c r="K163" i="19" s="1"/>
  <c r="I159" i="19"/>
  <c r="J159" i="19" s="1"/>
  <c r="K159" i="19" s="1"/>
  <c r="I155" i="19"/>
  <c r="J155" i="19" s="1"/>
  <c r="K155" i="19" s="1"/>
  <c r="I151" i="19"/>
  <c r="J151" i="19" s="1"/>
  <c r="K151" i="19" s="1"/>
  <c r="I147" i="19"/>
  <c r="J147" i="19" s="1"/>
  <c r="K147" i="19" s="1"/>
  <c r="I145" i="19"/>
  <c r="J145" i="19" s="1"/>
  <c r="K145" i="19" s="1"/>
  <c r="I201" i="19"/>
  <c r="J201" i="19" s="1"/>
  <c r="K201" i="19" s="1"/>
  <c r="I194" i="19"/>
  <c r="J194" i="19" s="1"/>
  <c r="K194" i="19" s="1"/>
  <c r="I193" i="19"/>
  <c r="J193" i="19" s="1"/>
  <c r="K193" i="19" s="1"/>
  <c r="I143" i="19"/>
  <c r="J143" i="19" s="1"/>
  <c r="K143" i="19" s="1"/>
  <c r="I139" i="19"/>
  <c r="J139" i="19" s="1"/>
  <c r="K139" i="19" s="1"/>
  <c r="I133" i="19"/>
  <c r="J133" i="19" s="1"/>
  <c r="K133" i="19" s="1"/>
  <c r="I127" i="19"/>
  <c r="J127" i="19" s="1"/>
  <c r="K127" i="19" s="1"/>
  <c r="I123" i="19"/>
  <c r="J123" i="19" s="1"/>
  <c r="K123" i="19" s="1"/>
  <c r="I117" i="19"/>
  <c r="J117" i="19" s="1"/>
  <c r="K117" i="19" s="1"/>
  <c r="I113" i="19"/>
  <c r="J113" i="19" s="1"/>
  <c r="K113" i="19" s="1"/>
  <c r="I109" i="19"/>
  <c r="J109" i="19" s="1"/>
  <c r="K109" i="19" s="1"/>
  <c r="I105" i="19"/>
  <c r="J105" i="19" s="1"/>
  <c r="K105" i="19" s="1"/>
  <c r="I199" i="19"/>
  <c r="J199" i="19" s="1"/>
  <c r="K199" i="19" s="1"/>
  <c r="I181" i="19"/>
  <c r="J181" i="19" s="1"/>
  <c r="K181" i="19" s="1"/>
  <c r="I167" i="19"/>
  <c r="J167" i="19" s="1"/>
  <c r="K167" i="19" s="1"/>
  <c r="I166" i="19"/>
  <c r="J166" i="19" s="1"/>
  <c r="K166" i="19" s="1"/>
  <c r="I152" i="19"/>
  <c r="J152" i="19" s="1"/>
  <c r="K152" i="19" s="1"/>
  <c r="I150" i="19"/>
  <c r="J150" i="19" s="1"/>
  <c r="K150" i="19" s="1"/>
  <c r="I140" i="19"/>
  <c r="J140" i="19" s="1"/>
  <c r="K140" i="19" s="1"/>
  <c r="I137" i="19"/>
  <c r="J137" i="19" s="1"/>
  <c r="K137" i="19" s="1"/>
  <c r="I131" i="19"/>
  <c r="J131" i="19" s="1"/>
  <c r="I130" i="19"/>
  <c r="J130" i="19" s="1"/>
  <c r="K130" i="19" s="1"/>
  <c r="I128" i="19"/>
  <c r="J128" i="19" s="1"/>
  <c r="K128" i="19" s="1"/>
  <c r="I125" i="19"/>
  <c r="J125" i="19" s="1"/>
  <c r="K125" i="19" s="1"/>
  <c r="I122" i="19"/>
  <c r="J122" i="19" s="1"/>
  <c r="K122" i="19" s="1"/>
  <c r="I120" i="19"/>
  <c r="J120" i="19" s="1"/>
  <c r="K120" i="19" s="1"/>
  <c r="I116" i="19"/>
  <c r="J116" i="19" s="1"/>
  <c r="K116" i="19" s="1"/>
  <c r="I100" i="19"/>
  <c r="J100" i="19" s="1"/>
  <c r="I96" i="19"/>
  <c r="J96" i="19" s="1"/>
  <c r="K96" i="19" s="1"/>
  <c r="I92" i="19"/>
  <c r="J92" i="19" s="1"/>
  <c r="K92" i="19" s="1"/>
  <c r="I88" i="19"/>
  <c r="J88" i="19" s="1"/>
  <c r="K88" i="19" s="1"/>
  <c r="I82" i="19"/>
  <c r="J82" i="19" s="1"/>
  <c r="K82" i="19" s="1"/>
  <c r="I78" i="19"/>
  <c r="J78" i="19" s="1"/>
  <c r="K78" i="19" s="1"/>
  <c r="I72" i="19"/>
  <c r="J72" i="19" s="1"/>
  <c r="K72" i="19" s="1"/>
  <c r="I68" i="19"/>
  <c r="J68" i="19" s="1"/>
  <c r="K68" i="19" s="1"/>
  <c r="I64" i="19"/>
  <c r="J64" i="19" s="1"/>
  <c r="K64" i="19" s="1"/>
  <c r="I60" i="19"/>
  <c r="J60" i="19" s="1"/>
  <c r="K60" i="19" s="1"/>
  <c r="I56" i="19"/>
  <c r="J56" i="19" s="1"/>
  <c r="K56" i="19" s="1"/>
  <c r="I54" i="19"/>
  <c r="J54" i="19" s="1"/>
  <c r="K54" i="19" s="1"/>
  <c r="I50" i="19"/>
  <c r="J50" i="19" s="1"/>
  <c r="K50" i="19" s="1"/>
  <c r="I46" i="19"/>
  <c r="J46" i="19" s="1"/>
  <c r="K46" i="19" s="1"/>
  <c r="I44" i="19"/>
  <c r="J44" i="19" s="1"/>
  <c r="K44" i="19" s="1"/>
  <c r="I40" i="19"/>
  <c r="J40" i="19" s="1"/>
  <c r="I36" i="19"/>
  <c r="J36" i="19" s="1"/>
  <c r="K36" i="19" s="1"/>
  <c r="I32" i="19"/>
  <c r="J32" i="19" s="1"/>
  <c r="K32" i="19" s="1"/>
  <c r="I28" i="19"/>
  <c r="J28" i="19" s="1"/>
  <c r="K28" i="19" s="1"/>
  <c r="I22" i="19"/>
  <c r="J22" i="19" s="1"/>
  <c r="K22" i="19" s="1"/>
  <c r="I18" i="19"/>
  <c r="J18" i="19" s="1"/>
  <c r="K18" i="19" s="1"/>
  <c r="I12" i="19"/>
  <c r="J12" i="19" s="1"/>
  <c r="K12" i="19" s="1"/>
  <c r="I250" i="19"/>
  <c r="J250" i="19" s="1"/>
  <c r="K250" i="19" s="1"/>
  <c r="I204" i="19"/>
  <c r="J204" i="19" s="1"/>
  <c r="K204" i="19" s="1"/>
  <c r="I174" i="19"/>
  <c r="J174" i="19" s="1"/>
  <c r="K174" i="19" s="1"/>
  <c r="I170" i="19"/>
  <c r="J170" i="19" s="1"/>
  <c r="K170" i="19" s="1"/>
  <c r="I161" i="19"/>
  <c r="J161" i="19" s="1"/>
  <c r="I138" i="19"/>
  <c r="J138" i="19" s="1"/>
  <c r="K138" i="19" s="1"/>
  <c r="I134" i="19"/>
  <c r="J134" i="19" s="1"/>
  <c r="K134" i="19" s="1"/>
  <c r="I129" i="19"/>
  <c r="J129" i="19" s="1"/>
  <c r="K129" i="19" s="1"/>
  <c r="I121" i="19"/>
  <c r="J121" i="19" s="1"/>
  <c r="K121" i="19" s="1"/>
  <c r="I111" i="19"/>
  <c r="J111" i="19" s="1"/>
  <c r="K111" i="19" s="1"/>
  <c r="I106" i="19"/>
  <c r="J106" i="19" s="1"/>
  <c r="K106" i="19" s="1"/>
  <c r="I104" i="19"/>
  <c r="J104" i="19" s="1"/>
  <c r="K104" i="19" s="1"/>
  <c r="I99" i="19"/>
  <c r="J99" i="19" s="1"/>
  <c r="K99" i="19" s="1"/>
  <c r="I97" i="19"/>
  <c r="J97" i="19" s="1"/>
  <c r="K97" i="19" s="1"/>
  <c r="I94" i="19"/>
  <c r="J94" i="19" s="1"/>
  <c r="K94" i="19" s="1"/>
  <c r="I91" i="19"/>
  <c r="J91" i="19" s="1"/>
  <c r="K91" i="19" s="1"/>
  <c r="I84" i="19"/>
  <c r="J84" i="19" s="1"/>
  <c r="K84" i="19" s="1"/>
  <c r="I81" i="19"/>
  <c r="J81" i="19" s="1"/>
  <c r="K81" i="19" s="1"/>
  <c r="I79" i="19"/>
  <c r="J79" i="19" s="1"/>
  <c r="K79" i="19" s="1"/>
  <c r="I76" i="19"/>
  <c r="J76" i="19" s="1"/>
  <c r="K76" i="19" s="1"/>
  <c r="I59" i="19"/>
  <c r="J59" i="19" s="1"/>
  <c r="K59" i="19" s="1"/>
  <c r="I55" i="19"/>
  <c r="J55" i="19" s="1"/>
  <c r="I52" i="19"/>
  <c r="J52" i="19" s="1"/>
  <c r="K52" i="19" s="1"/>
  <c r="I49" i="19"/>
  <c r="J49" i="19" s="1"/>
  <c r="K49" i="19" s="1"/>
  <c r="I47" i="19"/>
  <c r="J47" i="19" s="1"/>
  <c r="K47" i="19" s="1"/>
  <c r="I39" i="19"/>
  <c r="J39" i="19" s="1"/>
  <c r="K39" i="19" s="1"/>
  <c r="I37" i="19"/>
  <c r="J37" i="19" s="1"/>
  <c r="K37" i="19" s="1"/>
  <c r="I34" i="19"/>
  <c r="J34" i="19" s="1"/>
  <c r="K34" i="19" s="1"/>
  <c r="I31" i="19"/>
  <c r="J31" i="19" s="1"/>
  <c r="K31" i="19" s="1"/>
  <c r="I24" i="19"/>
  <c r="J24" i="19" s="1"/>
  <c r="K24" i="19" s="1"/>
  <c r="I21" i="19"/>
  <c r="J21" i="19" s="1"/>
  <c r="K21" i="19" s="1"/>
  <c r="I19" i="19"/>
  <c r="J19" i="19" s="1"/>
  <c r="K19" i="19" s="1"/>
  <c r="I16" i="19"/>
  <c r="J16" i="19" s="1"/>
  <c r="K16" i="19" s="1"/>
  <c r="I188" i="19"/>
  <c r="J188" i="19" s="1"/>
  <c r="K188" i="19" s="1"/>
  <c r="I184" i="19"/>
  <c r="J184" i="19" s="1"/>
  <c r="K184" i="19" s="1"/>
  <c r="I171" i="19"/>
  <c r="J171" i="19" s="1"/>
  <c r="K171" i="19" s="1"/>
  <c r="I165" i="19"/>
  <c r="J165" i="19" s="1"/>
  <c r="K165" i="19" s="1"/>
  <c r="I162" i="19"/>
  <c r="J162" i="19" s="1"/>
  <c r="K162" i="19" s="1"/>
  <c r="I160" i="19"/>
  <c r="J160" i="19" s="1"/>
  <c r="K160" i="19" s="1"/>
  <c r="I156" i="19"/>
  <c r="J156" i="19" s="1"/>
  <c r="K156" i="19" s="1"/>
  <c r="I142" i="19"/>
  <c r="J142" i="19" s="1"/>
  <c r="K142" i="19" s="1"/>
  <c r="I136" i="19"/>
  <c r="J136" i="19" s="1"/>
  <c r="K136" i="19" s="1"/>
  <c r="I132" i="19"/>
  <c r="J132" i="19" s="1"/>
  <c r="K132" i="19" s="1"/>
  <c r="I126" i="19"/>
  <c r="J126" i="19" s="1"/>
  <c r="K126" i="19" s="1"/>
  <c r="I14" i="19"/>
  <c r="J14" i="19" s="1"/>
  <c r="K14" i="19" s="1"/>
  <c r="O40" i="19"/>
  <c r="P40" i="19" s="1"/>
  <c r="I41" i="19"/>
  <c r="J41" i="19" s="1"/>
  <c r="K41" i="19" s="1"/>
  <c r="O41" i="19"/>
  <c r="P41" i="19" s="1"/>
  <c r="Q41" i="19" s="1"/>
  <c r="I42" i="19"/>
  <c r="J42" i="19" s="1"/>
  <c r="K42" i="19" s="1"/>
  <c r="O44" i="19"/>
  <c r="P44" i="19" s="1"/>
  <c r="Q44" i="19" s="1"/>
  <c r="O45" i="19"/>
  <c r="P45" i="19" s="1"/>
  <c r="Q45" i="19" s="1"/>
  <c r="O53" i="19"/>
  <c r="P53" i="19" s="1"/>
  <c r="Q53" i="19" s="1"/>
  <c r="I103" i="19"/>
  <c r="J103" i="19" s="1"/>
  <c r="K103" i="19" s="1"/>
  <c r="I114" i="19"/>
  <c r="J114" i="19" s="1"/>
  <c r="K114" i="19" s="1"/>
  <c r="I115" i="19"/>
  <c r="J115" i="19" s="1"/>
  <c r="R248" i="19"/>
  <c r="S248" i="19" s="1"/>
  <c r="T248" i="19" s="1"/>
  <c r="R244" i="19"/>
  <c r="S244" i="19" s="1"/>
  <c r="T244" i="19" s="1"/>
  <c r="R238" i="19"/>
  <c r="S238" i="19" s="1"/>
  <c r="T238" i="19" s="1"/>
  <c r="R234" i="19"/>
  <c r="S234" i="19" s="1"/>
  <c r="T234" i="19" s="1"/>
  <c r="R249" i="19"/>
  <c r="S249" i="19" s="1"/>
  <c r="T249" i="19" s="1"/>
  <c r="R246" i="19"/>
  <c r="S246" i="19" s="1"/>
  <c r="T246" i="19" s="1"/>
  <c r="R243" i="19"/>
  <c r="S243" i="19" s="1"/>
  <c r="T243" i="19" s="1"/>
  <c r="R241" i="19"/>
  <c r="S241" i="19" s="1"/>
  <c r="T241" i="19" s="1"/>
  <c r="R240" i="19"/>
  <c r="S240" i="19" s="1"/>
  <c r="T240" i="19" s="1"/>
  <c r="R239" i="19"/>
  <c r="S239" i="19" s="1"/>
  <c r="T239" i="19" s="1"/>
  <c r="R237" i="19"/>
  <c r="S237" i="19" s="1"/>
  <c r="T237" i="19" s="1"/>
  <c r="R236" i="19"/>
  <c r="S236" i="19" s="1"/>
  <c r="T236" i="19" s="1"/>
  <c r="R231" i="19"/>
  <c r="S231" i="19" s="1"/>
  <c r="T231" i="19" s="1"/>
  <c r="R227" i="19"/>
  <c r="S227" i="19" s="1"/>
  <c r="T227" i="19" s="1"/>
  <c r="R225" i="19"/>
  <c r="S225" i="19" s="1"/>
  <c r="T225" i="19" s="1"/>
  <c r="R221" i="19"/>
  <c r="S221" i="19" s="1"/>
  <c r="T221" i="19" s="1"/>
  <c r="R217" i="19"/>
  <c r="S217" i="19" s="1"/>
  <c r="T217" i="19" s="1"/>
  <c r="R213" i="19"/>
  <c r="S213" i="19" s="1"/>
  <c r="T213" i="19" s="1"/>
  <c r="R209" i="19"/>
  <c r="S209" i="19" s="1"/>
  <c r="T209" i="19" s="1"/>
  <c r="R251" i="19"/>
  <c r="S251" i="19" s="1"/>
  <c r="T251" i="19" s="1"/>
  <c r="R242" i="19"/>
  <c r="S242" i="19" s="1"/>
  <c r="T242" i="19" s="1"/>
  <c r="R250" i="19"/>
  <c r="S250" i="19" s="1"/>
  <c r="T250" i="19" s="1"/>
  <c r="R247" i="19"/>
  <c r="S247" i="19" s="1"/>
  <c r="T247" i="19" s="1"/>
  <c r="R235" i="19"/>
  <c r="S235" i="19" s="1"/>
  <c r="T235" i="19" s="1"/>
  <c r="R226" i="19"/>
  <c r="S226" i="19" s="1"/>
  <c r="T226" i="19" s="1"/>
  <c r="R224" i="19"/>
  <c r="S224" i="19" s="1"/>
  <c r="T224" i="19" s="1"/>
  <c r="R223" i="19"/>
  <c r="S223" i="19" s="1"/>
  <c r="T223" i="19" s="1"/>
  <c r="R222" i="19"/>
  <c r="S222" i="19" s="1"/>
  <c r="T222" i="19" s="1"/>
  <c r="R203" i="19"/>
  <c r="S203" i="19" s="1"/>
  <c r="T203" i="19" s="1"/>
  <c r="R199" i="19"/>
  <c r="S199" i="19" s="1"/>
  <c r="T199" i="19" s="1"/>
  <c r="R230" i="19"/>
  <c r="S230" i="19" s="1"/>
  <c r="T230" i="19" s="1"/>
  <c r="R229" i="19"/>
  <c r="S229" i="19" s="1"/>
  <c r="T229" i="19" s="1"/>
  <c r="R218" i="19"/>
  <c r="S218" i="19" s="1"/>
  <c r="T218" i="19" s="1"/>
  <c r="R233" i="19"/>
  <c r="S233" i="19" s="1"/>
  <c r="T233" i="19" s="1"/>
  <c r="R232" i="19"/>
  <c r="S232" i="19" s="1"/>
  <c r="T232" i="19" s="1"/>
  <c r="R216" i="19"/>
  <c r="S216" i="19" s="1"/>
  <c r="T216" i="19" s="1"/>
  <c r="R245" i="19"/>
  <c r="S245" i="19" s="1"/>
  <c r="T245" i="19" s="1"/>
  <c r="R228" i="19"/>
  <c r="S228" i="19" s="1"/>
  <c r="T228" i="19" s="1"/>
  <c r="R219" i="19"/>
  <c r="S219" i="19" s="1"/>
  <c r="T219" i="19" s="1"/>
  <c r="R215" i="19"/>
  <c r="S215" i="19" s="1"/>
  <c r="T215" i="19" s="1"/>
  <c r="R212" i="19"/>
  <c r="S212" i="19" s="1"/>
  <c r="T212" i="19" s="1"/>
  <c r="R211" i="19"/>
  <c r="S211" i="19" s="1"/>
  <c r="T211" i="19" s="1"/>
  <c r="R208" i="19"/>
  <c r="S208" i="19" s="1"/>
  <c r="T208" i="19" s="1"/>
  <c r="R207" i="19"/>
  <c r="S207" i="19" s="1"/>
  <c r="T207" i="19" s="1"/>
  <c r="R206" i="19"/>
  <c r="S206" i="19" s="1"/>
  <c r="T206" i="19" s="1"/>
  <c r="R204" i="19"/>
  <c r="S204" i="19" s="1"/>
  <c r="T204" i="19" s="1"/>
  <c r="R201" i="19"/>
  <c r="S201" i="19" s="1"/>
  <c r="T201" i="19" s="1"/>
  <c r="R198" i="19"/>
  <c r="S198" i="19" s="1"/>
  <c r="T198" i="19" s="1"/>
  <c r="R196" i="19"/>
  <c r="S196" i="19" s="1"/>
  <c r="T196" i="19" s="1"/>
  <c r="R195" i="19"/>
  <c r="S195" i="19" s="1"/>
  <c r="T195" i="19" s="1"/>
  <c r="R191" i="19"/>
  <c r="S191" i="19" s="1"/>
  <c r="T191" i="19" s="1"/>
  <c r="R187" i="19"/>
  <c r="S187" i="19" s="1"/>
  <c r="T187" i="19" s="1"/>
  <c r="R183" i="19"/>
  <c r="S183" i="19" s="1"/>
  <c r="T183" i="19" s="1"/>
  <c r="R179" i="19"/>
  <c r="S179" i="19" s="1"/>
  <c r="T179" i="19" s="1"/>
  <c r="R173" i="19"/>
  <c r="S173" i="19" s="1"/>
  <c r="T173" i="19" s="1"/>
  <c r="R169" i="19"/>
  <c r="S169" i="19" s="1"/>
  <c r="T169" i="19" s="1"/>
  <c r="R163" i="19"/>
  <c r="S163" i="19" s="1"/>
  <c r="T163" i="19" s="1"/>
  <c r="R159" i="19"/>
  <c r="S159" i="19" s="1"/>
  <c r="T159" i="19" s="1"/>
  <c r="R155" i="19"/>
  <c r="S155" i="19" s="1"/>
  <c r="T155" i="19" s="1"/>
  <c r="R151" i="19"/>
  <c r="S151" i="19" s="1"/>
  <c r="T151" i="19" s="1"/>
  <c r="R147" i="19"/>
  <c r="S147" i="19" s="1"/>
  <c r="T147" i="19" s="1"/>
  <c r="R145" i="19"/>
  <c r="S145" i="19" s="1"/>
  <c r="T145" i="19" s="1"/>
  <c r="R194" i="19"/>
  <c r="S194" i="19" s="1"/>
  <c r="T194" i="19" s="1"/>
  <c r="R188" i="19"/>
  <c r="S188" i="19" s="1"/>
  <c r="T188" i="19" s="1"/>
  <c r="R184" i="19"/>
  <c r="S184" i="19" s="1"/>
  <c r="T184" i="19" s="1"/>
  <c r="R178" i="19"/>
  <c r="S178" i="19" s="1"/>
  <c r="T178" i="19" s="1"/>
  <c r="R174" i="19"/>
  <c r="S174" i="19" s="1"/>
  <c r="T174" i="19" s="1"/>
  <c r="R170" i="19"/>
  <c r="S170" i="19" s="1"/>
  <c r="T170" i="19" s="1"/>
  <c r="R166" i="19"/>
  <c r="S166" i="19" s="1"/>
  <c r="T166" i="19" s="1"/>
  <c r="R162" i="19"/>
  <c r="S162" i="19" s="1"/>
  <c r="T162" i="19" s="1"/>
  <c r="R160" i="19"/>
  <c r="S160" i="19" s="1"/>
  <c r="T160" i="19" s="1"/>
  <c r="R156" i="19"/>
  <c r="S156" i="19" s="1"/>
  <c r="T156" i="19" s="1"/>
  <c r="R152" i="19"/>
  <c r="S152" i="19" s="1"/>
  <c r="T152" i="19" s="1"/>
  <c r="R150" i="19"/>
  <c r="S150" i="19" s="1"/>
  <c r="T150" i="19" s="1"/>
  <c r="R146" i="19"/>
  <c r="S146" i="19" s="1"/>
  <c r="T146" i="19" s="1"/>
  <c r="R142" i="19"/>
  <c r="S142" i="19" s="1"/>
  <c r="T142" i="19" s="1"/>
  <c r="R214" i="19"/>
  <c r="S214" i="19" s="1"/>
  <c r="T214" i="19" s="1"/>
  <c r="R200" i="19"/>
  <c r="S200" i="19" s="1"/>
  <c r="T200" i="19" s="1"/>
  <c r="R197" i="19"/>
  <c r="S197" i="19" s="1"/>
  <c r="T197" i="19" s="1"/>
  <c r="R189" i="19"/>
  <c r="S189" i="19" s="1"/>
  <c r="T189" i="19" s="1"/>
  <c r="R185" i="19"/>
  <c r="S185" i="19" s="1"/>
  <c r="T185" i="19" s="1"/>
  <c r="R181" i="19"/>
  <c r="S181" i="19" s="1"/>
  <c r="T181" i="19" s="1"/>
  <c r="R177" i="19"/>
  <c r="S177" i="19" s="1"/>
  <c r="T177" i="19" s="1"/>
  <c r="R175" i="19"/>
  <c r="S175" i="19" s="1"/>
  <c r="T175" i="19" s="1"/>
  <c r="R171" i="19"/>
  <c r="S171" i="19" s="1"/>
  <c r="T171" i="19" s="1"/>
  <c r="R167" i="19"/>
  <c r="S167" i="19" s="1"/>
  <c r="T167" i="19" s="1"/>
  <c r="R164" i="19"/>
  <c r="S164" i="19" s="1"/>
  <c r="T164" i="19" s="1"/>
  <c r="R158" i="19"/>
  <c r="S158" i="19" s="1"/>
  <c r="T158" i="19" s="1"/>
  <c r="R154" i="19"/>
  <c r="S154" i="19" s="1"/>
  <c r="T154" i="19" s="1"/>
  <c r="R149" i="19"/>
  <c r="S149" i="19" s="1"/>
  <c r="T149" i="19" s="1"/>
  <c r="R140" i="19"/>
  <c r="S140" i="19" s="1"/>
  <c r="T140" i="19" s="1"/>
  <c r="R136" i="19"/>
  <c r="S136" i="19" s="1"/>
  <c r="T136" i="19" s="1"/>
  <c r="R132" i="19"/>
  <c r="S132" i="19" s="1"/>
  <c r="T132" i="19" s="1"/>
  <c r="R128" i="19"/>
  <c r="S128" i="19" s="1"/>
  <c r="T128" i="19" s="1"/>
  <c r="R124" i="19"/>
  <c r="S124" i="19" s="1"/>
  <c r="T124" i="19" s="1"/>
  <c r="R120" i="19"/>
  <c r="S120" i="19" s="1"/>
  <c r="T120" i="19" s="1"/>
  <c r="R116" i="19"/>
  <c r="S116" i="19" s="1"/>
  <c r="T116" i="19" s="1"/>
  <c r="R114" i="19"/>
  <c r="S114" i="19" s="1"/>
  <c r="T114" i="19" s="1"/>
  <c r="R110" i="19"/>
  <c r="S110" i="19" s="1"/>
  <c r="T110" i="19" s="1"/>
  <c r="R106" i="19"/>
  <c r="S106" i="19" s="1"/>
  <c r="T106" i="19" s="1"/>
  <c r="R104" i="19"/>
  <c r="S104" i="19" s="1"/>
  <c r="T104" i="19" s="1"/>
  <c r="R205" i="19"/>
  <c r="S205" i="19" s="1"/>
  <c r="T205" i="19" s="1"/>
  <c r="R202" i="19"/>
  <c r="S202" i="19" s="1"/>
  <c r="T202" i="19" s="1"/>
  <c r="R193" i="19"/>
  <c r="S193" i="19" s="1"/>
  <c r="T193" i="19" s="1"/>
  <c r="R192" i="19"/>
  <c r="S192" i="19" s="1"/>
  <c r="T192" i="19" s="1"/>
  <c r="R190" i="19"/>
  <c r="S190" i="19" s="1"/>
  <c r="T190" i="19" s="1"/>
  <c r="R176" i="19"/>
  <c r="S176" i="19" s="1"/>
  <c r="T176" i="19" s="1"/>
  <c r="R144" i="19"/>
  <c r="S144" i="19" s="1"/>
  <c r="T144" i="19" s="1"/>
  <c r="R135" i="19"/>
  <c r="S135" i="19" s="1"/>
  <c r="T135" i="19" s="1"/>
  <c r="R134" i="19"/>
  <c r="S134" i="19" s="1"/>
  <c r="T134" i="19" s="1"/>
  <c r="R113" i="19"/>
  <c r="S113" i="19" s="1"/>
  <c r="T113" i="19" s="1"/>
  <c r="R111" i="19"/>
  <c r="S111" i="19" s="1"/>
  <c r="T111" i="19" s="1"/>
  <c r="R108" i="19"/>
  <c r="S108" i="19" s="1"/>
  <c r="T108" i="19" s="1"/>
  <c r="R105" i="19"/>
  <c r="S105" i="19" s="1"/>
  <c r="T105" i="19" s="1"/>
  <c r="R103" i="19"/>
  <c r="S103" i="19" s="1"/>
  <c r="T103" i="19" s="1"/>
  <c r="R102" i="19"/>
  <c r="S102" i="19" s="1"/>
  <c r="T102" i="19" s="1"/>
  <c r="R97" i="19"/>
  <c r="S97" i="19" s="1"/>
  <c r="T97" i="19" s="1"/>
  <c r="R93" i="19"/>
  <c r="S93" i="19" s="1"/>
  <c r="T93" i="19" s="1"/>
  <c r="R87" i="19"/>
  <c r="S87" i="19" s="1"/>
  <c r="T87" i="19" s="1"/>
  <c r="R83" i="19"/>
  <c r="S83" i="19" s="1"/>
  <c r="T83" i="19" s="1"/>
  <c r="R79" i="19"/>
  <c r="S79" i="19" s="1"/>
  <c r="T79" i="19" s="1"/>
  <c r="R75" i="19"/>
  <c r="S75" i="19" s="1"/>
  <c r="T75" i="19" s="1"/>
  <c r="R71" i="19"/>
  <c r="S71" i="19" s="1"/>
  <c r="T71" i="19" s="1"/>
  <c r="R69" i="19"/>
  <c r="S69" i="19" s="1"/>
  <c r="T69" i="19" s="1"/>
  <c r="R65" i="19"/>
  <c r="S65" i="19" s="1"/>
  <c r="T65" i="19" s="1"/>
  <c r="R61" i="19"/>
  <c r="S61" i="19" s="1"/>
  <c r="T61" i="19" s="1"/>
  <c r="R59" i="19"/>
  <c r="S59" i="19" s="1"/>
  <c r="T59" i="19" s="1"/>
  <c r="R55" i="19"/>
  <c r="S55" i="19" s="1"/>
  <c r="T55" i="19" s="1"/>
  <c r="R51" i="19"/>
  <c r="S51" i="19" s="1"/>
  <c r="T51" i="19" s="1"/>
  <c r="R47" i="19"/>
  <c r="S47" i="19" s="1"/>
  <c r="T47" i="19" s="1"/>
  <c r="R43" i="19"/>
  <c r="S43" i="19" s="1"/>
  <c r="T43" i="19" s="1"/>
  <c r="R37" i="19"/>
  <c r="S37" i="19" s="1"/>
  <c r="T37" i="19" s="1"/>
  <c r="R33" i="19"/>
  <c r="S33" i="19" s="1"/>
  <c r="T33" i="19" s="1"/>
  <c r="R27" i="19"/>
  <c r="S27" i="19" s="1"/>
  <c r="T27" i="19" s="1"/>
  <c r="R23" i="19"/>
  <c r="S23" i="19" s="1"/>
  <c r="T23" i="19" s="1"/>
  <c r="R19" i="19"/>
  <c r="S19" i="19" s="1"/>
  <c r="T19" i="19" s="1"/>
  <c r="R15" i="19"/>
  <c r="S15" i="19" s="1"/>
  <c r="T15" i="19" s="1"/>
  <c r="R11" i="19"/>
  <c r="S11" i="19" s="1"/>
  <c r="T11" i="19" s="1"/>
  <c r="R210" i="19"/>
  <c r="S210" i="19" s="1"/>
  <c r="T210" i="19" s="1"/>
  <c r="R168" i="19"/>
  <c r="S168" i="19" s="1"/>
  <c r="T168" i="19" s="1"/>
  <c r="R157" i="19"/>
  <c r="S157" i="19" s="1"/>
  <c r="T157" i="19" s="1"/>
  <c r="R148" i="19"/>
  <c r="S148" i="19" s="1"/>
  <c r="T148" i="19" s="1"/>
  <c r="R139" i="19"/>
  <c r="S139" i="19" s="1"/>
  <c r="T139" i="19" s="1"/>
  <c r="R133" i="19"/>
  <c r="S133" i="19" s="1"/>
  <c r="T133" i="19" s="1"/>
  <c r="R131" i="19"/>
  <c r="S131" i="19" s="1"/>
  <c r="T131" i="19" s="1"/>
  <c r="R130" i="19"/>
  <c r="S130" i="19" s="1"/>
  <c r="T130" i="19" s="1"/>
  <c r="R126" i="19"/>
  <c r="S126" i="19" s="1"/>
  <c r="T126" i="19" s="1"/>
  <c r="R122" i="19"/>
  <c r="S122" i="19" s="1"/>
  <c r="T122" i="19" s="1"/>
  <c r="R112" i="19"/>
  <c r="S112" i="19" s="1"/>
  <c r="T112" i="19" s="1"/>
  <c r="R107" i="19"/>
  <c r="S107" i="19" s="1"/>
  <c r="T107" i="19" s="1"/>
  <c r="R74" i="19"/>
  <c r="S74" i="19" s="1"/>
  <c r="T74" i="19" s="1"/>
  <c r="R73" i="19"/>
  <c r="S73" i="19" s="1"/>
  <c r="T73" i="19" s="1"/>
  <c r="R72" i="19"/>
  <c r="S72" i="19" s="1"/>
  <c r="T72" i="19" s="1"/>
  <c r="R70" i="19"/>
  <c r="S70" i="19" s="1"/>
  <c r="T70" i="19" s="1"/>
  <c r="R67" i="19"/>
  <c r="S67" i="19" s="1"/>
  <c r="T67" i="19" s="1"/>
  <c r="R64" i="19"/>
  <c r="S64" i="19" s="1"/>
  <c r="T64" i="19" s="1"/>
  <c r="R62" i="19"/>
  <c r="S62" i="19" s="1"/>
  <c r="T62" i="19" s="1"/>
  <c r="R14" i="19"/>
  <c r="S14" i="19" s="1"/>
  <c r="T14" i="19" s="1"/>
  <c r="R13" i="19"/>
  <c r="S13" i="19" s="1"/>
  <c r="T13" i="19" s="1"/>
  <c r="R12" i="19"/>
  <c r="S12" i="19" s="1"/>
  <c r="T12" i="19" s="1"/>
  <c r="R10" i="19"/>
  <c r="S10" i="19" s="1"/>
  <c r="T10" i="19" s="1"/>
  <c r="R220" i="19"/>
  <c r="S220" i="19" s="1"/>
  <c r="T220" i="19" s="1"/>
  <c r="R182" i="19"/>
  <c r="S182" i="19" s="1"/>
  <c r="T182" i="19" s="1"/>
  <c r="R161" i="19"/>
  <c r="S161" i="19" s="1"/>
  <c r="T161" i="19" s="1"/>
  <c r="R137" i="19"/>
  <c r="S137" i="19" s="1"/>
  <c r="T137" i="19" s="1"/>
  <c r="R127" i="19"/>
  <c r="S127" i="19" s="1"/>
  <c r="T127" i="19" s="1"/>
  <c r="R20" i="19"/>
  <c r="S20" i="19" s="1"/>
  <c r="T20" i="19" s="1"/>
  <c r="R34" i="19"/>
  <c r="S34" i="19" s="1"/>
  <c r="T34" i="19" s="1"/>
  <c r="R40" i="19"/>
  <c r="S40" i="19" s="1"/>
  <c r="T40" i="19" s="1"/>
  <c r="R41" i="19"/>
  <c r="S41" i="19" s="1"/>
  <c r="T41" i="19" s="1"/>
  <c r="R42" i="19"/>
  <c r="S42" i="19" s="1"/>
  <c r="T42" i="19" s="1"/>
  <c r="I43" i="19"/>
  <c r="J43" i="19" s="1"/>
  <c r="K43" i="19" s="1"/>
  <c r="R44" i="19"/>
  <c r="S44" i="19" s="1"/>
  <c r="T44" i="19" s="1"/>
  <c r="R45" i="19"/>
  <c r="S45" i="19" s="1"/>
  <c r="T45" i="19" s="1"/>
  <c r="I48" i="19"/>
  <c r="J48" i="19" s="1"/>
  <c r="K48" i="19" s="1"/>
  <c r="R49" i="19"/>
  <c r="S49" i="19" s="1"/>
  <c r="T49" i="19" s="1"/>
  <c r="R53" i="19"/>
  <c r="S53" i="19" s="1"/>
  <c r="T53" i="19" s="1"/>
  <c r="R63" i="19"/>
  <c r="S63" i="19" s="1"/>
  <c r="T63" i="19" s="1"/>
  <c r="I67" i="19"/>
  <c r="J67" i="19" s="1"/>
  <c r="K67" i="19" s="1"/>
  <c r="R68" i="19"/>
  <c r="S68" i="19" s="1"/>
  <c r="T68" i="19" s="1"/>
  <c r="I95" i="19"/>
  <c r="J95" i="19" s="1"/>
  <c r="K95" i="19" s="1"/>
  <c r="R96" i="19"/>
  <c r="S96" i="19" s="1"/>
  <c r="T96" i="19" s="1"/>
  <c r="R117" i="19"/>
  <c r="S117" i="19" s="1"/>
  <c r="T117" i="19" s="1"/>
  <c r="R121" i="19"/>
  <c r="S121" i="19" s="1"/>
  <c r="T121" i="19" s="1"/>
  <c r="R123" i="19"/>
  <c r="S123" i="19" s="1"/>
  <c r="T123" i="19" s="1"/>
  <c r="I124" i="19"/>
  <c r="J124" i="19" s="1"/>
  <c r="K124" i="19" s="1"/>
  <c r="R125" i="19"/>
  <c r="S125" i="19" s="1"/>
  <c r="T125" i="19" s="1"/>
  <c r="I149" i="19"/>
  <c r="J149" i="19" s="1"/>
  <c r="K149" i="19" s="1"/>
  <c r="O249" i="19"/>
  <c r="P249" i="19" s="1"/>
  <c r="Q249" i="19" s="1"/>
  <c r="O245" i="19"/>
  <c r="P245" i="19" s="1"/>
  <c r="Q245" i="19" s="1"/>
  <c r="O241" i="19"/>
  <c r="P241" i="19" s="1"/>
  <c r="Q241" i="19" s="1"/>
  <c r="O237" i="19"/>
  <c r="P237" i="19" s="1"/>
  <c r="Q237" i="19" s="1"/>
  <c r="O235" i="19"/>
  <c r="P235" i="19" s="1"/>
  <c r="Q235" i="19" s="1"/>
  <c r="O250" i="19"/>
  <c r="P250" i="19" s="1"/>
  <c r="Q250" i="19" s="1"/>
  <c r="O247" i="19"/>
  <c r="P247" i="19" s="1"/>
  <c r="Q247" i="19" s="1"/>
  <c r="O242" i="19"/>
  <c r="P242" i="19" s="1"/>
  <c r="Q242" i="19" s="1"/>
  <c r="O232" i="19"/>
  <c r="P232" i="19" s="1"/>
  <c r="Q232" i="19" s="1"/>
  <c r="O228" i="19"/>
  <c r="P228" i="19" s="1"/>
  <c r="Q228" i="19" s="1"/>
  <c r="O224" i="19"/>
  <c r="P224" i="19" s="1"/>
  <c r="Q224" i="19" s="1"/>
  <c r="O218" i="19"/>
  <c r="P218" i="19" s="1"/>
  <c r="Q218" i="19" s="1"/>
  <c r="O214" i="19"/>
  <c r="P214" i="19" s="1"/>
  <c r="Q214" i="19" s="1"/>
  <c r="O248" i="19"/>
  <c r="P248" i="19" s="1"/>
  <c r="Q248" i="19" s="1"/>
  <c r="O234" i="19"/>
  <c r="P234" i="19" s="1"/>
  <c r="Q234" i="19" s="1"/>
  <c r="O227" i="19"/>
  <c r="P227" i="19" s="1"/>
  <c r="Q227" i="19" s="1"/>
  <c r="O251" i="19"/>
  <c r="P251" i="19" s="1"/>
  <c r="O240" i="19"/>
  <c r="P240" i="19" s="1"/>
  <c r="Q240" i="19" s="1"/>
  <c r="O238" i="19"/>
  <c r="P238" i="19" s="1"/>
  <c r="Q238" i="19" s="1"/>
  <c r="O236" i="19"/>
  <c r="P236" i="19" s="1"/>
  <c r="O233" i="19"/>
  <c r="P233" i="19" s="1"/>
  <c r="Q233" i="19" s="1"/>
  <c r="O217" i="19"/>
  <c r="P217" i="19" s="1"/>
  <c r="Q217" i="19" s="1"/>
  <c r="O208" i="19"/>
  <c r="P208" i="19" s="1"/>
  <c r="Q208" i="19" s="1"/>
  <c r="O204" i="19"/>
  <c r="P204" i="19" s="1"/>
  <c r="Q204" i="19" s="1"/>
  <c r="O200" i="19"/>
  <c r="P200" i="19" s="1"/>
  <c r="Q200" i="19" s="1"/>
  <c r="O196" i="19"/>
  <c r="P196" i="19" s="1"/>
  <c r="Q196" i="19" s="1"/>
  <c r="O244" i="19"/>
  <c r="P244" i="19" s="1"/>
  <c r="Q244" i="19" s="1"/>
  <c r="O231" i="19"/>
  <c r="P231" i="19" s="1"/>
  <c r="Q231" i="19" s="1"/>
  <c r="O225" i="19"/>
  <c r="P225" i="19" s="1"/>
  <c r="Q225" i="19" s="1"/>
  <c r="O221" i="19"/>
  <c r="P221" i="19" s="1"/>
  <c r="O220" i="19"/>
  <c r="P220" i="19" s="1"/>
  <c r="Q220" i="19" s="1"/>
  <c r="O216" i="19"/>
  <c r="P216" i="19" s="1"/>
  <c r="Q216" i="19" s="1"/>
  <c r="O213" i="19"/>
  <c r="P213" i="19" s="1"/>
  <c r="Q213" i="19" s="1"/>
  <c r="O223" i="19"/>
  <c r="P223" i="19" s="1"/>
  <c r="Q223" i="19" s="1"/>
  <c r="O215" i="19"/>
  <c r="P215" i="19" s="1"/>
  <c r="Q215" i="19" s="1"/>
  <c r="O230" i="19"/>
  <c r="P230" i="19" s="1"/>
  <c r="Q230" i="19" s="1"/>
  <c r="O229" i="19"/>
  <c r="P229" i="19" s="1"/>
  <c r="Q229" i="19" s="1"/>
  <c r="O210" i="19"/>
  <c r="P210" i="19" s="1"/>
  <c r="Q210" i="19" s="1"/>
  <c r="O246" i="19"/>
  <c r="P246" i="19" s="1"/>
  <c r="Q246" i="19" s="1"/>
  <c r="O205" i="19"/>
  <c r="P205" i="19" s="1"/>
  <c r="Q205" i="19" s="1"/>
  <c r="O202" i="19"/>
  <c r="P202" i="19" s="1"/>
  <c r="Q202" i="19" s="1"/>
  <c r="O197" i="19"/>
  <c r="P197" i="19" s="1"/>
  <c r="Q197" i="19" s="1"/>
  <c r="O194" i="19"/>
  <c r="P194" i="19" s="1"/>
  <c r="Q194" i="19" s="1"/>
  <c r="O188" i="19"/>
  <c r="P188" i="19" s="1"/>
  <c r="Q188" i="19" s="1"/>
  <c r="O184" i="19"/>
  <c r="P184" i="19" s="1"/>
  <c r="Q184" i="19" s="1"/>
  <c r="O178" i="19"/>
  <c r="P178" i="19" s="1"/>
  <c r="Q178" i="19" s="1"/>
  <c r="O174" i="19"/>
  <c r="P174" i="19" s="1"/>
  <c r="Q174" i="19" s="1"/>
  <c r="O170" i="19"/>
  <c r="P170" i="19" s="1"/>
  <c r="Q170" i="19" s="1"/>
  <c r="O166" i="19"/>
  <c r="P166" i="19" s="1"/>
  <c r="Q166" i="19" s="1"/>
  <c r="O162" i="19"/>
  <c r="P162" i="19" s="1"/>
  <c r="Q162" i="19" s="1"/>
  <c r="O160" i="19"/>
  <c r="P160" i="19" s="1"/>
  <c r="Q160" i="19" s="1"/>
  <c r="O156" i="19"/>
  <c r="P156" i="19" s="1"/>
  <c r="Q156" i="19" s="1"/>
  <c r="O152" i="19"/>
  <c r="P152" i="19" s="1"/>
  <c r="Q152" i="19" s="1"/>
  <c r="O150" i="19"/>
  <c r="P150" i="19" s="1"/>
  <c r="Q150" i="19" s="1"/>
  <c r="O146" i="19"/>
  <c r="P146" i="19" s="1"/>
  <c r="O142" i="19"/>
  <c r="P142" i="19" s="1"/>
  <c r="Q142" i="19" s="1"/>
  <c r="O243" i="19"/>
  <c r="P243" i="19" s="1"/>
  <c r="Q243" i="19" s="1"/>
  <c r="O239" i="19"/>
  <c r="P239" i="19" s="1"/>
  <c r="Q239" i="19" s="1"/>
  <c r="O219" i="19"/>
  <c r="P219" i="19" s="1"/>
  <c r="Q219" i="19" s="1"/>
  <c r="O212" i="19"/>
  <c r="P212" i="19" s="1"/>
  <c r="Q212" i="19" s="1"/>
  <c r="O211" i="19"/>
  <c r="P211" i="19" s="1"/>
  <c r="Q211" i="19" s="1"/>
  <c r="O209" i="19"/>
  <c r="P209" i="19" s="1"/>
  <c r="Q209" i="19" s="1"/>
  <c r="O207" i="19"/>
  <c r="P207" i="19" s="1"/>
  <c r="Q207" i="19" s="1"/>
  <c r="O203" i="19"/>
  <c r="P203" i="19" s="1"/>
  <c r="Q203" i="19" s="1"/>
  <c r="O193" i="19"/>
  <c r="P193" i="19" s="1"/>
  <c r="Q193" i="19" s="1"/>
  <c r="O189" i="19"/>
  <c r="P189" i="19" s="1"/>
  <c r="Q189" i="19" s="1"/>
  <c r="O185" i="19"/>
  <c r="P185" i="19" s="1"/>
  <c r="Q185" i="19" s="1"/>
  <c r="O181" i="19"/>
  <c r="P181" i="19" s="1"/>
  <c r="Q181" i="19" s="1"/>
  <c r="O177" i="19"/>
  <c r="P177" i="19" s="1"/>
  <c r="Q177" i="19" s="1"/>
  <c r="O175" i="19"/>
  <c r="P175" i="19" s="1"/>
  <c r="Q175" i="19" s="1"/>
  <c r="O171" i="19"/>
  <c r="P171" i="19" s="1"/>
  <c r="Q171" i="19" s="1"/>
  <c r="O167" i="19"/>
  <c r="P167" i="19" s="1"/>
  <c r="Q167" i="19" s="1"/>
  <c r="O165" i="19"/>
  <c r="P165" i="19" s="1"/>
  <c r="Q165" i="19" s="1"/>
  <c r="O161" i="19"/>
  <c r="P161" i="19" s="1"/>
  <c r="O157" i="19"/>
  <c r="P157" i="19" s="1"/>
  <c r="Q157" i="19" s="1"/>
  <c r="O153" i="19"/>
  <c r="P153" i="19" s="1"/>
  <c r="Q153" i="19" s="1"/>
  <c r="O149" i="19"/>
  <c r="P149" i="19" s="1"/>
  <c r="Q149" i="19" s="1"/>
  <c r="O143" i="19"/>
  <c r="P143" i="19" s="1"/>
  <c r="Q143" i="19" s="1"/>
  <c r="O226" i="19"/>
  <c r="P226" i="19" s="1"/>
  <c r="Q226" i="19" s="1"/>
  <c r="O222" i="19"/>
  <c r="P222" i="19" s="1"/>
  <c r="Q222" i="19" s="1"/>
  <c r="O190" i="19"/>
  <c r="P190" i="19" s="1"/>
  <c r="Q190" i="19" s="1"/>
  <c r="O186" i="19"/>
  <c r="P186" i="19" s="1"/>
  <c r="Q186" i="19" s="1"/>
  <c r="O182" i="19"/>
  <c r="P182" i="19" s="1"/>
  <c r="Q182" i="19" s="1"/>
  <c r="O180" i="19"/>
  <c r="P180" i="19" s="1"/>
  <c r="Q180" i="19" s="1"/>
  <c r="O176" i="19"/>
  <c r="P176" i="19" s="1"/>
  <c r="O172" i="19"/>
  <c r="P172" i="19" s="1"/>
  <c r="Q172" i="19" s="1"/>
  <c r="O168" i="19"/>
  <c r="P168" i="19" s="1"/>
  <c r="Q168" i="19" s="1"/>
  <c r="O163" i="19"/>
  <c r="P163" i="19" s="1"/>
  <c r="Q163" i="19" s="1"/>
  <c r="O148" i="19"/>
  <c r="P148" i="19" s="1"/>
  <c r="Q148" i="19" s="1"/>
  <c r="O141" i="19"/>
  <c r="P141" i="19" s="1"/>
  <c r="Q141" i="19" s="1"/>
  <c r="O137" i="19"/>
  <c r="P137" i="19" s="1"/>
  <c r="Q137" i="19" s="1"/>
  <c r="O135" i="19"/>
  <c r="P135" i="19" s="1"/>
  <c r="Q135" i="19" s="1"/>
  <c r="O131" i="19"/>
  <c r="P131" i="19" s="1"/>
  <c r="O129" i="19"/>
  <c r="P129" i="19" s="1"/>
  <c r="Q129" i="19" s="1"/>
  <c r="O125" i="19"/>
  <c r="P125" i="19" s="1"/>
  <c r="Q125" i="19" s="1"/>
  <c r="O121" i="19"/>
  <c r="P121" i="19" s="1"/>
  <c r="Q121" i="19" s="1"/>
  <c r="O119" i="19"/>
  <c r="P119" i="19" s="1"/>
  <c r="Q119" i="19" s="1"/>
  <c r="O115" i="19"/>
  <c r="P115" i="19" s="1"/>
  <c r="O111" i="19"/>
  <c r="P111" i="19" s="1"/>
  <c r="Q111" i="19" s="1"/>
  <c r="O107" i="19"/>
  <c r="P107" i="19" s="1"/>
  <c r="Q107" i="19" s="1"/>
  <c r="O103" i="19"/>
  <c r="P103" i="19" s="1"/>
  <c r="Q103" i="19" s="1"/>
  <c r="O198" i="19"/>
  <c r="P198" i="19" s="1"/>
  <c r="Q198" i="19" s="1"/>
  <c r="O187" i="19"/>
  <c r="P187" i="19" s="1"/>
  <c r="Q187" i="19" s="1"/>
  <c r="O173" i="19"/>
  <c r="P173" i="19" s="1"/>
  <c r="Q173" i="19" s="1"/>
  <c r="O159" i="19"/>
  <c r="P159" i="19" s="1"/>
  <c r="Q159" i="19" s="1"/>
  <c r="O147" i="19"/>
  <c r="P147" i="19" s="1"/>
  <c r="Q147" i="19" s="1"/>
  <c r="O145" i="19"/>
  <c r="P145" i="19" s="1"/>
  <c r="Q145" i="19" s="1"/>
  <c r="O140" i="19"/>
  <c r="P140" i="19" s="1"/>
  <c r="Q140" i="19" s="1"/>
  <c r="O128" i="19"/>
  <c r="P128" i="19" s="1"/>
  <c r="Q128" i="19" s="1"/>
  <c r="O120" i="19"/>
  <c r="P120" i="19" s="1"/>
  <c r="Q120" i="19" s="1"/>
  <c r="O118" i="19"/>
  <c r="P118" i="19" s="1"/>
  <c r="Q118" i="19" s="1"/>
  <c r="O117" i="19"/>
  <c r="P117" i="19" s="1"/>
  <c r="Q117" i="19" s="1"/>
  <c r="O116" i="19"/>
  <c r="P116" i="19" s="1"/>
  <c r="Q116" i="19" s="1"/>
  <c r="O112" i="19"/>
  <c r="P112" i="19" s="1"/>
  <c r="Q112" i="19" s="1"/>
  <c r="O109" i="19"/>
  <c r="P109" i="19" s="1"/>
  <c r="Q109" i="19" s="1"/>
  <c r="O98" i="19"/>
  <c r="P98" i="19" s="1"/>
  <c r="Q98" i="19" s="1"/>
  <c r="O94" i="19"/>
  <c r="P94" i="19" s="1"/>
  <c r="Q94" i="19" s="1"/>
  <c r="O90" i="19"/>
  <c r="P90" i="19" s="1"/>
  <c r="Q90" i="19" s="1"/>
  <c r="O86" i="19"/>
  <c r="P86" i="19" s="1"/>
  <c r="Q86" i="19" s="1"/>
  <c r="O84" i="19"/>
  <c r="P84" i="19" s="1"/>
  <c r="Q84" i="19" s="1"/>
  <c r="O80" i="19"/>
  <c r="P80" i="19" s="1"/>
  <c r="Q80" i="19" s="1"/>
  <c r="O76" i="19"/>
  <c r="P76" i="19" s="1"/>
  <c r="Q76" i="19" s="1"/>
  <c r="O74" i="19"/>
  <c r="P74" i="19" s="1"/>
  <c r="Q74" i="19" s="1"/>
  <c r="O70" i="19"/>
  <c r="P70" i="19" s="1"/>
  <c r="O66" i="19"/>
  <c r="P66" i="19" s="1"/>
  <c r="Q66" i="19" s="1"/>
  <c r="O62" i="19"/>
  <c r="P62" i="19" s="1"/>
  <c r="Q62" i="19" s="1"/>
  <c r="O58" i="19"/>
  <c r="P58" i="19" s="1"/>
  <c r="Q58" i="19" s="1"/>
  <c r="O52" i="19"/>
  <c r="P52" i="19" s="1"/>
  <c r="Q52" i="19" s="1"/>
  <c r="O48" i="19"/>
  <c r="P48" i="19" s="1"/>
  <c r="Q48" i="19" s="1"/>
  <c r="O42" i="19"/>
  <c r="P42" i="19" s="1"/>
  <c r="Q42" i="19" s="1"/>
  <c r="O38" i="19"/>
  <c r="P38" i="19" s="1"/>
  <c r="Q38" i="19" s="1"/>
  <c r="O34" i="19"/>
  <c r="P34" i="19" s="1"/>
  <c r="Q34" i="19" s="1"/>
  <c r="O30" i="19"/>
  <c r="P30" i="19" s="1"/>
  <c r="Q30" i="19" s="1"/>
  <c r="O26" i="19"/>
  <c r="P26" i="19" s="1"/>
  <c r="Q26" i="19" s="1"/>
  <c r="O24" i="19"/>
  <c r="P24" i="19" s="1"/>
  <c r="Q24" i="19" s="1"/>
  <c r="O20" i="19"/>
  <c r="P20" i="19" s="1"/>
  <c r="Q20" i="19" s="1"/>
  <c r="O16" i="19"/>
  <c r="P16" i="19" s="1"/>
  <c r="Q16" i="19" s="1"/>
  <c r="O14" i="19"/>
  <c r="P14" i="19" s="1"/>
  <c r="Q14" i="19" s="1"/>
  <c r="O10" i="19"/>
  <c r="P10" i="19" s="1"/>
  <c r="O199" i="19"/>
  <c r="P199" i="19" s="1"/>
  <c r="Q199" i="19" s="1"/>
  <c r="O195" i="19"/>
  <c r="P195" i="19" s="1"/>
  <c r="Q195" i="19" s="1"/>
  <c r="O192" i="19"/>
  <c r="P192" i="19" s="1"/>
  <c r="Q192" i="19" s="1"/>
  <c r="O151" i="19"/>
  <c r="P151" i="19" s="1"/>
  <c r="Q151" i="19" s="1"/>
  <c r="O138" i="19"/>
  <c r="P138" i="19" s="1"/>
  <c r="Q138" i="19" s="1"/>
  <c r="O134" i="19"/>
  <c r="P134" i="19" s="1"/>
  <c r="Q134" i="19" s="1"/>
  <c r="O110" i="19"/>
  <c r="P110" i="19" s="1"/>
  <c r="Q110" i="19" s="1"/>
  <c r="O105" i="19"/>
  <c r="P105" i="19" s="1"/>
  <c r="Q105" i="19" s="1"/>
  <c r="O97" i="19"/>
  <c r="P97" i="19" s="1"/>
  <c r="Q97" i="19" s="1"/>
  <c r="O79" i="19"/>
  <c r="P79" i="19" s="1"/>
  <c r="Q79" i="19" s="1"/>
  <c r="O68" i="19"/>
  <c r="P68" i="19" s="1"/>
  <c r="Q68" i="19" s="1"/>
  <c r="O63" i="19"/>
  <c r="P63" i="19" s="1"/>
  <c r="Q63" i="19" s="1"/>
  <c r="O60" i="19"/>
  <c r="P60" i="19" s="1"/>
  <c r="Q60" i="19" s="1"/>
  <c r="O59" i="19"/>
  <c r="P59" i="19" s="1"/>
  <c r="Q59" i="19" s="1"/>
  <c r="O57" i="19"/>
  <c r="P57" i="19" s="1"/>
  <c r="Q57" i="19" s="1"/>
  <c r="O56" i="19"/>
  <c r="P56" i="19" s="1"/>
  <c r="Q56" i="19" s="1"/>
  <c r="O55" i="19"/>
  <c r="P55" i="19" s="1"/>
  <c r="O47" i="19"/>
  <c r="P47" i="19" s="1"/>
  <c r="Q47" i="19" s="1"/>
  <c r="O37" i="19"/>
  <c r="P37" i="19" s="1"/>
  <c r="Q37" i="19" s="1"/>
  <c r="O19" i="19"/>
  <c r="P19" i="19" s="1"/>
  <c r="Q19" i="19" s="1"/>
  <c r="O164" i="19"/>
  <c r="P164" i="19" s="1"/>
  <c r="Q164" i="19" s="1"/>
  <c r="O154" i="19"/>
  <c r="P154" i="19" s="1"/>
  <c r="Q154" i="19" s="1"/>
  <c r="O144" i="19"/>
  <c r="P144" i="19" s="1"/>
  <c r="Q144" i="19" s="1"/>
  <c r="O126" i="19"/>
  <c r="P126" i="19" s="1"/>
  <c r="Q126" i="19" s="1"/>
  <c r="I13" i="19"/>
  <c r="J13" i="19" s="1"/>
  <c r="K13" i="19" s="1"/>
  <c r="O13" i="19"/>
  <c r="P13" i="19" s="1"/>
  <c r="Q13" i="19" s="1"/>
  <c r="I17" i="19"/>
  <c r="J17" i="19" s="1"/>
  <c r="K17" i="19" s="1"/>
  <c r="O17" i="19"/>
  <c r="P17" i="19" s="1"/>
  <c r="Q17" i="19" s="1"/>
  <c r="R18" i="19"/>
  <c r="S18" i="19" s="1"/>
  <c r="T18" i="19" s="1"/>
  <c r="I25" i="19"/>
  <c r="J25" i="19" s="1"/>
  <c r="O25" i="19"/>
  <c r="P25" i="19" s="1"/>
  <c r="I26" i="19"/>
  <c r="J26" i="19" s="1"/>
  <c r="K26" i="19" s="1"/>
  <c r="O27" i="19"/>
  <c r="P27" i="19" s="1"/>
  <c r="Q27" i="19" s="1"/>
  <c r="O28" i="19"/>
  <c r="P28" i="19" s="1"/>
  <c r="Q28" i="19" s="1"/>
  <c r="I29" i="19"/>
  <c r="J29" i="19" s="1"/>
  <c r="K29" i="19" s="1"/>
  <c r="O29" i="19"/>
  <c r="P29" i="19" s="1"/>
  <c r="Q29" i="19" s="1"/>
  <c r="I30" i="19"/>
  <c r="J30" i="19" s="1"/>
  <c r="K30" i="19" s="1"/>
  <c r="R31" i="19"/>
  <c r="S31" i="19" s="1"/>
  <c r="T31" i="19" s="1"/>
  <c r="R35" i="19"/>
  <c r="S35" i="19" s="1"/>
  <c r="T35" i="19" s="1"/>
  <c r="I38" i="19"/>
  <c r="J38" i="19" s="1"/>
  <c r="K38" i="19" s="1"/>
  <c r="R39" i="19"/>
  <c r="S39" i="19" s="1"/>
  <c r="T39" i="19" s="1"/>
  <c r="C47" i="19"/>
  <c r="D47" i="19" s="1"/>
  <c r="E47" i="19" s="1"/>
  <c r="O49" i="19"/>
  <c r="P49" i="19" s="1"/>
  <c r="Q49" i="19" s="1"/>
  <c r="C50" i="19"/>
  <c r="D50" i="19" s="1"/>
  <c r="E50" i="19" s="1"/>
  <c r="R50" i="19"/>
  <c r="S50" i="19" s="1"/>
  <c r="T50" i="19" s="1"/>
  <c r="C51" i="19"/>
  <c r="D51" i="19" s="1"/>
  <c r="E51" i="19" s="1"/>
  <c r="I51" i="19"/>
  <c r="J51" i="19" s="1"/>
  <c r="K51" i="19" s="1"/>
  <c r="R52" i="19"/>
  <c r="S52" i="19" s="1"/>
  <c r="T52" i="19" s="1"/>
  <c r="C55" i="19"/>
  <c r="D55" i="19" s="1"/>
  <c r="C56" i="19"/>
  <c r="D56" i="19" s="1"/>
  <c r="E56" i="19" s="1"/>
  <c r="R56" i="19"/>
  <c r="S56" i="19" s="1"/>
  <c r="T56" i="19" s="1"/>
  <c r="C57" i="19"/>
  <c r="D57" i="19" s="1"/>
  <c r="E57" i="19" s="1"/>
  <c r="R57" i="19"/>
  <c r="S57" i="19" s="1"/>
  <c r="T57" i="19" s="1"/>
  <c r="R58" i="19"/>
  <c r="S58" i="19" s="1"/>
  <c r="T58" i="19" s="1"/>
  <c r="C59" i="19"/>
  <c r="D59" i="19" s="1"/>
  <c r="E59" i="19" s="1"/>
  <c r="C60" i="19"/>
  <c r="D60" i="19" s="1"/>
  <c r="E60" i="19" s="1"/>
  <c r="R60" i="19"/>
  <c r="S60" i="19" s="1"/>
  <c r="T60" i="19" s="1"/>
  <c r="O64" i="19"/>
  <c r="P64" i="19" s="1"/>
  <c r="Q64" i="19" s="1"/>
  <c r="I65" i="19"/>
  <c r="J65" i="19" s="1"/>
  <c r="K65" i="19" s="1"/>
  <c r="R66" i="19"/>
  <c r="S66" i="19" s="1"/>
  <c r="T66" i="19" s="1"/>
  <c r="O69" i="19"/>
  <c r="P69" i="19" s="1"/>
  <c r="Q69" i="19" s="1"/>
  <c r="I70" i="19"/>
  <c r="J70" i="19" s="1"/>
  <c r="C73" i="19"/>
  <c r="D73" i="19" s="1"/>
  <c r="E73" i="19" s="1"/>
  <c r="I74" i="19"/>
  <c r="J74" i="19" s="1"/>
  <c r="K74" i="19" s="1"/>
  <c r="C77" i="19"/>
  <c r="D77" i="19" s="1"/>
  <c r="E77" i="19" s="1"/>
  <c r="R77" i="19"/>
  <c r="S77" i="19" s="1"/>
  <c r="T77" i="19" s="1"/>
  <c r="I80" i="19"/>
  <c r="J80" i="19" s="1"/>
  <c r="K80" i="19" s="1"/>
  <c r="R81" i="19"/>
  <c r="S81" i="19" s="1"/>
  <c r="T81" i="19" s="1"/>
  <c r="C85" i="19"/>
  <c r="D85" i="19" s="1"/>
  <c r="R85" i="19"/>
  <c r="S85" i="19" s="1"/>
  <c r="T85" i="19" s="1"/>
  <c r="R86" i="19"/>
  <c r="S86" i="19" s="1"/>
  <c r="T86" i="19" s="1"/>
  <c r="C87" i="19"/>
  <c r="D87" i="19" s="1"/>
  <c r="E87" i="19" s="1"/>
  <c r="I87" i="19"/>
  <c r="J87" i="19" s="1"/>
  <c r="K87" i="19" s="1"/>
  <c r="C88" i="19"/>
  <c r="D88" i="19" s="1"/>
  <c r="E88" i="19" s="1"/>
  <c r="R88" i="19"/>
  <c r="S88" i="19" s="1"/>
  <c r="T88" i="19" s="1"/>
  <c r="C89" i="19"/>
  <c r="D89" i="19" s="1"/>
  <c r="E89" i="19" s="1"/>
  <c r="R89" i="19"/>
  <c r="S89" i="19" s="1"/>
  <c r="T89" i="19" s="1"/>
  <c r="R90" i="19"/>
  <c r="S90" i="19" s="1"/>
  <c r="T90" i="19" s="1"/>
  <c r="O92" i="19"/>
  <c r="P92" i="19" s="1"/>
  <c r="Q92" i="19" s="1"/>
  <c r="O93" i="19"/>
  <c r="P93" i="19" s="1"/>
  <c r="Q93" i="19" s="1"/>
  <c r="O96" i="19"/>
  <c r="P96" i="19" s="1"/>
  <c r="Q96" i="19" s="1"/>
  <c r="R98" i="19"/>
  <c r="S98" i="19" s="1"/>
  <c r="T98" i="19" s="1"/>
  <c r="O100" i="19"/>
  <c r="P100" i="19" s="1"/>
  <c r="I101" i="19"/>
  <c r="J101" i="19" s="1"/>
  <c r="K101" i="19" s="1"/>
  <c r="O101" i="19"/>
  <c r="P101" i="19" s="1"/>
  <c r="Q101" i="19" s="1"/>
  <c r="I107" i="19"/>
  <c r="J107" i="19" s="1"/>
  <c r="K107" i="19" s="1"/>
  <c r="I108" i="19"/>
  <c r="J108" i="19" s="1"/>
  <c r="K108" i="19" s="1"/>
  <c r="R109" i="19"/>
  <c r="S109" i="19" s="1"/>
  <c r="T109" i="19" s="1"/>
  <c r="I112" i="19"/>
  <c r="J112" i="19" s="1"/>
  <c r="K112" i="19" s="1"/>
  <c r="C116" i="19"/>
  <c r="D116" i="19" s="1"/>
  <c r="E116" i="19" s="1"/>
  <c r="C118" i="19"/>
  <c r="D118" i="19" s="1"/>
  <c r="E118" i="19" s="1"/>
  <c r="R118" i="19"/>
  <c r="S118" i="19" s="1"/>
  <c r="T118" i="19" s="1"/>
  <c r="C120" i="19"/>
  <c r="D120" i="19" s="1"/>
  <c r="E120" i="19" s="1"/>
  <c r="O122" i="19"/>
  <c r="P122" i="19" s="1"/>
  <c r="Q122" i="19" s="1"/>
  <c r="C124" i="19"/>
  <c r="D124" i="19" s="1"/>
  <c r="E124" i="19" s="1"/>
  <c r="O127" i="19"/>
  <c r="P127" i="19" s="1"/>
  <c r="Q127" i="19" s="1"/>
  <c r="O133" i="19"/>
  <c r="P133" i="19" s="1"/>
  <c r="Q133" i="19" s="1"/>
  <c r="C134" i="19"/>
  <c r="D134" i="19" s="1"/>
  <c r="E134" i="19" s="1"/>
  <c r="R143" i="19"/>
  <c r="S143" i="19" s="1"/>
  <c r="T143" i="19" s="1"/>
  <c r="C151" i="19"/>
  <c r="D151" i="19" s="1"/>
  <c r="E151" i="19" s="1"/>
  <c r="I153" i="19"/>
  <c r="J153" i="19" s="1"/>
  <c r="K153" i="19" s="1"/>
  <c r="I175" i="19"/>
  <c r="J175" i="19" s="1"/>
  <c r="K175" i="19" s="1"/>
  <c r="I178" i="19"/>
  <c r="J178" i="19" s="1"/>
  <c r="K178" i="19" s="1"/>
  <c r="O179" i="19"/>
  <c r="P179" i="19" s="1"/>
  <c r="Q179" i="19" s="1"/>
  <c r="R180" i="19"/>
  <c r="S180" i="19" s="1"/>
  <c r="T180" i="19" s="1"/>
  <c r="I189" i="19"/>
  <c r="J189" i="19" s="1"/>
  <c r="K189" i="19" s="1"/>
  <c r="O191" i="19"/>
  <c r="P191" i="19" s="1"/>
  <c r="C249" i="19"/>
  <c r="D249" i="19" s="1"/>
  <c r="E249" i="19" s="1"/>
  <c r="C245" i="19"/>
  <c r="D245" i="19" s="1"/>
  <c r="E245" i="19" s="1"/>
  <c r="C241" i="19"/>
  <c r="D241" i="19" s="1"/>
  <c r="E241" i="19" s="1"/>
  <c r="C237" i="19"/>
  <c r="D237" i="19" s="1"/>
  <c r="E237" i="19" s="1"/>
  <c r="C235" i="19"/>
  <c r="D235" i="19" s="1"/>
  <c r="E235" i="19" s="1"/>
  <c r="C250" i="19"/>
  <c r="D250" i="19" s="1"/>
  <c r="E250" i="19" s="1"/>
  <c r="C251" i="19"/>
  <c r="D251" i="19" s="1"/>
  <c r="C244" i="19"/>
  <c r="D244" i="19" s="1"/>
  <c r="E244" i="19" s="1"/>
  <c r="C232" i="19"/>
  <c r="D232" i="19" s="1"/>
  <c r="E232" i="19" s="1"/>
  <c r="C228" i="19"/>
  <c r="D228" i="19" s="1"/>
  <c r="E228" i="19" s="1"/>
  <c r="C224" i="19"/>
  <c r="D224" i="19" s="1"/>
  <c r="E224" i="19" s="1"/>
  <c r="C218" i="19"/>
  <c r="D218" i="19" s="1"/>
  <c r="E218" i="19" s="1"/>
  <c r="C214" i="19"/>
  <c r="D214" i="19" s="1"/>
  <c r="E214" i="19" s="1"/>
  <c r="C247" i="19"/>
  <c r="D247" i="19" s="1"/>
  <c r="E247" i="19" s="1"/>
  <c r="C246" i="19"/>
  <c r="D246" i="19" s="1"/>
  <c r="E246" i="19" s="1"/>
  <c r="C242" i="19"/>
  <c r="D242" i="19" s="1"/>
  <c r="E242" i="19" s="1"/>
  <c r="C240" i="19"/>
  <c r="D240" i="19" s="1"/>
  <c r="E240" i="19" s="1"/>
  <c r="C236" i="19"/>
  <c r="D236" i="19" s="1"/>
  <c r="C234" i="19"/>
  <c r="D234" i="19" s="1"/>
  <c r="E234" i="19" s="1"/>
  <c r="C229" i="19"/>
  <c r="D229" i="19" s="1"/>
  <c r="E229" i="19" s="1"/>
  <c r="C226" i="19"/>
  <c r="D226" i="19" s="1"/>
  <c r="E226" i="19" s="1"/>
  <c r="C225" i="19"/>
  <c r="D225" i="19" s="1"/>
  <c r="E225" i="19" s="1"/>
  <c r="C223" i="19"/>
  <c r="D223" i="19" s="1"/>
  <c r="E223" i="19" s="1"/>
  <c r="C222" i="19"/>
  <c r="D222" i="19" s="1"/>
  <c r="E222" i="19" s="1"/>
  <c r="C219" i="19"/>
  <c r="D219" i="19" s="1"/>
  <c r="E219" i="19" s="1"/>
  <c r="C216" i="19"/>
  <c r="D216" i="19" s="1"/>
  <c r="E216" i="19" s="1"/>
  <c r="C211" i="19"/>
  <c r="D211" i="19" s="1"/>
  <c r="E211" i="19" s="1"/>
  <c r="C210" i="19"/>
  <c r="D210" i="19" s="1"/>
  <c r="E210" i="19" s="1"/>
  <c r="C208" i="19"/>
  <c r="D208" i="19" s="1"/>
  <c r="E208" i="19" s="1"/>
  <c r="C204" i="19"/>
  <c r="D204" i="19" s="1"/>
  <c r="E204" i="19" s="1"/>
  <c r="C200" i="19"/>
  <c r="D200" i="19" s="1"/>
  <c r="E200" i="19" s="1"/>
  <c r="C196" i="19"/>
  <c r="D196" i="19" s="1"/>
  <c r="E196" i="19" s="1"/>
  <c r="C243" i="19"/>
  <c r="D243" i="19" s="1"/>
  <c r="E243" i="19" s="1"/>
  <c r="C233" i="19"/>
  <c r="D233" i="19" s="1"/>
  <c r="E233" i="19" s="1"/>
  <c r="C248" i="19"/>
  <c r="D248" i="19" s="1"/>
  <c r="E248" i="19" s="1"/>
  <c r="C230" i="19"/>
  <c r="D230" i="19" s="1"/>
  <c r="E230" i="19" s="1"/>
  <c r="C239" i="19"/>
  <c r="D239" i="19" s="1"/>
  <c r="E239" i="19" s="1"/>
  <c r="C227" i="19"/>
  <c r="D227" i="19" s="1"/>
  <c r="E227" i="19" s="1"/>
  <c r="C221" i="19"/>
  <c r="D221" i="19" s="1"/>
  <c r="C238" i="19"/>
  <c r="D238" i="19" s="1"/>
  <c r="E238" i="19" s="1"/>
  <c r="C231" i="19"/>
  <c r="D231" i="19" s="1"/>
  <c r="E231" i="19" s="1"/>
  <c r="C217" i="19"/>
  <c r="D217" i="19" s="1"/>
  <c r="E217" i="19" s="1"/>
  <c r="C215" i="19"/>
  <c r="D215" i="19" s="1"/>
  <c r="E215" i="19" s="1"/>
  <c r="C209" i="19"/>
  <c r="D209" i="19" s="1"/>
  <c r="E209" i="19" s="1"/>
  <c r="C207" i="19"/>
  <c r="D207" i="19" s="1"/>
  <c r="E207" i="19" s="1"/>
  <c r="C199" i="19"/>
  <c r="D199" i="19" s="1"/>
  <c r="E199" i="19" s="1"/>
  <c r="C194" i="19"/>
  <c r="D194" i="19" s="1"/>
  <c r="E194" i="19" s="1"/>
  <c r="C188" i="19"/>
  <c r="D188" i="19" s="1"/>
  <c r="E188" i="19" s="1"/>
  <c r="C184" i="19"/>
  <c r="D184" i="19" s="1"/>
  <c r="E184" i="19" s="1"/>
  <c r="C178" i="19"/>
  <c r="D178" i="19" s="1"/>
  <c r="E178" i="19" s="1"/>
  <c r="C174" i="19"/>
  <c r="D174" i="19" s="1"/>
  <c r="E174" i="19" s="1"/>
  <c r="C170" i="19"/>
  <c r="D170" i="19" s="1"/>
  <c r="E170" i="19" s="1"/>
  <c r="C166" i="19"/>
  <c r="D166" i="19" s="1"/>
  <c r="E166" i="19" s="1"/>
  <c r="C162" i="19"/>
  <c r="D162" i="19" s="1"/>
  <c r="E162" i="19" s="1"/>
  <c r="C160" i="19"/>
  <c r="D160" i="19" s="1"/>
  <c r="E160" i="19" s="1"/>
  <c r="C156" i="19"/>
  <c r="D156" i="19" s="1"/>
  <c r="E156" i="19" s="1"/>
  <c r="C152" i="19"/>
  <c r="D152" i="19" s="1"/>
  <c r="E152" i="19" s="1"/>
  <c r="C150" i="19"/>
  <c r="D150" i="19" s="1"/>
  <c r="E150" i="19" s="1"/>
  <c r="C146" i="19"/>
  <c r="D146" i="19" s="1"/>
  <c r="C213" i="19"/>
  <c r="D213" i="19" s="1"/>
  <c r="E213" i="19" s="1"/>
  <c r="C205" i="19"/>
  <c r="D205" i="19" s="1"/>
  <c r="E205" i="19" s="1"/>
  <c r="C202" i="19"/>
  <c r="D202" i="19" s="1"/>
  <c r="E202" i="19" s="1"/>
  <c r="C197" i="19"/>
  <c r="D197" i="19" s="1"/>
  <c r="E197" i="19" s="1"/>
  <c r="C193" i="19"/>
  <c r="D193" i="19" s="1"/>
  <c r="E193" i="19" s="1"/>
  <c r="C189" i="19"/>
  <c r="D189" i="19" s="1"/>
  <c r="E189" i="19" s="1"/>
  <c r="C185" i="19"/>
  <c r="D185" i="19" s="1"/>
  <c r="E185" i="19" s="1"/>
  <c r="C181" i="19"/>
  <c r="D181" i="19" s="1"/>
  <c r="E181" i="19" s="1"/>
  <c r="C177" i="19"/>
  <c r="D177" i="19" s="1"/>
  <c r="E177" i="19" s="1"/>
  <c r="C175" i="19"/>
  <c r="D175" i="19" s="1"/>
  <c r="E175" i="19" s="1"/>
  <c r="C171" i="19"/>
  <c r="D171" i="19" s="1"/>
  <c r="E171" i="19" s="1"/>
  <c r="C167" i="19"/>
  <c r="D167" i="19" s="1"/>
  <c r="E167" i="19" s="1"/>
  <c r="C165" i="19"/>
  <c r="D165" i="19" s="1"/>
  <c r="E165" i="19" s="1"/>
  <c r="C161" i="19"/>
  <c r="D161" i="19" s="1"/>
  <c r="C157" i="19"/>
  <c r="D157" i="19" s="1"/>
  <c r="E157" i="19" s="1"/>
  <c r="C153" i="19"/>
  <c r="D153" i="19" s="1"/>
  <c r="E153" i="19" s="1"/>
  <c r="C149" i="19"/>
  <c r="D149" i="19" s="1"/>
  <c r="E149" i="19" s="1"/>
  <c r="C143" i="19"/>
  <c r="D143" i="19" s="1"/>
  <c r="E143" i="19" s="1"/>
  <c r="C206" i="19"/>
  <c r="D206" i="19" s="1"/>
  <c r="C195" i="19"/>
  <c r="D195" i="19" s="1"/>
  <c r="E195" i="19" s="1"/>
  <c r="C191" i="19"/>
  <c r="D191" i="19" s="1"/>
  <c r="C187" i="19"/>
  <c r="D187" i="19" s="1"/>
  <c r="E187" i="19" s="1"/>
  <c r="C183" i="19"/>
  <c r="D183" i="19" s="1"/>
  <c r="E183" i="19" s="1"/>
  <c r="C173" i="19"/>
  <c r="D173" i="19" s="1"/>
  <c r="E173" i="19" s="1"/>
  <c r="C169" i="19"/>
  <c r="D169" i="19" s="1"/>
  <c r="E169" i="19" s="1"/>
  <c r="C141" i="19"/>
  <c r="D141" i="19" s="1"/>
  <c r="E141" i="19" s="1"/>
  <c r="C137" i="19"/>
  <c r="D137" i="19" s="1"/>
  <c r="E137" i="19" s="1"/>
  <c r="C135" i="19"/>
  <c r="D135" i="19" s="1"/>
  <c r="E135" i="19" s="1"/>
  <c r="C131" i="19"/>
  <c r="D131" i="19" s="1"/>
  <c r="C129" i="19"/>
  <c r="D129" i="19" s="1"/>
  <c r="E129" i="19" s="1"/>
  <c r="C125" i="19"/>
  <c r="D125" i="19" s="1"/>
  <c r="E125" i="19" s="1"/>
  <c r="C121" i="19"/>
  <c r="D121" i="19" s="1"/>
  <c r="E121" i="19" s="1"/>
  <c r="C119" i="19"/>
  <c r="D119" i="19" s="1"/>
  <c r="E119" i="19" s="1"/>
  <c r="C115" i="19"/>
  <c r="D115" i="19" s="1"/>
  <c r="C111" i="19"/>
  <c r="D111" i="19" s="1"/>
  <c r="E111" i="19" s="1"/>
  <c r="C107" i="19"/>
  <c r="D107" i="19" s="1"/>
  <c r="E107" i="19" s="1"/>
  <c r="C103" i="19"/>
  <c r="D103" i="19" s="1"/>
  <c r="E103" i="19" s="1"/>
  <c r="C198" i="19"/>
  <c r="D198" i="19" s="1"/>
  <c r="E198" i="19" s="1"/>
  <c r="C186" i="19"/>
  <c r="D186" i="19" s="1"/>
  <c r="E186" i="19" s="1"/>
  <c r="C172" i="19"/>
  <c r="D172" i="19" s="1"/>
  <c r="E172" i="19" s="1"/>
  <c r="C163" i="19"/>
  <c r="D163" i="19" s="1"/>
  <c r="E163" i="19" s="1"/>
  <c r="C159" i="19"/>
  <c r="D159" i="19" s="1"/>
  <c r="E159" i="19" s="1"/>
  <c r="C158" i="19"/>
  <c r="D158" i="19" s="1"/>
  <c r="E158" i="19" s="1"/>
  <c r="C148" i="19"/>
  <c r="D148" i="19" s="1"/>
  <c r="E148" i="19" s="1"/>
  <c r="C147" i="19"/>
  <c r="D147" i="19" s="1"/>
  <c r="E147" i="19" s="1"/>
  <c r="C142" i="19"/>
  <c r="D142" i="19" s="1"/>
  <c r="E142" i="19" s="1"/>
  <c r="C139" i="19"/>
  <c r="D139" i="19" s="1"/>
  <c r="E139" i="19" s="1"/>
  <c r="C133" i="19"/>
  <c r="D133" i="19" s="1"/>
  <c r="E133" i="19" s="1"/>
  <c r="C132" i="19"/>
  <c r="D132" i="19" s="1"/>
  <c r="E132" i="19" s="1"/>
  <c r="C130" i="19"/>
  <c r="D130" i="19" s="1"/>
  <c r="C127" i="19"/>
  <c r="D127" i="19" s="1"/>
  <c r="E127" i="19" s="1"/>
  <c r="C122" i="19"/>
  <c r="D122" i="19" s="1"/>
  <c r="E122" i="19" s="1"/>
  <c r="C114" i="19"/>
  <c r="D114" i="19" s="1"/>
  <c r="E114" i="19" s="1"/>
  <c r="C106" i="19"/>
  <c r="D106" i="19" s="1"/>
  <c r="E106" i="19" s="1"/>
  <c r="C102" i="19"/>
  <c r="D102" i="19" s="1"/>
  <c r="E102" i="19" s="1"/>
  <c r="C98" i="19"/>
  <c r="D98" i="19" s="1"/>
  <c r="E98" i="19" s="1"/>
  <c r="C94" i="19"/>
  <c r="D94" i="19" s="1"/>
  <c r="E94" i="19" s="1"/>
  <c r="C90" i="19"/>
  <c r="D90" i="19" s="1"/>
  <c r="E90" i="19" s="1"/>
  <c r="C86" i="19"/>
  <c r="D86" i="19" s="1"/>
  <c r="E86" i="19" s="1"/>
  <c r="C84" i="19"/>
  <c r="D84" i="19" s="1"/>
  <c r="E84" i="19" s="1"/>
  <c r="C80" i="19"/>
  <c r="D80" i="19" s="1"/>
  <c r="E80" i="19" s="1"/>
  <c r="C76" i="19"/>
  <c r="D76" i="19" s="1"/>
  <c r="E76" i="19" s="1"/>
  <c r="C74" i="19"/>
  <c r="D74" i="19" s="1"/>
  <c r="E74" i="19" s="1"/>
  <c r="C70" i="19"/>
  <c r="D70" i="19" s="1"/>
  <c r="C66" i="19"/>
  <c r="D66" i="19" s="1"/>
  <c r="E66" i="19" s="1"/>
  <c r="C62" i="19"/>
  <c r="D62" i="19" s="1"/>
  <c r="E62" i="19" s="1"/>
  <c r="C58" i="19"/>
  <c r="D58" i="19" s="1"/>
  <c r="E58" i="19" s="1"/>
  <c r="C52" i="19"/>
  <c r="D52" i="19" s="1"/>
  <c r="E52" i="19" s="1"/>
  <c r="C48" i="19"/>
  <c r="D48" i="19" s="1"/>
  <c r="E48" i="19" s="1"/>
  <c r="C42" i="19"/>
  <c r="D42" i="19" s="1"/>
  <c r="E42" i="19" s="1"/>
  <c r="C38" i="19"/>
  <c r="D38" i="19" s="1"/>
  <c r="E38" i="19" s="1"/>
  <c r="C34" i="19"/>
  <c r="D34" i="19" s="1"/>
  <c r="E34" i="19" s="1"/>
  <c r="C30" i="19"/>
  <c r="D30" i="19" s="1"/>
  <c r="E30" i="19" s="1"/>
  <c r="C26" i="19"/>
  <c r="D26" i="19" s="1"/>
  <c r="E26" i="19" s="1"/>
  <c r="C24" i="19"/>
  <c r="D24" i="19" s="1"/>
  <c r="E24" i="19" s="1"/>
  <c r="C20" i="19"/>
  <c r="D20" i="19" s="1"/>
  <c r="E20" i="19" s="1"/>
  <c r="C16" i="19"/>
  <c r="D16" i="19" s="1"/>
  <c r="E16" i="19" s="1"/>
  <c r="C14" i="19"/>
  <c r="D14" i="19" s="1"/>
  <c r="E14" i="19" s="1"/>
  <c r="C10" i="19"/>
  <c r="D10" i="19" s="1"/>
  <c r="C18" i="19"/>
  <c r="D18" i="19" s="1"/>
  <c r="E18" i="19" s="1"/>
  <c r="C21" i="19"/>
  <c r="D21" i="19" s="1"/>
  <c r="E21" i="19" s="1"/>
  <c r="C31" i="19"/>
  <c r="D31" i="19" s="1"/>
  <c r="E31" i="19" s="1"/>
  <c r="C36" i="19"/>
  <c r="D36" i="19" s="1"/>
  <c r="E36" i="19" s="1"/>
  <c r="C39" i="19"/>
  <c r="D39" i="19" s="1"/>
  <c r="E39" i="19" s="1"/>
  <c r="C46" i="19"/>
  <c r="D46" i="19" s="1"/>
  <c r="E46" i="19" s="1"/>
  <c r="C49" i="19"/>
  <c r="D49" i="19" s="1"/>
  <c r="E49" i="19" s="1"/>
  <c r="C54" i="19"/>
  <c r="D54" i="19" s="1"/>
  <c r="E54" i="19" s="1"/>
  <c r="C65" i="19"/>
  <c r="D65" i="19" s="1"/>
  <c r="E65" i="19" s="1"/>
  <c r="C78" i="19"/>
  <c r="D78" i="19" s="1"/>
  <c r="E78" i="19" s="1"/>
  <c r="C81" i="19"/>
  <c r="D81" i="19" s="1"/>
  <c r="E81" i="19" s="1"/>
  <c r="C91" i="19"/>
  <c r="D91" i="19" s="1"/>
  <c r="E91" i="19" s="1"/>
  <c r="C96" i="19"/>
  <c r="D96" i="19" s="1"/>
  <c r="E96" i="19" s="1"/>
  <c r="C99" i="19"/>
  <c r="D99" i="19" s="1"/>
  <c r="E99" i="19" s="1"/>
  <c r="C104" i="19"/>
  <c r="D104" i="19" s="1"/>
  <c r="E104" i="19" s="1"/>
  <c r="C112" i="19"/>
  <c r="D112" i="19" s="1"/>
  <c r="E112" i="19" s="1"/>
  <c r="C126" i="19"/>
  <c r="D126" i="19" s="1"/>
  <c r="E126" i="19" s="1"/>
  <c r="C144" i="19"/>
  <c r="D144" i="19" s="1"/>
  <c r="E144" i="19" s="1"/>
  <c r="C168" i="19"/>
  <c r="D168" i="19" s="1"/>
  <c r="E168" i="19" s="1"/>
  <c r="C203" i="19"/>
  <c r="D203" i="19" s="1"/>
  <c r="E203" i="19" s="1"/>
  <c r="C212" i="19"/>
  <c r="D212" i="19" s="1"/>
  <c r="E212" i="19" s="1"/>
  <c r="C212" i="18"/>
  <c r="D212" i="18" s="1"/>
  <c r="E212" i="18" s="1"/>
  <c r="R96" i="18"/>
  <c r="S96" i="18" s="1"/>
  <c r="T96" i="18" s="1"/>
  <c r="L251" i="18"/>
  <c r="M251" i="18" s="1"/>
  <c r="L247" i="18"/>
  <c r="M247" i="18" s="1"/>
  <c r="N247" i="18" s="1"/>
  <c r="L243" i="18"/>
  <c r="M243" i="18" s="1"/>
  <c r="N243" i="18" s="1"/>
  <c r="L239" i="18"/>
  <c r="M239" i="18" s="1"/>
  <c r="N239" i="18" s="1"/>
  <c r="L248" i="18"/>
  <c r="M248" i="18" s="1"/>
  <c r="N248" i="18" s="1"/>
  <c r="L244" i="18"/>
  <c r="M244" i="18" s="1"/>
  <c r="N244" i="18" s="1"/>
  <c r="L238" i="18"/>
  <c r="M238" i="18" s="1"/>
  <c r="N238" i="18" s="1"/>
  <c r="L249" i="18"/>
  <c r="M249" i="18" s="1"/>
  <c r="N249" i="18" s="1"/>
  <c r="L245" i="18"/>
  <c r="M245" i="18" s="1"/>
  <c r="N245" i="18" s="1"/>
  <c r="L241" i="18"/>
  <c r="M241" i="18" s="1"/>
  <c r="N241" i="18" s="1"/>
  <c r="L240" i="18"/>
  <c r="M240" i="18" s="1"/>
  <c r="N240" i="18" s="1"/>
  <c r="L237" i="18"/>
  <c r="M237" i="18" s="1"/>
  <c r="N237" i="18" s="1"/>
  <c r="L234" i="18"/>
  <c r="M234" i="18" s="1"/>
  <c r="N234" i="18" s="1"/>
  <c r="L232" i="18"/>
  <c r="M232" i="18" s="1"/>
  <c r="N232" i="18" s="1"/>
  <c r="L228" i="18"/>
  <c r="M228" i="18" s="1"/>
  <c r="N228" i="18" s="1"/>
  <c r="L235" i="18"/>
  <c r="M235" i="18" s="1"/>
  <c r="N235" i="18" s="1"/>
  <c r="L233" i="18"/>
  <c r="M233" i="18" s="1"/>
  <c r="N233" i="18" s="1"/>
  <c r="L229" i="18"/>
  <c r="M229" i="18" s="1"/>
  <c r="N229" i="18" s="1"/>
  <c r="L223" i="18"/>
  <c r="M223" i="18" s="1"/>
  <c r="N223" i="18" s="1"/>
  <c r="L219" i="18"/>
  <c r="M219" i="18" s="1"/>
  <c r="N219" i="18" s="1"/>
  <c r="L215" i="18"/>
  <c r="M215" i="18" s="1"/>
  <c r="N215" i="18" s="1"/>
  <c r="L211" i="18"/>
  <c r="M211" i="18" s="1"/>
  <c r="N211" i="18" s="1"/>
  <c r="L230" i="18"/>
  <c r="M230" i="18" s="1"/>
  <c r="N230" i="18" s="1"/>
  <c r="L226" i="18"/>
  <c r="M226" i="18" s="1"/>
  <c r="N226" i="18" s="1"/>
  <c r="L220" i="18"/>
  <c r="M220" i="18" s="1"/>
  <c r="N220" i="18" s="1"/>
  <c r="L212" i="18"/>
  <c r="M212" i="18" s="1"/>
  <c r="N212" i="18" s="1"/>
  <c r="L207" i="18"/>
  <c r="M207" i="18" s="1"/>
  <c r="N207" i="18" s="1"/>
  <c r="L205" i="18"/>
  <c r="M205" i="18" s="1"/>
  <c r="N205" i="18" s="1"/>
  <c r="L201" i="18"/>
  <c r="M201" i="18" s="1"/>
  <c r="N201" i="18" s="1"/>
  <c r="L197" i="18"/>
  <c r="M197" i="18" s="1"/>
  <c r="N197" i="18" s="1"/>
  <c r="L195" i="18"/>
  <c r="M195" i="18" s="1"/>
  <c r="N195" i="18" s="1"/>
  <c r="L250" i="18"/>
  <c r="M250" i="18" s="1"/>
  <c r="N250" i="18" s="1"/>
  <c r="L242" i="18"/>
  <c r="M242" i="18" s="1"/>
  <c r="N242" i="18" s="1"/>
  <c r="L225" i="18"/>
  <c r="M225" i="18" s="1"/>
  <c r="N225" i="18" s="1"/>
  <c r="L222" i="18"/>
  <c r="M222" i="18" s="1"/>
  <c r="N222" i="18" s="1"/>
  <c r="L221" i="18"/>
  <c r="M221" i="18" s="1"/>
  <c r="L218" i="18"/>
  <c r="M218" i="18" s="1"/>
  <c r="N218" i="18" s="1"/>
  <c r="L236" i="18"/>
  <c r="M236" i="18" s="1"/>
  <c r="L227" i="18"/>
  <c r="M227" i="18" s="1"/>
  <c r="N227" i="18" s="1"/>
  <c r="L217" i="18"/>
  <c r="M217" i="18" s="1"/>
  <c r="N217" i="18" s="1"/>
  <c r="L216" i="18"/>
  <c r="M216" i="18" s="1"/>
  <c r="N216" i="18" s="1"/>
  <c r="L210" i="18"/>
  <c r="M210" i="18" s="1"/>
  <c r="N210" i="18" s="1"/>
  <c r="L209" i="18"/>
  <c r="M209" i="18" s="1"/>
  <c r="N209" i="18" s="1"/>
  <c r="L224" i="18"/>
  <c r="M224" i="18" s="1"/>
  <c r="N224" i="18" s="1"/>
  <c r="L213" i="18"/>
  <c r="M213" i="18" s="1"/>
  <c r="N213" i="18" s="1"/>
  <c r="L208" i="18"/>
  <c r="M208" i="18" s="1"/>
  <c r="N208" i="18" s="1"/>
  <c r="L204" i="18"/>
  <c r="M204" i="18" s="1"/>
  <c r="N204" i="18" s="1"/>
  <c r="L199" i="18"/>
  <c r="M199" i="18" s="1"/>
  <c r="N199" i="18" s="1"/>
  <c r="L196" i="18"/>
  <c r="M196" i="18" s="1"/>
  <c r="N196" i="18" s="1"/>
  <c r="L194" i="18"/>
  <c r="M194" i="18" s="1"/>
  <c r="N194" i="18" s="1"/>
  <c r="L188" i="18"/>
  <c r="M188" i="18" s="1"/>
  <c r="N188" i="18" s="1"/>
  <c r="L184" i="18"/>
  <c r="M184" i="18" s="1"/>
  <c r="N184" i="18" s="1"/>
  <c r="L206" i="18"/>
  <c r="M206" i="18" s="1"/>
  <c r="L203" i="18"/>
  <c r="M203" i="18" s="1"/>
  <c r="N203" i="18" s="1"/>
  <c r="L198" i="18"/>
  <c r="M198" i="18" s="1"/>
  <c r="N198" i="18" s="1"/>
  <c r="L190" i="18"/>
  <c r="M190" i="18" s="1"/>
  <c r="N190" i="18" s="1"/>
  <c r="L187" i="18"/>
  <c r="M187" i="18" s="1"/>
  <c r="N187" i="18" s="1"/>
  <c r="L182" i="18"/>
  <c r="M182" i="18" s="1"/>
  <c r="N182" i="18" s="1"/>
  <c r="L179" i="18"/>
  <c r="M179" i="18" s="1"/>
  <c r="N179" i="18" s="1"/>
  <c r="L173" i="18"/>
  <c r="M173" i="18" s="1"/>
  <c r="N173" i="18" s="1"/>
  <c r="L169" i="18"/>
  <c r="M169" i="18" s="1"/>
  <c r="N169" i="18" s="1"/>
  <c r="L163" i="18"/>
  <c r="M163" i="18" s="1"/>
  <c r="N163" i="18" s="1"/>
  <c r="L159" i="18"/>
  <c r="M159" i="18" s="1"/>
  <c r="N159" i="18" s="1"/>
  <c r="L155" i="18"/>
  <c r="M155" i="18" s="1"/>
  <c r="N155" i="18" s="1"/>
  <c r="L151" i="18"/>
  <c r="M151" i="18" s="1"/>
  <c r="N151" i="18" s="1"/>
  <c r="L147" i="18"/>
  <c r="M147" i="18" s="1"/>
  <c r="N147" i="18" s="1"/>
  <c r="L145" i="18"/>
  <c r="M145" i="18" s="1"/>
  <c r="N145" i="18" s="1"/>
  <c r="L141" i="18"/>
  <c r="M141" i="18" s="1"/>
  <c r="N141" i="18" s="1"/>
  <c r="L137" i="18"/>
  <c r="M137" i="18" s="1"/>
  <c r="N137" i="18" s="1"/>
  <c r="L135" i="18"/>
  <c r="M135" i="18" s="1"/>
  <c r="N135" i="18" s="1"/>
  <c r="L214" i="18"/>
  <c r="M214" i="18" s="1"/>
  <c r="N214" i="18" s="1"/>
  <c r="L200" i="18"/>
  <c r="M200" i="18" s="1"/>
  <c r="N200" i="18" s="1"/>
  <c r="L193" i="18"/>
  <c r="M193" i="18" s="1"/>
  <c r="N193" i="18" s="1"/>
  <c r="L192" i="18"/>
  <c r="M192" i="18" s="1"/>
  <c r="N192" i="18" s="1"/>
  <c r="L185" i="18"/>
  <c r="M185" i="18" s="1"/>
  <c r="N185" i="18" s="1"/>
  <c r="L178" i="18"/>
  <c r="M178" i="18" s="1"/>
  <c r="N178" i="18" s="1"/>
  <c r="L174" i="18"/>
  <c r="M174" i="18" s="1"/>
  <c r="N174" i="18" s="1"/>
  <c r="L170" i="18"/>
  <c r="M170" i="18" s="1"/>
  <c r="N170" i="18" s="1"/>
  <c r="L166" i="18"/>
  <c r="M166" i="18" s="1"/>
  <c r="N166" i="18" s="1"/>
  <c r="L162" i="18"/>
  <c r="M162" i="18" s="1"/>
  <c r="N162" i="18" s="1"/>
  <c r="L160" i="18"/>
  <c r="M160" i="18" s="1"/>
  <c r="N160" i="18" s="1"/>
  <c r="L156" i="18"/>
  <c r="M156" i="18" s="1"/>
  <c r="N156" i="18" s="1"/>
  <c r="L152" i="18"/>
  <c r="M152" i="18" s="1"/>
  <c r="N152" i="18" s="1"/>
  <c r="L150" i="18"/>
  <c r="M150" i="18" s="1"/>
  <c r="N150" i="18" s="1"/>
  <c r="L231" i="18"/>
  <c r="M231" i="18" s="1"/>
  <c r="N231" i="18" s="1"/>
  <c r="L183" i="18"/>
  <c r="M183" i="18" s="1"/>
  <c r="N183" i="18" s="1"/>
  <c r="L175" i="18"/>
  <c r="M175" i="18" s="1"/>
  <c r="N175" i="18" s="1"/>
  <c r="L171" i="18"/>
  <c r="M171" i="18" s="1"/>
  <c r="N171" i="18" s="1"/>
  <c r="L167" i="18"/>
  <c r="M167" i="18" s="1"/>
  <c r="N167" i="18" s="1"/>
  <c r="L144" i="18"/>
  <c r="M144" i="18" s="1"/>
  <c r="N144" i="18" s="1"/>
  <c r="L139" i="18"/>
  <c r="M139" i="18" s="1"/>
  <c r="N139" i="18" s="1"/>
  <c r="L136" i="18"/>
  <c r="M136" i="18" s="1"/>
  <c r="N136" i="18" s="1"/>
  <c r="L134" i="18"/>
  <c r="M134" i="18" s="1"/>
  <c r="N134" i="18" s="1"/>
  <c r="L133" i="18"/>
  <c r="M133" i="18" s="1"/>
  <c r="N133" i="18" s="1"/>
  <c r="L130" i="18"/>
  <c r="M130" i="18" s="1"/>
  <c r="N130" i="18" s="1"/>
  <c r="L126" i="18"/>
  <c r="M126" i="18" s="1"/>
  <c r="N126" i="18" s="1"/>
  <c r="L122" i="18"/>
  <c r="M122" i="18" s="1"/>
  <c r="N122" i="18" s="1"/>
  <c r="L118" i="18"/>
  <c r="M118" i="18" s="1"/>
  <c r="N118" i="18" s="1"/>
  <c r="L186" i="18"/>
  <c r="M186" i="18" s="1"/>
  <c r="N186" i="18" s="1"/>
  <c r="L165" i="18"/>
  <c r="M165" i="18" s="1"/>
  <c r="N165" i="18" s="1"/>
  <c r="L164" i="18"/>
  <c r="M164" i="18" s="1"/>
  <c r="N164" i="18" s="1"/>
  <c r="L161" i="18"/>
  <c r="M161" i="18" s="1"/>
  <c r="L157" i="18"/>
  <c r="M157" i="18" s="1"/>
  <c r="N157" i="18" s="1"/>
  <c r="L153" i="18"/>
  <c r="M153" i="18" s="1"/>
  <c r="N153" i="18" s="1"/>
  <c r="L142" i="18"/>
  <c r="M142" i="18" s="1"/>
  <c r="N142" i="18" s="1"/>
  <c r="L127" i="18"/>
  <c r="M127" i="18" s="1"/>
  <c r="N127" i="18" s="1"/>
  <c r="L123" i="18"/>
  <c r="M123" i="18" s="1"/>
  <c r="N123" i="18" s="1"/>
  <c r="L117" i="18"/>
  <c r="M117" i="18" s="1"/>
  <c r="N117" i="18" s="1"/>
  <c r="L113" i="18"/>
  <c r="M113" i="18" s="1"/>
  <c r="N113" i="18" s="1"/>
  <c r="L109" i="18"/>
  <c r="M109" i="18" s="1"/>
  <c r="N109" i="18" s="1"/>
  <c r="L105" i="18"/>
  <c r="M105" i="18" s="1"/>
  <c r="N105" i="18" s="1"/>
  <c r="L101" i="18"/>
  <c r="M101" i="18" s="1"/>
  <c r="N101" i="18" s="1"/>
  <c r="L99" i="18"/>
  <c r="M99" i="18" s="1"/>
  <c r="N99" i="18" s="1"/>
  <c r="L154" i="18"/>
  <c r="M154" i="18" s="1"/>
  <c r="N154" i="18" s="1"/>
  <c r="L149" i="18"/>
  <c r="M149" i="18" s="1"/>
  <c r="N149" i="18" s="1"/>
  <c r="L143" i="18"/>
  <c r="M143" i="18" s="1"/>
  <c r="N143" i="18" s="1"/>
  <c r="L138" i="18"/>
  <c r="M138" i="18" s="1"/>
  <c r="N138" i="18" s="1"/>
  <c r="L128" i="18"/>
  <c r="M128" i="18" s="1"/>
  <c r="N128" i="18" s="1"/>
  <c r="L124" i="18"/>
  <c r="M124" i="18" s="1"/>
  <c r="N124" i="18" s="1"/>
  <c r="L120" i="18"/>
  <c r="M120" i="18" s="1"/>
  <c r="N120" i="18" s="1"/>
  <c r="L119" i="18"/>
  <c r="M119" i="18" s="1"/>
  <c r="N119" i="18" s="1"/>
  <c r="L111" i="18"/>
  <c r="M111" i="18" s="1"/>
  <c r="N111" i="18" s="1"/>
  <c r="L108" i="18"/>
  <c r="M108" i="18" s="1"/>
  <c r="N108" i="18" s="1"/>
  <c r="L102" i="18"/>
  <c r="M102" i="18" s="1"/>
  <c r="N102" i="18" s="1"/>
  <c r="L96" i="18"/>
  <c r="M96" i="18" s="1"/>
  <c r="N96" i="18" s="1"/>
  <c r="L92" i="18"/>
  <c r="M92" i="18" s="1"/>
  <c r="N92" i="18" s="1"/>
  <c r="L88" i="18"/>
  <c r="M88" i="18" s="1"/>
  <c r="N88" i="18" s="1"/>
  <c r="L82" i="18"/>
  <c r="M82" i="18" s="1"/>
  <c r="N82" i="18" s="1"/>
  <c r="L78" i="18"/>
  <c r="M78" i="18" s="1"/>
  <c r="N78" i="18" s="1"/>
  <c r="L72" i="18"/>
  <c r="M72" i="18" s="1"/>
  <c r="N72" i="18" s="1"/>
  <c r="L68" i="18"/>
  <c r="M68" i="18" s="1"/>
  <c r="N68" i="18" s="1"/>
  <c r="L64" i="18"/>
  <c r="M64" i="18" s="1"/>
  <c r="N64" i="18" s="1"/>
  <c r="L60" i="18"/>
  <c r="M60" i="18" s="1"/>
  <c r="N60" i="18" s="1"/>
  <c r="L56" i="18"/>
  <c r="M56" i="18" s="1"/>
  <c r="N56" i="18" s="1"/>
  <c r="L54" i="18"/>
  <c r="M54" i="18" s="1"/>
  <c r="N54" i="18" s="1"/>
  <c r="L50" i="18"/>
  <c r="M50" i="18" s="1"/>
  <c r="N50" i="18" s="1"/>
  <c r="L46" i="18"/>
  <c r="M46" i="18" s="1"/>
  <c r="N46" i="18" s="1"/>
  <c r="L44" i="18"/>
  <c r="M44" i="18" s="1"/>
  <c r="N44" i="18" s="1"/>
  <c r="L40" i="18"/>
  <c r="M40" i="18" s="1"/>
  <c r="L36" i="18"/>
  <c r="M36" i="18" s="1"/>
  <c r="N36" i="18" s="1"/>
  <c r="L32" i="18"/>
  <c r="M32" i="18" s="1"/>
  <c r="N32" i="18" s="1"/>
  <c r="L28" i="18"/>
  <c r="M28" i="18" s="1"/>
  <c r="N28" i="18" s="1"/>
  <c r="L22" i="18"/>
  <c r="M22" i="18" s="1"/>
  <c r="N22" i="18" s="1"/>
  <c r="L18" i="18"/>
  <c r="M18" i="18" s="1"/>
  <c r="N18" i="18" s="1"/>
  <c r="L12" i="18"/>
  <c r="M12" i="18" s="1"/>
  <c r="N12" i="18" s="1"/>
  <c r="L189" i="18"/>
  <c r="M189" i="18" s="1"/>
  <c r="N189" i="18" s="1"/>
  <c r="L177" i="18"/>
  <c r="M177" i="18" s="1"/>
  <c r="N177" i="18" s="1"/>
  <c r="L158" i="18"/>
  <c r="M158" i="18" s="1"/>
  <c r="N158" i="18" s="1"/>
  <c r="L129" i="18"/>
  <c r="M129" i="18" s="1"/>
  <c r="N129" i="18" s="1"/>
  <c r="L191" i="18"/>
  <c r="M191" i="18" s="1"/>
  <c r="L180" i="18"/>
  <c r="M180" i="18" s="1"/>
  <c r="N180" i="18" s="1"/>
  <c r="L176" i="18"/>
  <c r="M176" i="18" s="1"/>
  <c r="L168" i="18"/>
  <c r="M168" i="18" s="1"/>
  <c r="N168" i="18" s="1"/>
  <c r="L132" i="18"/>
  <c r="M132" i="18" s="1"/>
  <c r="N132" i="18" s="1"/>
  <c r="L131" i="18"/>
  <c r="M131" i="18" s="1"/>
  <c r="L114" i="18"/>
  <c r="M114" i="18" s="1"/>
  <c r="N114" i="18" s="1"/>
  <c r="L106" i="18"/>
  <c r="M106" i="18" s="1"/>
  <c r="N106" i="18" s="1"/>
  <c r="L97" i="18"/>
  <c r="M97" i="18" s="1"/>
  <c r="N97" i="18" s="1"/>
  <c r="L93" i="18"/>
  <c r="M93" i="18" s="1"/>
  <c r="N93" i="18" s="1"/>
  <c r="L87" i="18"/>
  <c r="M87" i="18" s="1"/>
  <c r="N87" i="18" s="1"/>
  <c r="L83" i="18"/>
  <c r="M83" i="18" s="1"/>
  <c r="N83" i="18" s="1"/>
  <c r="L79" i="18"/>
  <c r="M79" i="18" s="1"/>
  <c r="N79" i="18" s="1"/>
  <c r="L75" i="18"/>
  <c r="M75" i="18" s="1"/>
  <c r="N75" i="18" s="1"/>
  <c r="L71" i="18"/>
  <c r="M71" i="18" s="1"/>
  <c r="N71" i="18" s="1"/>
  <c r="L69" i="18"/>
  <c r="M69" i="18" s="1"/>
  <c r="N69" i="18" s="1"/>
  <c r="L65" i="18"/>
  <c r="M65" i="18" s="1"/>
  <c r="N65" i="18" s="1"/>
  <c r="L61" i="18"/>
  <c r="M61" i="18" s="1"/>
  <c r="N61" i="18" s="1"/>
  <c r="L59" i="18"/>
  <c r="M59" i="18" s="1"/>
  <c r="N59" i="18" s="1"/>
  <c r="L55" i="18"/>
  <c r="M55" i="18" s="1"/>
  <c r="L51" i="18"/>
  <c r="M51" i="18" s="1"/>
  <c r="N51" i="18" s="1"/>
  <c r="L47" i="18"/>
  <c r="M47" i="18" s="1"/>
  <c r="N47" i="18" s="1"/>
  <c r="L43" i="18"/>
  <c r="M43" i="18" s="1"/>
  <c r="N43" i="18" s="1"/>
  <c r="L37" i="18"/>
  <c r="M37" i="18" s="1"/>
  <c r="N37" i="18" s="1"/>
  <c r="L33" i="18"/>
  <c r="M33" i="18" s="1"/>
  <c r="N33" i="18" s="1"/>
  <c r="L27" i="18"/>
  <c r="M27" i="18" s="1"/>
  <c r="N27" i="18" s="1"/>
  <c r="L23" i="18"/>
  <c r="M23" i="18" s="1"/>
  <c r="N23" i="18" s="1"/>
  <c r="L19" i="18"/>
  <c r="M19" i="18" s="1"/>
  <c r="N19" i="18" s="1"/>
  <c r="L15" i="18"/>
  <c r="M15" i="18" s="1"/>
  <c r="N15" i="18" s="1"/>
  <c r="L11" i="18"/>
  <c r="M11" i="18" s="1"/>
  <c r="N11" i="18" s="1"/>
  <c r="L246" i="18"/>
  <c r="M246" i="18" s="1"/>
  <c r="N246" i="18" s="1"/>
  <c r="L202" i="18"/>
  <c r="M202" i="18" s="1"/>
  <c r="N202" i="18" s="1"/>
  <c r="L181" i="18"/>
  <c r="M181" i="18" s="1"/>
  <c r="N181" i="18" s="1"/>
  <c r="L146" i="18"/>
  <c r="M146" i="18" s="1"/>
  <c r="L125" i="18"/>
  <c r="M125" i="18" s="1"/>
  <c r="N125" i="18" s="1"/>
  <c r="L121" i="18"/>
  <c r="M121" i="18" s="1"/>
  <c r="N121" i="18" s="1"/>
  <c r="L116" i="18"/>
  <c r="M116" i="18" s="1"/>
  <c r="N116" i="18" s="1"/>
  <c r="L10" i="18"/>
  <c r="M10" i="18" s="1"/>
  <c r="L14" i="18"/>
  <c r="M14" i="18" s="1"/>
  <c r="N14" i="18" s="1"/>
  <c r="O15" i="18"/>
  <c r="P15" i="18" s="1"/>
  <c r="Q15" i="18" s="1"/>
  <c r="R18" i="18"/>
  <c r="S18" i="18" s="1"/>
  <c r="T18" i="18" s="1"/>
  <c r="O19" i="18"/>
  <c r="P19" i="18" s="1"/>
  <c r="Q19" i="18" s="1"/>
  <c r="C24" i="18"/>
  <c r="D24" i="18" s="1"/>
  <c r="E24" i="18" s="1"/>
  <c r="O26" i="18"/>
  <c r="P26" i="18" s="1"/>
  <c r="Q26" i="18" s="1"/>
  <c r="O30" i="18"/>
  <c r="P30" i="18" s="1"/>
  <c r="Q30" i="18" s="1"/>
  <c r="I31" i="18"/>
  <c r="J31" i="18" s="1"/>
  <c r="K31" i="18" s="1"/>
  <c r="C33" i="18"/>
  <c r="D33" i="18" s="1"/>
  <c r="E33" i="18" s="1"/>
  <c r="O34" i="18"/>
  <c r="P34" i="18" s="1"/>
  <c r="Q34" i="18" s="1"/>
  <c r="I35" i="18"/>
  <c r="J35" i="18" s="1"/>
  <c r="K35" i="18" s="1"/>
  <c r="C37" i="18"/>
  <c r="D37" i="18" s="1"/>
  <c r="E37" i="18" s="1"/>
  <c r="O38" i="18"/>
  <c r="P38" i="18" s="1"/>
  <c r="Q38" i="18" s="1"/>
  <c r="I39" i="18"/>
  <c r="J39" i="18" s="1"/>
  <c r="K39" i="18" s="1"/>
  <c r="C43" i="18"/>
  <c r="D43" i="18" s="1"/>
  <c r="E43" i="18" s="1"/>
  <c r="R47" i="18"/>
  <c r="S47" i="18" s="1"/>
  <c r="T47" i="18" s="1"/>
  <c r="L48" i="18"/>
  <c r="M48" i="18" s="1"/>
  <c r="N48" i="18" s="1"/>
  <c r="L52" i="18"/>
  <c r="M52" i="18" s="1"/>
  <c r="N52" i="18" s="1"/>
  <c r="R55" i="18"/>
  <c r="S55" i="18" s="1"/>
  <c r="T55" i="18" s="1"/>
  <c r="O58" i="18"/>
  <c r="P58" i="18" s="1"/>
  <c r="Q58" i="18" s="1"/>
  <c r="L62" i="18"/>
  <c r="M62" i="18" s="1"/>
  <c r="N62" i="18" s="1"/>
  <c r="R72" i="18"/>
  <c r="S72" i="18" s="1"/>
  <c r="T72" i="18" s="1"/>
  <c r="L73" i="18"/>
  <c r="M73" i="18" s="1"/>
  <c r="N73" i="18" s="1"/>
  <c r="O75" i="18"/>
  <c r="P75" i="18" s="1"/>
  <c r="Q75" i="18" s="1"/>
  <c r="R78" i="18"/>
  <c r="S78" i="18" s="1"/>
  <c r="T78" i="18" s="1"/>
  <c r="O79" i="18"/>
  <c r="P79" i="18" s="1"/>
  <c r="Q79" i="18" s="1"/>
  <c r="C84" i="18"/>
  <c r="D84" i="18" s="1"/>
  <c r="E84" i="18" s="1"/>
  <c r="O86" i="18"/>
  <c r="P86" i="18" s="1"/>
  <c r="Q86" i="18" s="1"/>
  <c r="I91" i="18"/>
  <c r="J91" i="18" s="1"/>
  <c r="K91" i="18" s="1"/>
  <c r="C93" i="18"/>
  <c r="D93" i="18" s="1"/>
  <c r="E93" i="18" s="1"/>
  <c r="O94" i="18"/>
  <c r="P94" i="18" s="1"/>
  <c r="Q94" i="18" s="1"/>
  <c r="C100" i="18"/>
  <c r="D100" i="18" s="1"/>
  <c r="O106" i="18"/>
  <c r="P106" i="18" s="1"/>
  <c r="Q106" i="18" s="1"/>
  <c r="I113" i="18"/>
  <c r="J113" i="18" s="1"/>
  <c r="K113" i="18" s="1"/>
  <c r="C123" i="18"/>
  <c r="D123" i="18" s="1"/>
  <c r="E123" i="18" s="1"/>
  <c r="L148" i="18"/>
  <c r="M148" i="18" s="1"/>
  <c r="N148" i="18" s="1"/>
  <c r="O178" i="18"/>
  <c r="P178" i="18" s="1"/>
  <c r="Q178" i="18" s="1"/>
  <c r="C189" i="18"/>
  <c r="D189" i="18" s="1"/>
  <c r="E189" i="18" s="1"/>
  <c r="C195" i="18"/>
  <c r="D195" i="18" s="1"/>
  <c r="E195" i="18" s="1"/>
  <c r="O250" i="18"/>
  <c r="P250" i="18" s="1"/>
  <c r="Q250" i="18" s="1"/>
  <c r="O246" i="18"/>
  <c r="P246" i="18" s="1"/>
  <c r="Q246" i="18" s="1"/>
  <c r="O242" i="18"/>
  <c r="P242" i="18" s="1"/>
  <c r="Q242" i="18" s="1"/>
  <c r="O240" i="18"/>
  <c r="P240" i="18" s="1"/>
  <c r="Q240" i="18" s="1"/>
  <c r="O236" i="18"/>
  <c r="P236" i="18" s="1"/>
  <c r="O251" i="18"/>
  <c r="P251" i="18" s="1"/>
  <c r="O247" i="18"/>
  <c r="P247" i="18" s="1"/>
  <c r="Q247" i="18" s="1"/>
  <c r="O243" i="18"/>
  <c r="P243" i="18" s="1"/>
  <c r="Q243" i="18" s="1"/>
  <c r="O239" i="18"/>
  <c r="P239" i="18" s="1"/>
  <c r="Q239" i="18" s="1"/>
  <c r="O238" i="18"/>
  <c r="P238" i="18" s="1"/>
  <c r="Q238" i="18" s="1"/>
  <c r="O231" i="18"/>
  <c r="P231" i="18" s="1"/>
  <c r="Q231" i="18" s="1"/>
  <c r="O227" i="18"/>
  <c r="P227" i="18" s="1"/>
  <c r="Q227" i="18" s="1"/>
  <c r="O248" i="18"/>
  <c r="P248" i="18" s="1"/>
  <c r="Q248" i="18" s="1"/>
  <c r="O244" i="18"/>
  <c r="P244" i="18" s="1"/>
  <c r="Q244" i="18" s="1"/>
  <c r="O232" i="18"/>
  <c r="P232" i="18" s="1"/>
  <c r="Q232" i="18" s="1"/>
  <c r="O228" i="18"/>
  <c r="P228" i="18" s="1"/>
  <c r="Q228" i="18" s="1"/>
  <c r="O224" i="18"/>
  <c r="P224" i="18" s="1"/>
  <c r="Q224" i="18" s="1"/>
  <c r="O218" i="18"/>
  <c r="P218" i="18" s="1"/>
  <c r="Q218" i="18" s="1"/>
  <c r="O214" i="18"/>
  <c r="P214" i="18" s="1"/>
  <c r="Q214" i="18" s="1"/>
  <c r="O245" i="18"/>
  <c r="P245" i="18" s="1"/>
  <c r="Q245" i="18" s="1"/>
  <c r="O235" i="18"/>
  <c r="P235" i="18" s="1"/>
  <c r="Q235" i="18" s="1"/>
  <c r="O234" i="18"/>
  <c r="P234" i="18" s="1"/>
  <c r="Q234" i="18" s="1"/>
  <c r="O219" i="18"/>
  <c r="P219" i="18" s="1"/>
  <c r="Q219" i="18" s="1"/>
  <c r="O216" i="18"/>
  <c r="P216" i="18" s="1"/>
  <c r="Q216" i="18" s="1"/>
  <c r="O211" i="18"/>
  <c r="P211" i="18" s="1"/>
  <c r="Q211" i="18" s="1"/>
  <c r="O210" i="18"/>
  <c r="P210" i="18" s="1"/>
  <c r="Q210" i="18" s="1"/>
  <c r="O209" i="18"/>
  <c r="P209" i="18" s="1"/>
  <c r="Q209" i="18" s="1"/>
  <c r="O208" i="18"/>
  <c r="P208" i="18" s="1"/>
  <c r="Q208" i="18" s="1"/>
  <c r="O204" i="18"/>
  <c r="P204" i="18" s="1"/>
  <c r="Q204" i="18" s="1"/>
  <c r="O200" i="18"/>
  <c r="P200" i="18" s="1"/>
  <c r="Q200" i="18" s="1"/>
  <c r="O196" i="18"/>
  <c r="P196" i="18" s="1"/>
  <c r="Q196" i="18" s="1"/>
  <c r="O233" i="18"/>
  <c r="P233" i="18" s="1"/>
  <c r="Q233" i="18" s="1"/>
  <c r="O229" i="18"/>
  <c r="P229" i="18" s="1"/>
  <c r="Q229" i="18" s="1"/>
  <c r="O217" i="18"/>
  <c r="P217" i="18" s="1"/>
  <c r="Q217" i="18" s="1"/>
  <c r="O213" i="18"/>
  <c r="P213" i="18" s="1"/>
  <c r="Q213" i="18" s="1"/>
  <c r="O241" i="18"/>
  <c r="P241" i="18" s="1"/>
  <c r="Q241" i="18" s="1"/>
  <c r="O226" i="18"/>
  <c r="P226" i="18" s="1"/>
  <c r="Q226" i="18" s="1"/>
  <c r="O223" i="18"/>
  <c r="P223" i="18" s="1"/>
  <c r="Q223" i="18" s="1"/>
  <c r="O215" i="18"/>
  <c r="P215" i="18" s="1"/>
  <c r="Q215" i="18" s="1"/>
  <c r="O203" i="18"/>
  <c r="P203" i="18" s="1"/>
  <c r="Q203" i="18" s="1"/>
  <c r="O191" i="18"/>
  <c r="P191" i="18" s="1"/>
  <c r="O187" i="18"/>
  <c r="P187" i="18" s="1"/>
  <c r="Q187" i="18" s="1"/>
  <c r="O183" i="18"/>
  <c r="P183" i="18" s="1"/>
  <c r="Q183" i="18" s="1"/>
  <c r="O220" i="18"/>
  <c r="P220" i="18" s="1"/>
  <c r="Q220" i="18" s="1"/>
  <c r="O212" i="18"/>
  <c r="P212" i="18" s="1"/>
  <c r="Q212" i="18" s="1"/>
  <c r="O201" i="18"/>
  <c r="P201" i="18" s="1"/>
  <c r="Q201" i="18" s="1"/>
  <c r="O186" i="18"/>
  <c r="P186" i="18" s="1"/>
  <c r="Q186" i="18" s="1"/>
  <c r="O180" i="18"/>
  <c r="P180" i="18" s="1"/>
  <c r="Q180" i="18" s="1"/>
  <c r="O176" i="18"/>
  <c r="P176" i="18" s="1"/>
  <c r="O172" i="18"/>
  <c r="P172" i="18" s="1"/>
  <c r="Q172" i="18" s="1"/>
  <c r="O168" i="18"/>
  <c r="P168" i="18" s="1"/>
  <c r="Q168" i="18" s="1"/>
  <c r="O164" i="18"/>
  <c r="P164" i="18" s="1"/>
  <c r="Q164" i="18" s="1"/>
  <c r="O158" i="18"/>
  <c r="P158" i="18" s="1"/>
  <c r="Q158" i="18" s="1"/>
  <c r="O154" i="18"/>
  <c r="P154" i="18" s="1"/>
  <c r="Q154" i="18" s="1"/>
  <c r="O148" i="18"/>
  <c r="P148" i="18" s="1"/>
  <c r="Q148" i="18" s="1"/>
  <c r="O144" i="18"/>
  <c r="P144" i="18" s="1"/>
  <c r="Q144" i="18" s="1"/>
  <c r="O140" i="18"/>
  <c r="P140" i="18" s="1"/>
  <c r="Q140" i="18" s="1"/>
  <c r="O136" i="18"/>
  <c r="P136" i="18" s="1"/>
  <c r="Q136" i="18" s="1"/>
  <c r="O237" i="18"/>
  <c r="P237" i="18" s="1"/>
  <c r="Q237" i="18" s="1"/>
  <c r="O205" i="18"/>
  <c r="P205" i="18" s="1"/>
  <c r="Q205" i="18" s="1"/>
  <c r="O197" i="18"/>
  <c r="P197" i="18" s="1"/>
  <c r="Q197" i="18" s="1"/>
  <c r="O189" i="18"/>
  <c r="P189" i="18" s="1"/>
  <c r="Q189" i="18" s="1"/>
  <c r="O184" i="18"/>
  <c r="P184" i="18" s="1"/>
  <c r="Q184" i="18" s="1"/>
  <c r="O179" i="18"/>
  <c r="P179" i="18" s="1"/>
  <c r="Q179" i="18" s="1"/>
  <c r="O173" i="18"/>
  <c r="P173" i="18" s="1"/>
  <c r="Q173" i="18" s="1"/>
  <c r="O169" i="18"/>
  <c r="P169" i="18" s="1"/>
  <c r="Q169" i="18" s="1"/>
  <c r="O163" i="18"/>
  <c r="P163" i="18" s="1"/>
  <c r="Q163" i="18" s="1"/>
  <c r="O159" i="18"/>
  <c r="P159" i="18" s="1"/>
  <c r="Q159" i="18" s="1"/>
  <c r="O155" i="18"/>
  <c r="P155" i="18" s="1"/>
  <c r="Q155" i="18" s="1"/>
  <c r="O151" i="18"/>
  <c r="P151" i="18" s="1"/>
  <c r="Q151" i="18" s="1"/>
  <c r="O199" i="18"/>
  <c r="P199" i="18" s="1"/>
  <c r="Q199" i="18" s="1"/>
  <c r="O195" i="18"/>
  <c r="P195" i="18" s="1"/>
  <c r="Q195" i="18" s="1"/>
  <c r="O192" i="18"/>
  <c r="P192" i="18" s="1"/>
  <c r="Q192" i="18" s="1"/>
  <c r="O185" i="18"/>
  <c r="P185" i="18" s="1"/>
  <c r="Q185" i="18" s="1"/>
  <c r="O165" i="18"/>
  <c r="P165" i="18" s="1"/>
  <c r="Q165" i="18" s="1"/>
  <c r="O161" i="18"/>
  <c r="P161" i="18" s="1"/>
  <c r="O157" i="18"/>
  <c r="P157" i="18" s="1"/>
  <c r="Q157" i="18" s="1"/>
  <c r="O153" i="18"/>
  <c r="P153" i="18" s="1"/>
  <c r="Q153" i="18" s="1"/>
  <c r="O143" i="18"/>
  <c r="P143" i="18" s="1"/>
  <c r="Q143" i="18" s="1"/>
  <c r="O131" i="18"/>
  <c r="P131" i="18" s="1"/>
  <c r="O129" i="18"/>
  <c r="P129" i="18" s="1"/>
  <c r="Q129" i="18" s="1"/>
  <c r="O125" i="18"/>
  <c r="P125" i="18" s="1"/>
  <c r="Q125" i="18" s="1"/>
  <c r="O121" i="18"/>
  <c r="P121" i="18" s="1"/>
  <c r="Q121" i="18" s="1"/>
  <c r="O119" i="18"/>
  <c r="P119" i="18" s="1"/>
  <c r="Q119" i="18" s="1"/>
  <c r="O225" i="18"/>
  <c r="P225" i="18" s="1"/>
  <c r="Q225" i="18" s="1"/>
  <c r="O222" i="18"/>
  <c r="P222" i="18" s="1"/>
  <c r="Q222" i="18" s="1"/>
  <c r="O221" i="18"/>
  <c r="P221" i="18" s="1"/>
  <c r="O190" i="18"/>
  <c r="P190" i="18" s="1"/>
  <c r="Q190" i="18" s="1"/>
  <c r="O188" i="18"/>
  <c r="P188" i="18" s="1"/>
  <c r="Q188" i="18" s="1"/>
  <c r="O181" i="18"/>
  <c r="P181" i="18" s="1"/>
  <c r="Q181" i="18" s="1"/>
  <c r="O177" i="18"/>
  <c r="P177" i="18" s="1"/>
  <c r="Q177" i="18" s="1"/>
  <c r="O174" i="18"/>
  <c r="P174" i="18" s="1"/>
  <c r="Q174" i="18" s="1"/>
  <c r="O170" i="18"/>
  <c r="P170" i="18" s="1"/>
  <c r="Q170" i="18" s="1"/>
  <c r="O166" i="18"/>
  <c r="P166" i="18" s="1"/>
  <c r="Q166" i="18" s="1"/>
  <c r="O162" i="18"/>
  <c r="P162" i="18" s="1"/>
  <c r="Q162" i="18" s="1"/>
  <c r="O149" i="18"/>
  <c r="P149" i="18" s="1"/>
  <c r="Q149" i="18" s="1"/>
  <c r="O147" i="18"/>
  <c r="P147" i="18" s="1"/>
  <c r="Q147" i="18" s="1"/>
  <c r="O146" i="18"/>
  <c r="P146" i="18" s="1"/>
  <c r="O141" i="18"/>
  <c r="P141" i="18" s="1"/>
  <c r="Q141" i="18" s="1"/>
  <c r="O138" i="18"/>
  <c r="P138" i="18" s="1"/>
  <c r="Q138" i="18" s="1"/>
  <c r="O135" i="18"/>
  <c r="P135" i="18" s="1"/>
  <c r="Q135" i="18" s="1"/>
  <c r="O130" i="18"/>
  <c r="P130" i="18" s="1"/>
  <c r="Q130" i="18" s="1"/>
  <c r="O126" i="18"/>
  <c r="P126" i="18" s="1"/>
  <c r="Q126" i="18" s="1"/>
  <c r="O122" i="18"/>
  <c r="P122" i="18" s="1"/>
  <c r="Q122" i="18" s="1"/>
  <c r="O118" i="18"/>
  <c r="P118" i="18" s="1"/>
  <c r="Q118" i="18" s="1"/>
  <c r="O112" i="18"/>
  <c r="P112" i="18" s="1"/>
  <c r="Q112" i="18" s="1"/>
  <c r="O108" i="18"/>
  <c r="P108" i="18" s="1"/>
  <c r="Q108" i="18" s="1"/>
  <c r="O102" i="18"/>
  <c r="P102" i="18" s="1"/>
  <c r="Q102" i="18" s="1"/>
  <c r="O207" i="18"/>
  <c r="P207" i="18" s="1"/>
  <c r="Q207" i="18" s="1"/>
  <c r="O206" i="18"/>
  <c r="P206" i="18" s="1"/>
  <c r="O182" i="18"/>
  <c r="P182" i="18" s="1"/>
  <c r="Q182" i="18" s="1"/>
  <c r="O171" i="18"/>
  <c r="P171" i="18" s="1"/>
  <c r="Q171" i="18" s="1"/>
  <c r="O156" i="18"/>
  <c r="P156" i="18" s="1"/>
  <c r="Q156" i="18" s="1"/>
  <c r="O145" i="18"/>
  <c r="P145" i="18" s="1"/>
  <c r="Q145" i="18" s="1"/>
  <c r="O134" i="18"/>
  <c r="P134" i="18" s="1"/>
  <c r="Q134" i="18" s="1"/>
  <c r="O132" i="18"/>
  <c r="P132" i="18" s="1"/>
  <c r="Q132" i="18" s="1"/>
  <c r="O117" i="18"/>
  <c r="P117" i="18" s="1"/>
  <c r="Q117" i="18" s="1"/>
  <c r="O116" i="18"/>
  <c r="P116" i="18" s="1"/>
  <c r="Q116" i="18" s="1"/>
  <c r="O115" i="18"/>
  <c r="P115" i="18" s="1"/>
  <c r="O107" i="18"/>
  <c r="P107" i="18" s="1"/>
  <c r="Q107" i="18" s="1"/>
  <c r="O95" i="18"/>
  <c r="P95" i="18" s="1"/>
  <c r="Q95" i="18" s="1"/>
  <c r="O91" i="18"/>
  <c r="P91" i="18" s="1"/>
  <c r="Q91" i="18" s="1"/>
  <c r="O89" i="18"/>
  <c r="P89" i="18" s="1"/>
  <c r="Q89" i="18" s="1"/>
  <c r="O85" i="18"/>
  <c r="P85" i="18" s="1"/>
  <c r="O81" i="18"/>
  <c r="P81" i="18" s="1"/>
  <c r="Q81" i="18" s="1"/>
  <c r="O77" i="18"/>
  <c r="P77" i="18" s="1"/>
  <c r="Q77" i="18" s="1"/>
  <c r="O73" i="18"/>
  <c r="P73" i="18" s="1"/>
  <c r="Q73" i="18" s="1"/>
  <c r="O67" i="18"/>
  <c r="P67" i="18" s="1"/>
  <c r="Q67" i="18" s="1"/>
  <c r="O63" i="18"/>
  <c r="P63" i="18" s="1"/>
  <c r="Q63" i="18" s="1"/>
  <c r="O57" i="18"/>
  <c r="P57" i="18" s="1"/>
  <c r="Q57" i="18" s="1"/>
  <c r="O53" i="18"/>
  <c r="P53" i="18" s="1"/>
  <c r="Q53" i="18" s="1"/>
  <c r="O49" i="18"/>
  <c r="P49" i="18" s="1"/>
  <c r="Q49" i="18" s="1"/>
  <c r="O45" i="18"/>
  <c r="P45" i="18" s="1"/>
  <c r="Q45" i="18" s="1"/>
  <c r="O41" i="18"/>
  <c r="P41" i="18" s="1"/>
  <c r="Q41" i="18" s="1"/>
  <c r="O39" i="18"/>
  <c r="P39" i="18" s="1"/>
  <c r="Q39" i="18" s="1"/>
  <c r="O35" i="18"/>
  <c r="P35" i="18" s="1"/>
  <c r="Q35" i="18" s="1"/>
  <c r="O31" i="18"/>
  <c r="P31" i="18" s="1"/>
  <c r="Q31" i="18" s="1"/>
  <c r="O29" i="18"/>
  <c r="P29" i="18" s="1"/>
  <c r="Q29" i="18" s="1"/>
  <c r="O25" i="18"/>
  <c r="P25" i="18" s="1"/>
  <c r="O21" i="18"/>
  <c r="P21" i="18" s="1"/>
  <c r="Q21" i="18" s="1"/>
  <c r="O17" i="18"/>
  <c r="P17" i="18" s="1"/>
  <c r="Q17" i="18" s="1"/>
  <c r="O13" i="18"/>
  <c r="P13" i="18" s="1"/>
  <c r="Q13" i="18" s="1"/>
  <c r="O249" i="18"/>
  <c r="P249" i="18" s="1"/>
  <c r="Q249" i="18" s="1"/>
  <c r="O193" i="18"/>
  <c r="P193" i="18" s="1"/>
  <c r="Q193" i="18" s="1"/>
  <c r="O175" i="18"/>
  <c r="P175" i="18" s="1"/>
  <c r="Q175" i="18" s="1"/>
  <c r="O160" i="18"/>
  <c r="P160" i="18" s="1"/>
  <c r="Q160" i="18" s="1"/>
  <c r="O152" i="18"/>
  <c r="P152" i="18" s="1"/>
  <c r="Q152" i="18" s="1"/>
  <c r="O139" i="18"/>
  <c r="P139" i="18" s="1"/>
  <c r="Q139" i="18" s="1"/>
  <c r="O137" i="18"/>
  <c r="P137" i="18" s="1"/>
  <c r="Q137" i="18" s="1"/>
  <c r="O133" i="18"/>
  <c r="P133" i="18" s="1"/>
  <c r="Q133" i="18" s="1"/>
  <c r="O230" i="18"/>
  <c r="P230" i="18" s="1"/>
  <c r="Q230" i="18" s="1"/>
  <c r="O202" i="18"/>
  <c r="P202" i="18" s="1"/>
  <c r="Q202" i="18" s="1"/>
  <c r="O194" i="18"/>
  <c r="P194" i="18" s="1"/>
  <c r="Q194" i="18" s="1"/>
  <c r="O150" i="18"/>
  <c r="P150" i="18" s="1"/>
  <c r="Q150" i="18" s="1"/>
  <c r="O127" i="18"/>
  <c r="P127" i="18" s="1"/>
  <c r="Q127" i="18" s="1"/>
  <c r="O123" i="18"/>
  <c r="P123" i="18" s="1"/>
  <c r="Q123" i="18" s="1"/>
  <c r="O113" i="18"/>
  <c r="P113" i="18" s="1"/>
  <c r="Q113" i="18" s="1"/>
  <c r="O110" i="18"/>
  <c r="P110" i="18" s="1"/>
  <c r="Q110" i="18" s="1"/>
  <c r="O105" i="18"/>
  <c r="P105" i="18" s="1"/>
  <c r="Q105" i="18" s="1"/>
  <c r="O104" i="18"/>
  <c r="P104" i="18" s="1"/>
  <c r="Q104" i="18" s="1"/>
  <c r="O103" i="18"/>
  <c r="P103" i="18" s="1"/>
  <c r="Q103" i="18" s="1"/>
  <c r="O101" i="18"/>
  <c r="P101" i="18" s="1"/>
  <c r="Q101" i="18" s="1"/>
  <c r="O100" i="18"/>
  <c r="P100" i="18" s="1"/>
  <c r="O96" i="18"/>
  <c r="P96" i="18" s="1"/>
  <c r="Q96" i="18" s="1"/>
  <c r="O92" i="18"/>
  <c r="P92" i="18" s="1"/>
  <c r="Q92" i="18" s="1"/>
  <c r="O88" i="18"/>
  <c r="P88" i="18" s="1"/>
  <c r="Q88" i="18" s="1"/>
  <c r="O82" i="18"/>
  <c r="P82" i="18" s="1"/>
  <c r="Q82" i="18" s="1"/>
  <c r="O78" i="18"/>
  <c r="P78" i="18" s="1"/>
  <c r="Q78" i="18" s="1"/>
  <c r="O72" i="18"/>
  <c r="P72" i="18" s="1"/>
  <c r="Q72" i="18" s="1"/>
  <c r="O68" i="18"/>
  <c r="P68" i="18" s="1"/>
  <c r="Q68" i="18" s="1"/>
  <c r="O64" i="18"/>
  <c r="P64" i="18" s="1"/>
  <c r="Q64" i="18" s="1"/>
  <c r="O60" i="18"/>
  <c r="P60" i="18" s="1"/>
  <c r="Q60" i="18" s="1"/>
  <c r="O56" i="18"/>
  <c r="P56" i="18" s="1"/>
  <c r="Q56" i="18" s="1"/>
  <c r="O54" i="18"/>
  <c r="P54" i="18" s="1"/>
  <c r="Q54" i="18" s="1"/>
  <c r="O50" i="18"/>
  <c r="P50" i="18" s="1"/>
  <c r="Q50" i="18" s="1"/>
  <c r="O46" i="18"/>
  <c r="P46" i="18" s="1"/>
  <c r="Q46" i="18" s="1"/>
  <c r="O44" i="18"/>
  <c r="P44" i="18" s="1"/>
  <c r="Q44" i="18" s="1"/>
  <c r="O40" i="18"/>
  <c r="P40" i="18" s="1"/>
  <c r="O36" i="18"/>
  <c r="P36" i="18" s="1"/>
  <c r="Q36" i="18" s="1"/>
  <c r="O32" i="18"/>
  <c r="P32" i="18" s="1"/>
  <c r="Q32" i="18" s="1"/>
  <c r="O28" i="18"/>
  <c r="P28" i="18" s="1"/>
  <c r="Q28" i="18" s="1"/>
  <c r="O22" i="18"/>
  <c r="P22" i="18" s="1"/>
  <c r="Q22" i="18" s="1"/>
  <c r="O18" i="18"/>
  <c r="P18" i="18" s="1"/>
  <c r="Q18" i="18" s="1"/>
  <c r="O12" i="18"/>
  <c r="P12" i="18" s="1"/>
  <c r="Q12" i="18" s="1"/>
  <c r="O167" i="18"/>
  <c r="P167" i="18" s="1"/>
  <c r="Q167" i="18" s="1"/>
  <c r="R11" i="18"/>
  <c r="S11" i="18" s="1"/>
  <c r="T11" i="18" s="1"/>
  <c r="O14" i="18"/>
  <c r="P14" i="18" s="1"/>
  <c r="Q14" i="18" s="1"/>
  <c r="R23" i="18"/>
  <c r="S23" i="18" s="1"/>
  <c r="T23" i="18" s="1"/>
  <c r="L24" i="18"/>
  <c r="M24" i="18" s="1"/>
  <c r="N24" i="18" s="1"/>
  <c r="C27" i="18"/>
  <c r="D27" i="18" s="1"/>
  <c r="E27" i="18" s="1"/>
  <c r="L31" i="18"/>
  <c r="M31" i="18" s="1"/>
  <c r="N31" i="18" s="1"/>
  <c r="L35" i="18"/>
  <c r="M35" i="18" s="1"/>
  <c r="N35" i="18" s="1"/>
  <c r="I36" i="18"/>
  <c r="J36" i="18" s="1"/>
  <c r="K36" i="18" s="1"/>
  <c r="L39" i="18"/>
  <c r="M39" i="18" s="1"/>
  <c r="N39" i="18" s="1"/>
  <c r="I40" i="18"/>
  <c r="J40" i="18" s="1"/>
  <c r="I41" i="18"/>
  <c r="J41" i="18" s="1"/>
  <c r="K41" i="18" s="1"/>
  <c r="C47" i="18"/>
  <c r="D47" i="18" s="1"/>
  <c r="E47" i="18" s="1"/>
  <c r="O48" i="18"/>
  <c r="P48" i="18" s="1"/>
  <c r="Q48" i="18" s="1"/>
  <c r="I49" i="18"/>
  <c r="J49" i="18" s="1"/>
  <c r="K49" i="18" s="1"/>
  <c r="C51" i="18"/>
  <c r="D51" i="18" s="1"/>
  <c r="E51" i="18" s="1"/>
  <c r="O52" i="18"/>
  <c r="P52" i="18" s="1"/>
  <c r="Q52" i="18" s="1"/>
  <c r="C55" i="18"/>
  <c r="D55" i="18" s="1"/>
  <c r="C59" i="18"/>
  <c r="D59" i="18" s="1"/>
  <c r="E59" i="18" s="1"/>
  <c r="I63" i="18"/>
  <c r="J63" i="18" s="1"/>
  <c r="K63" i="18" s="1"/>
  <c r="C65" i="18"/>
  <c r="D65" i="18" s="1"/>
  <c r="E65" i="18" s="1"/>
  <c r="O66" i="18"/>
  <c r="P66" i="18" s="1"/>
  <c r="Q66" i="18" s="1"/>
  <c r="O70" i="18"/>
  <c r="P70" i="18" s="1"/>
  <c r="R75" i="18"/>
  <c r="S75" i="18" s="1"/>
  <c r="T75" i="18" s="1"/>
  <c r="L76" i="18"/>
  <c r="M76" i="18" s="1"/>
  <c r="N76" i="18" s="1"/>
  <c r="L91" i="18"/>
  <c r="M91" i="18" s="1"/>
  <c r="N91" i="18" s="1"/>
  <c r="I92" i="18"/>
  <c r="J92" i="18" s="1"/>
  <c r="K92" i="18" s="1"/>
  <c r="O99" i="18"/>
  <c r="P99" i="18" s="1"/>
  <c r="Q99" i="18" s="1"/>
  <c r="R101" i="18"/>
  <c r="S101" i="18" s="1"/>
  <c r="T101" i="18" s="1"/>
  <c r="R102" i="18"/>
  <c r="S102" i="18" s="1"/>
  <c r="T102" i="18" s="1"/>
  <c r="R104" i="18"/>
  <c r="S104" i="18" s="1"/>
  <c r="T104" i="18" s="1"/>
  <c r="R105" i="18"/>
  <c r="S105" i="18" s="1"/>
  <c r="T105" i="18" s="1"/>
  <c r="L110" i="18"/>
  <c r="M110" i="18" s="1"/>
  <c r="N110" i="18" s="1"/>
  <c r="R117" i="18"/>
  <c r="S117" i="18" s="1"/>
  <c r="T117" i="18" s="1"/>
  <c r="C127" i="18"/>
  <c r="D127" i="18" s="1"/>
  <c r="E127" i="18" s="1"/>
  <c r="I147" i="18"/>
  <c r="J147" i="18" s="1"/>
  <c r="K147" i="18" s="1"/>
  <c r="I184" i="18"/>
  <c r="J184" i="18" s="1"/>
  <c r="K184" i="18" s="1"/>
  <c r="G5" i="18"/>
  <c r="C11" i="18"/>
  <c r="D11" i="18" s="1"/>
  <c r="E11" i="18" s="1"/>
  <c r="C15" i="18"/>
  <c r="D15" i="18" s="1"/>
  <c r="E15" i="18" s="1"/>
  <c r="O16" i="18"/>
  <c r="P16" i="18" s="1"/>
  <c r="Q16" i="18" s="1"/>
  <c r="I17" i="18"/>
  <c r="J17" i="18" s="1"/>
  <c r="K17" i="18" s="1"/>
  <c r="C19" i="18"/>
  <c r="D19" i="18" s="1"/>
  <c r="E19" i="18" s="1"/>
  <c r="O20" i="18"/>
  <c r="P20" i="18" s="1"/>
  <c r="Q20" i="18" s="1"/>
  <c r="I21" i="18"/>
  <c r="J21" i="18" s="1"/>
  <c r="K21" i="18" s="1"/>
  <c r="C23" i="18"/>
  <c r="D23" i="18" s="1"/>
  <c r="E23" i="18" s="1"/>
  <c r="O24" i="18"/>
  <c r="P24" i="18" s="1"/>
  <c r="Q24" i="18" s="1"/>
  <c r="I25" i="18"/>
  <c r="J25" i="18" s="1"/>
  <c r="C26" i="18"/>
  <c r="D26" i="18" s="1"/>
  <c r="E26" i="18" s="1"/>
  <c r="I28" i="18"/>
  <c r="J28" i="18" s="1"/>
  <c r="K28" i="18" s="1"/>
  <c r="I29" i="18"/>
  <c r="J29" i="18" s="1"/>
  <c r="K29" i="18" s="1"/>
  <c r="C30" i="18"/>
  <c r="D30" i="18" s="1"/>
  <c r="E30" i="18" s="1"/>
  <c r="R32" i="18"/>
  <c r="S32" i="18" s="1"/>
  <c r="T32" i="18" s="1"/>
  <c r="O33" i="18"/>
  <c r="P33" i="18" s="1"/>
  <c r="Q33" i="18" s="1"/>
  <c r="C34" i="18"/>
  <c r="D34" i="18" s="1"/>
  <c r="E34" i="18" s="1"/>
  <c r="R36" i="18"/>
  <c r="S36" i="18" s="1"/>
  <c r="T36" i="18" s="1"/>
  <c r="O37" i="18"/>
  <c r="P37" i="18" s="1"/>
  <c r="Q37" i="18" s="1"/>
  <c r="C38" i="18"/>
  <c r="D38" i="18" s="1"/>
  <c r="E38" i="18" s="1"/>
  <c r="R40" i="18"/>
  <c r="S40" i="18" s="1"/>
  <c r="T40" i="18" s="1"/>
  <c r="L41" i="18"/>
  <c r="M41" i="18" s="1"/>
  <c r="N41" i="18" s="1"/>
  <c r="L42" i="18"/>
  <c r="M42" i="18" s="1"/>
  <c r="N42" i="18" s="1"/>
  <c r="O43" i="18"/>
  <c r="P43" i="18" s="1"/>
  <c r="Q43" i="18" s="1"/>
  <c r="R44" i="18"/>
  <c r="S44" i="18" s="1"/>
  <c r="T44" i="18" s="1"/>
  <c r="L45" i="18"/>
  <c r="M45" i="18" s="1"/>
  <c r="N45" i="18" s="1"/>
  <c r="I46" i="18"/>
  <c r="J46" i="18" s="1"/>
  <c r="K46" i="18" s="1"/>
  <c r="L49" i="18"/>
  <c r="M49" i="18" s="1"/>
  <c r="N49" i="18" s="1"/>
  <c r="I50" i="18"/>
  <c r="J50" i="18" s="1"/>
  <c r="K50" i="18" s="1"/>
  <c r="L53" i="18"/>
  <c r="M53" i="18" s="1"/>
  <c r="N53" i="18" s="1"/>
  <c r="I54" i="18"/>
  <c r="J54" i="18" s="1"/>
  <c r="K54" i="18" s="1"/>
  <c r="I56" i="18"/>
  <c r="J56" i="18" s="1"/>
  <c r="K56" i="18" s="1"/>
  <c r="I57" i="18"/>
  <c r="J57" i="18" s="1"/>
  <c r="K57" i="18" s="1"/>
  <c r="C58" i="18"/>
  <c r="D58" i="18" s="1"/>
  <c r="E58" i="18" s="1"/>
  <c r="I60" i="18"/>
  <c r="J60" i="18" s="1"/>
  <c r="K60" i="18" s="1"/>
  <c r="L63" i="18"/>
  <c r="M63" i="18" s="1"/>
  <c r="N63" i="18" s="1"/>
  <c r="I64" i="18"/>
  <c r="J64" i="18" s="1"/>
  <c r="K64" i="18" s="1"/>
  <c r="L67" i="18"/>
  <c r="M67" i="18" s="1"/>
  <c r="N67" i="18" s="1"/>
  <c r="I68" i="18"/>
  <c r="J68" i="18" s="1"/>
  <c r="K68" i="18" s="1"/>
  <c r="C71" i="18"/>
  <c r="D71" i="18" s="1"/>
  <c r="E71" i="18" s="1"/>
  <c r="C75" i="18"/>
  <c r="D75" i="18" s="1"/>
  <c r="E75" i="18" s="1"/>
  <c r="O76" i="18"/>
  <c r="P76" i="18" s="1"/>
  <c r="Q76" i="18" s="1"/>
  <c r="I77" i="18"/>
  <c r="J77" i="18" s="1"/>
  <c r="K77" i="18" s="1"/>
  <c r="C79" i="18"/>
  <c r="D79" i="18" s="1"/>
  <c r="E79" i="18" s="1"/>
  <c r="O80" i="18"/>
  <c r="P80" i="18" s="1"/>
  <c r="Q80" i="18" s="1"/>
  <c r="I81" i="18"/>
  <c r="J81" i="18" s="1"/>
  <c r="K81" i="18" s="1"/>
  <c r="C83" i="18"/>
  <c r="D83" i="18" s="1"/>
  <c r="E83" i="18" s="1"/>
  <c r="O84" i="18"/>
  <c r="P84" i="18" s="1"/>
  <c r="Q84" i="18" s="1"/>
  <c r="I85" i="18"/>
  <c r="J85" i="18" s="1"/>
  <c r="C86" i="18"/>
  <c r="D86" i="18" s="1"/>
  <c r="E86" i="18" s="1"/>
  <c r="I88" i="18"/>
  <c r="J88" i="18" s="1"/>
  <c r="K88" i="18" s="1"/>
  <c r="I89" i="18"/>
  <c r="J89" i="18" s="1"/>
  <c r="K89" i="18" s="1"/>
  <c r="C90" i="18"/>
  <c r="D90" i="18" s="1"/>
  <c r="E90" i="18" s="1"/>
  <c r="R92" i="18"/>
  <c r="S92" i="18" s="1"/>
  <c r="T92" i="18" s="1"/>
  <c r="O93" i="18"/>
  <c r="P93" i="18" s="1"/>
  <c r="Q93" i="18" s="1"/>
  <c r="C94" i="18"/>
  <c r="D94" i="18" s="1"/>
  <c r="E94" i="18" s="1"/>
  <c r="O97" i="18"/>
  <c r="P97" i="18" s="1"/>
  <c r="Q97" i="18" s="1"/>
  <c r="C98" i="18"/>
  <c r="D98" i="18" s="1"/>
  <c r="E98" i="18" s="1"/>
  <c r="I101" i="18"/>
  <c r="J101" i="18" s="1"/>
  <c r="K101" i="18" s="1"/>
  <c r="I102" i="18"/>
  <c r="J102" i="18" s="1"/>
  <c r="K102" i="18" s="1"/>
  <c r="I105" i="18"/>
  <c r="J105" i="18" s="1"/>
  <c r="K105" i="18" s="1"/>
  <c r="C110" i="18"/>
  <c r="D110" i="18" s="1"/>
  <c r="E110" i="18" s="1"/>
  <c r="C111" i="18"/>
  <c r="D111" i="18" s="1"/>
  <c r="E111" i="18" s="1"/>
  <c r="L112" i="18"/>
  <c r="M112" i="18" s="1"/>
  <c r="N112" i="18" s="1"/>
  <c r="C113" i="18"/>
  <c r="D113" i="18" s="1"/>
  <c r="E113" i="18" s="1"/>
  <c r="O114" i="18"/>
  <c r="P114" i="18" s="1"/>
  <c r="Q114" i="18" s="1"/>
  <c r="I121" i="18"/>
  <c r="J121" i="18" s="1"/>
  <c r="K121" i="18" s="1"/>
  <c r="O128" i="18"/>
  <c r="P128" i="18" s="1"/>
  <c r="Q128" i="18" s="1"/>
  <c r="C139" i="18"/>
  <c r="D139" i="18" s="1"/>
  <c r="E139" i="18" s="1"/>
  <c r="C149" i="18"/>
  <c r="D149" i="18" s="1"/>
  <c r="E149" i="18" s="1"/>
  <c r="C190" i="18"/>
  <c r="D190" i="18" s="1"/>
  <c r="E190" i="18" s="1"/>
  <c r="O198" i="18"/>
  <c r="P198" i="18" s="1"/>
  <c r="Q198" i="18" s="1"/>
  <c r="I195" i="18"/>
  <c r="J195" i="18" s="1"/>
  <c r="K195" i="18" s="1"/>
  <c r="I180" i="18"/>
  <c r="J180" i="18" s="1"/>
  <c r="K180" i="18" s="1"/>
  <c r="I173" i="18"/>
  <c r="J173" i="18" s="1"/>
  <c r="K173" i="18" s="1"/>
  <c r="I168" i="18"/>
  <c r="J168" i="18" s="1"/>
  <c r="K168" i="18" s="1"/>
  <c r="I163" i="18"/>
  <c r="J163" i="18" s="1"/>
  <c r="K163" i="18" s="1"/>
  <c r="C162" i="18"/>
  <c r="D162" i="18" s="1"/>
  <c r="E162" i="18" s="1"/>
  <c r="C157" i="18"/>
  <c r="D157" i="18" s="1"/>
  <c r="E157" i="18" s="1"/>
  <c r="C132" i="18"/>
  <c r="D132" i="18" s="1"/>
  <c r="E132" i="18" s="1"/>
  <c r="I131" i="18"/>
  <c r="J131" i="18" s="1"/>
  <c r="I130" i="18"/>
  <c r="J130" i="18" s="1"/>
  <c r="K130" i="18" s="1"/>
  <c r="C22" i="18"/>
  <c r="D22" i="18" s="1"/>
  <c r="E22" i="18" s="1"/>
  <c r="C18" i="18"/>
  <c r="D18" i="18" s="1"/>
  <c r="E18" i="18" s="1"/>
  <c r="C12" i="18"/>
  <c r="D12" i="18" s="1"/>
  <c r="E12" i="18" s="1"/>
  <c r="I190" i="18"/>
  <c r="J190" i="18" s="1"/>
  <c r="K190" i="18" s="1"/>
  <c r="I187" i="18"/>
  <c r="J187" i="18" s="1"/>
  <c r="K187" i="18" s="1"/>
  <c r="I176" i="18"/>
  <c r="J176" i="18" s="1"/>
  <c r="C174" i="18"/>
  <c r="D174" i="18" s="1"/>
  <c r="E174" i="18" s="1"/>
  <c r="C166" i="18"/>
  <c r="D166" i="18" s="1"/>
  <c r="E166" i="18" s="1"/>
  <c r="I159" i="18"/>
  <c r="J159" i="18" s="1"/>
  <c r="K159" i="18" s="1"/>
  <c r="I151" i="18"/>
  <c r="J151" i="18" s="1"/>
  <c r="K151" i="18" s="1"/>
  <c r="I144" i="18"/>
  <c r="J144" i="18" s="1"/>
  <c r="K144" i="18" s="1"/>
  <c r="I126" i="18"/>
  <c r="J126" i="18" s="1"/>
  <c r="K126" i="18" s="1"/>
  <c r="I122" i="18"/>
  <c r="J122" i="18" s="1"/>
  <c r="K122" i="18" s="1"/>
  <c r="O11" i="18"/>
  <c r="P11" i="18" s="1"/>
  <c r="Q11" i="18" s="1"/>
  <c r="R12" i="18"/>
  <c r="S12" i="18" s="1"/>
  <c r="T12" i="18" s="1"/>
  <c r="L13" i="18"/>
  <c r="M13" i="18" s="1"/>
  <c r="N13" i="18" s="1"/>
  <c r="C16" i="18"/>
  <c r="D16" i="18" s="1"/>
  <c r="E16" i="18" s="1"/>
  <c r="C20" i="18"/>
  <c r="D20" i="18" s="1"/>
  <c r="E20" i="18" s="1"/>
  <c r="R22" i="18"/>
  <c r="S22" i="18" s="1"/>
  <c r="T22" i="18" s="1"/>
  <c r="O23" i="18"/>
  <c r="P23" i="18" s="1"/>
  <c r="Q23" i="18" s="1"/>
  <c r="R27" i="18"/>
  <c r="S27" i="18" s="1"/>
  <c r="T27" i="18" s="1"/>
  <c r="R51" i="18"/>
  <c r="S51" i="18" s="1"/>
  <c r="T51" i="18" s="1"/>
  <c r="R59" i="18"/>
  <c r="S59" i="18" s="1"/>
  <c r="T59" i="18" s="1"/>
  <c r="R61" i="18"/>
  <c r="S61" i="18" s="1"/>
  <c r="T61" i="18" s="1"/>
  <c r="R65" i="18"/>
  <c r="S65" i="18" s="1"/>
  <c r="T65" i="18" s="1"/>
  <c r="L66" i="18"/>
  <c r="M66" i="18" s="1"/>
  <c r="N66" i="18" s="1"/>
  <c r="R69" i="18"/>
  <c r="S69" i="18" s="1"/>
  <c r="T69" i="18" s="1"/>
  <c r="L70" i="18"/>
  <c r="M70" i="18" s="1"/>
  <c r="O71" i="18"/>
  <c r="P71" i="18" s="1"/>
  <c r="Q71" i="18" s="1"/>
  <c r="L74" i="18"/>
  <c r="M74" i="18" s="1"/>
  <c r="N74" i="18" s="1"/>
  <c r="C76" i="18"/>
  <c r="D76" i="18" s="1"/>
  <c r="E76" i="18" s="1"/>
  <c r="C80" i="18"/>
  <c r="D80" i="18" s="1"/>
  <c r="E80" i="18" s="1"/>
  <c r="R82" i="18"/>
  <c r="S82" i="18" s="1"/>
  <c r="T82" i="18" s="1"/>
  <c r="O83" i="18"/>
  <c r="P83" i="18" s="1"/>
  <c r="Q83" i="18" s="1"/>
  <c r="R87" i="18"/>
  <c r="S87" i="18" s="1"/>
  <c r="T87" i="18" s="1"/>
  <c r="O90" i="18"/>
  <c r="P90" i="18" s="1"/>
  <c r="Q90" i="18" s="1"/>
  <c r="I95" i="18"/>
  <c r="J95" i="18" s="1"/>
  <c r="K95" i="18" s="1"/>
  <c r="C97" i="18"/>
  <c r="D97" i="18" s="1"/>
  <c r="E97" i="18" s="1"/>
  <c r="O98" i="18"/>
  <c r="P98" i="18" s="1"/>
  <c r="Q98" i="18" s="1"/>
  <c r="C101" i="18"/>
  <c r="D101" i="18" s="1"/>
  <c r="E101" i="18" s="1"/>
  <c r="C103" i="18"/>
  <c r="D103" i="18" s="1"/>
  <c r="E103" i="18" s="1"/>
  <c r="C104" i="18"/>
  <c r="D104" i="18" s="1"/>
  <c r="E104" i="18" s="1"/>
  <c r="C105" i="18"/>
  <c r="D105" i="18" s="1"/>
  <c r="E105" i="18" s="1"/>
  <c r="R108" i="18"/>
  <c r="S108" i="18" s="1"/>
  <c r="T108" i="18" s="1"/>
  <c r="O120" i="18"/>
  <c r="P120" i="18" s="1"/>
  <c r="Q120" i="18" s="1"/>
  <c r="I129" i="18"/>
  <c r="J129" i="18" s="1"/>
  <c r="K129" i="18" s="1"/>
  <c r="O10" i="18"/>
  <c r="P10" i="18" s="1"/>
  <c r="R15" i="18"/>
  <c r="S15" i="18" s="1"/>
  <c r="T15" i="18" s="1"/>
  <c r="L16" i="18"/>
  <c r="M16" i="18" s="1"/>
  <c r="N16" i="18" s="1"/>
  <c r="R19" i="18"/>
  <c r="S19" i="18" s="1"/>
  <c r="T19" i="18" s="1"/>
  <c r="L20" i="18"/>
  <c r="M20" i="18" s="1"/>
  <c r="N20" i="18" s="1"/>
  <c r="I32" i="18"/>
  <c r="J32" i="18" s="1"/>
  <c r="K32" i="18" s="1"/>
  <c r="C42" i="18"/>
  <c r="D42" i="18" s="1"/>
  <c r="E42" i="18" s="1"/>
  <c r="I44" i="18"/>
  <c r="J44" i="18" s="1"/>
  <c r="K44" i="18" s="1"/>
  <c r="I45" i="18"/>
  <c r="J45" i="18" s="1"/>
  <c r="K45" i="18" s="1"/>
  <c r="I53" i="18"/>
  <c r="J53" i="18" s="1"/>
  <c r="K53" i="18" s="1"/>
  <c r="C61" i="18"/>
  <c r="D61" i="18" s="1"/>
  <c r="E61" i="18" s="1"/>
  <c r="O62" i="18"/>
  <c r="P62" i="18" s="1"/>
  <c r="Q62" i="18" s="1"/>
  <c r="I67" i="18"/>
  <c r="J67" i="18" s="1"/>
  <c r="K67" i="18" s="1"/>
  <c r="C69" i="18"/>
  <c r="D69" i="18" s="1"/>
  <c r="E69" i="18" s="1"/>
  <c r="R71" i="18"/>
  <c r="S71" i="18" s="1"/>
  <c r="T71" i="18" s="1"/>
  <c r="O74" i="18"/>
  <c r="P74" i="18" s="1"/>
  <c r="Q74" i="18" s="1"/>
  <c r="R79" i="18"/>
  <c r="S79" i="18" s="1"/>
  <c r="T79" i="18" s="1"/>
  <c r="L80" i="18"/>
  <c r="M80" i="18" s="1"/>
  <c r="N80" i="18" s="1"/>
  <c r="R83" i="18"/>
  <c r="S83" i="18" s="1"/>
  <c r="T83" i="18" s="1"/>
  <c r="L84" i="18"/>
  <c r="M84" i="18" s="1"/>
  <c r="N84" i="18" s="1"/>
  <c r="C87" i="18"/>
  <c r="D87" i="18" s="1"/>
  <c r="E87" i="18" s="1"/>
  <c r="L95" i="18"/>
  <c r="M95" i="18" s="1"/>
  <c r="N95" i="18" s="1"/>
  <c r="I96" i="18"/>
  <c r="J96" i="18" s="1"/>
  <c r="K96" i="18" s="1"/>
  <c r="R100" i="18"/>
  <c r="S100" i="18" s="1"/>
  <c r="T100" i="18" s="1"/>
  <c r="I108" i="18"/>
  <c r="J108" i="18" s="1"/>
  <c r="K108" i="18" s="1"/>
  <c r="I111" i="18"/>
  <c r="J111" i="18" s="1"/>
  <c r="K111" i="18" s="1"/>
  <c r="L115" i="18"/>
  <c r="M115" i="18" s="1"/>
  <c r="O124" i="18"/>
  <c r="P124" i="18" s="1"/>
  <c r="Q124" i="18" s="1"/>
  <c r="L140" i="18"/>
  <c r="M140" i="18" s="1"/>
  <c r="N140" i="18" s="1"/>
  <c r="R144" i="18"/>
  <c r="S144" i="18" s="1"/>
  <c r="T144" i="18" s="1"/>
  <c r="R249" i="18"/>
  <c r="S249" i="18" s="1"/>
  <c r="T249" i="18" s="1"/>
  <c r="R245" i="18"/>
  <c r="S245" i="18" s="1"/>
  <c r="T245" i="18" s="1"/>
  <c r="R241" i="18"/>
  <c r="S241" i="18" s="1"/>
  <c r="T241" i="18" s="1"/>
  <c r="R237" i="18"/>
  <c r="S237" i="18" s="1"/>
  <c r="T237" i="18" s="1"/>
  <c r="R235" i="18"/>
  <c r="S235" i="18" s="1"/>
  <c r="T235" i="18" s="1"/>
  <c r="R250" i="18"/>
  <c r="S250" i="18" s="1"/>
  <c r="T250" i="18" s="1"/>
  <c r="R246" i="18"/>
  <c r="S246" i="18" s="1"/>
  <c r="T246" i="18" s="1"/>
  <c r="R242" i="18"/>
  <c r="S242" i="18" s="1"/>
  <c r="T242" i="18" s="1"/>
  <c r="R240" i="18"/>
  <c r="S240" i="18" s="1"/>
  <c r="T240" i="18" s="1"/>
  <c r="R248" i="18"/>
  <c r="S248" i="18" s="1"/>
  <c r="T248" i="18" s="1"/>
  <c r="R244" i="18"/>
  <c r="S244" i="18" s="1"/>
  <c r="T244" i="18" s="1"/>
  <c r="R239" i="18"/>
  <c r="S239" i="18" s="1"/>
  <c r="T239" i="18" s="1"/>
  <c r="R234" i="18"/>
  <c r="S234" i="18" s="1"/>
  <c r="T234" i="18" s="1"/>
  <c r="R230" i="18"/>
  <c r="S230" i="18" s="1"/>
  <c r="T230" i="18" s="1"/>
  <c r="R226" i="18"/>
  <c r="S226" i="18" s="1"/>
  <c r="T226" i="18" s="1"/>
  <c r="R251" i="18"/>
  <c r="S251" i="18" s="1"/>
  <c r="T251" i="18" s="1"/>
  <c r="R247" i="18"/>
  <c r="S247" i="18" s="1"/>
  <c r="T247" i="18" s="1"/>
  <c r="R243" i="18"/>
  <c r="S243" i="18" s="1"/>
  <c r="T243" i="18" s="1"/>
  <c r="R231" i="18"/>
  <c r="S231" i="18" s="1"/>
  <c r="T231" i="18" s="1"/>
  <c r="R227" i="18"/>
  <c r="S227" i="18" s="1"/>
  <c r="T227" i="18" s="1"/>
  <c r="R225" i="18"/>
  <c r="S225" i="18" s="1"/>
  <c r="T225" i="18" s="1"/>
  <c r="R221" i="18"/>
  <c r="S221" i="18" s="1"/>
  <c r="T221" i="18" s="1"/>
  <c r="R217" i="18"/>
  <c r="S217" i="18" s="1"/>
  <c r="T217" i="18" s="1"/>
  <c r="R213" i="18"/>
  <c r="S213" i="18" s="1"/>
  <c r="T213" i="18" s="1"/>
  <c r="R209" i="18"/>
  <c r="S209" i="18" s="1"/>
  <c r="T209" i="18" s="1"/>
  <c r="R238" i="18"/>
  <c r="S238" i="18" s="1"/>
  <c r="T238" i="18" s="1"/>
  <c r="R233" i="18"/>
  <c r="S233" i="18" s="1"/>
  <c r="T233" i="18" s="1"/>
  <c r="R229" i="18"/>
  <c r="S229" i="18" s="1"/>
  <c r="T229" i="18" s="1"/>
  <c r="R220" i="18"/>
  <c r="S220" i="18" s="1"/>
  <c r="T220" i="18" s="1"/>
  <c r="R218" i="18"/>
  <c r="S218" i="18" s="1"/>
  <c r="T218" i="18" s="1"/>
  <c r="R215" i="18"/>
  <c r="S215" i="18" s="1"/>
  <c r="T215" i="18" s="1"/>
  <c r="R212" i="18"/>
  <c r="S212" i="18" s="1"/>
  <c r="T212" i="18" s="1"/>
  <c r="R203" i="18"/>
  <c r="S203" i="18" s="1"/>
  <c r="T203" i="18" s="1"/>
  <c r="R199" i="18"/>
  <c r="S199" i="18" s="1"/>
  <c r="T199" i="18" s="1"/>
  <c r="R232" i="18"/>
  <c r="S232" i="18" s="1"/>
  <c r="T232" i="18" s="1"/>
  <c r="R228" i="18"/>
  <c r="S228" i="18" s="1"/>
  <c r="T228" i="18" s="1"/>
  <c r="R224" i="18"/>
  <c r="S224" i="18" s="1"/>
  <c r="T224" i="18" s="1"/>
  <c r="R223" i="18"/>
  <c r="S223" i="18" s="1"/>
  <c r="T223" i="18" s="1"/>
  <c r="R222" i="18"/>
  <c r="S222" i="18" s="1"/>
  <c r="T222" i="18" s="1"/>
  <c r="R208" i="18"/>
  <c r="S208" i="18" s="1"/>
  <c r="T208" i="18" s="1"/>
  <c r="R207" i="18"/>
  <c r="S207" i="18" s="1"/>
  <c r="T207" i="18" s="1"/>
  <c r="R216" i="18"/>
  <c r="S216" i="18" s="1"/>
  <c r="T216" i="18" s="1"/>
  <c r="R211" i="18"/>
  <c r="S211" i="18" s="1"/>
  <c r="T211" i="18" s="1"/>
  <c r="R210" i="18"/>
  <c r="S210" i="18" s="1"/>
  <c r="T210" i="18" s="1"/>
  <c r="R192" i="18"/>
  <c r="S192" i="18" s="1"/>
  <c r="T192" i="18" s="1"/>
  <c r="R190" i="18"/>
  <c r="S190" i="18" s="1"/>
  <c r="T190" i="18" s="1"/>
  <c r="R186" i="18"/>
  <c r="S186" i="18" s="1"/>
  <c r="T186" i="18" s="1"/>
  <c r="R182" i="18"/>
  <c r="S182" i="18" s="1"/>
  <c r="T182" i="18" s="1"/>
  <c r="R236" i="18"/>
  <c r="S236" i="18" s="1"/>
  <c r="T236" i="18" s="1"/>
  <c r="R219" i="18"/>
  <c r="S219" i="18" s="1"/>
  <c r="T219" i="18" s="1"/>
  <c r="R202" i="18"/>
  <c r="S202" i="18" s="1"/>
  <c r="T202" i="18" s="1"/>
  <c r="R181" i="18"/>
  <c r="S181" i="18" s="1"/>
  <c r="T181" i="18" s="1"/>
  <c r="R177" i="18"/>
  <c r="S177" i="18" s="1"/>
  <c r="T177" i="18" s="1"/>
  <c r="R175" i="18"/>
  <c r="S175" i="18" s="1"/>
  <c r="T175" i="18" s="1"/>
  <c r="R171" i="18"/>
  <c r="S171" i="18" s="1"/>
  <c r="T171" i="18" s="1"/>
  <c r="R167" i="18"/>
  <c r="S167" i="18" s="1"/>
  <c r="T167" i="18" s="1"/>
  <c r="R165" i="18"/>
  <c r="S165" i="18" s="1"/>
  <c r="T165" i="18" s="1"/>
  <c r="R161" i="18"/>
  <c r="S161" i="18" s="1"/>
  <c r="T161" i="18" s="1"/>
  <c r="R157" i="18"/>
  <c r="S157" i="18" s="1"/>
  <c r="T157" i="18" s="1"/>
  <c r="R153" i="18"/>
  <c r="S153" i="18" s="1"/>
  <c r="T153" i="18" s="1"/>
  <c r="R149" i="18"/>
  <c r="S149" i="18" s="1"/>
  <c r="T149" i="18" s="1"/>
  <c r="R143" i="18"/>
  <c r="S143" i="18" s="1"/>
  <c r="T143" i="18" s="1"/>
  <c r="R139" i="18"/>
  <c r="S139" i="18" s="1"/>
  <c r="T139" i="18" s="1"/>
  <c r="R133" i="18"/>
  <c r="S133" i="18" s="1"/>
  <c r="T133" i="18" s="1"/>
  <c r="R206" i="18"/>
  <c r="S206" i="18" s="1"/>
  <c r="T206" i="18" s="1"/>
  <c r="R200" i="18"/>
  <c r="S200" i="18" s="1"/>
  <c r="T200" i="18" s="1"/>
  <c r="R198" i="18"/>
  <c r="S198" i="18" s="1"/>
  <c r="T198" i="18" s="1"/>
  <c r="R193" i="18"/>
  <c r="S193" i="18" s="1"/>
  <c r="T193" i="18" s="1"/>
  <c r="R191" i="18"/>
  <c r="S191" i="18" s="1"/>
  <c r="T191" i="18" s="1"/>
  <c r="R188" i="18"/>
  <c r="S188" i="18" s="1"/>
  <c r="T188" i="18" s="1"/>
  <c r="R185" i="18"/>
  <c r="S185" i="18" s="1"/>
  <c r="T185" i="18" s="1"/>
  <c r="R183" i="18"/>
  <c r="S183" i="18" s="1"/>
  <c r="T183" i="18" s="1"/>
  <c r="R180" i="18"/>
  <c r="S180" i="18" s="1"/>
  <c r="T180" i="18" s="1"/>
  <c r="R176" i="18"/>
  <c r="S176" i="18" s="1"/>
  <c r="T176" i="18" s="1"/>
  <c r="R172" i="18"/>
  <c r="S172" i="18" s="1"/>
  <c r="T172" i="18" s="1"/>
  <c r="R168" i="18"/>
  <c r="S168" i="18" s="1"/>
  <c r="T168" i="18" s="1"/>
  <c r="R164" i="18"/>
  <c r="S164" i="18" s="1"/>
  <c r="T164" i="18" s="1"/>
  <c r="R158" i="18"/>
  <c r="S158" i="18" s="1"/>
  <c r="T158" i="18" s="1"/>
  <c r="R154" i="18"/>
  <c r="S154" i="18" s="1"/>
  <c r="T154" i="18" s="1"/>
  <c r="R148" i="18"/>
  <c r="S148" i="18" s="1"/>
  <c r="T148" i="18" s="1"/>
  <c r="R205" i="18"/>
  <c r="S205" i="18" s="1"/>
  <c r="T205" i="18" s="1"/>
  <c r="R201" i="18"/>
  <c r="S201" i="18" s="1"/>
  <c r="T201" i="18" s="1"/>
  <c r="R187" i="18"/>
  <c r="S187" i="18" s="1"/>
  <c r="T187" i="18" s="1"/>
  <c r="R174" i="18"/>
  <c r="S174" i="18" s="1"/>
  <c r="T174" i="18" s="1"/>
  <c r="R170" i="18"/>
  <c r="S170" i="18" s="1"/>
  <c r="T170" i="18" s="1"/>
  <c r="R166" i="18"/>
  <c r="S166" i="18" s="1"/>
  <c r="T166" i="18" s="1"/>
  <c r="R162" i="18"/>
  <c r="S162" i="18" s="1"/>
  <c r="T162" i="18" s="1"/>
  <c r="R134" i="18"/>
  <c r="S134" i="18" s="1"/>
  <c r="T134" i="18" s="1"/>
  <c r="R132" i="18"/>
  <c r="S132" i="18" s="1"/>
  <c r="T132" i="18" s="1"/>
  <c r="R128" i="18"/>
  <c r="S128" i="18" s="1"/>
  <c r="T128" i="18" s="1"/>
  <c r="R124" i="18"/>
  <c r="S124" i="18" s="1"/>
  <c r="T124" i="18" s="1"/>
  <c r="R120" i="18"/>
  <c r="S120" i="18" s="1"/>
  <c r="T120" i="18" s="1"/>
  <c r="R196" i="18"/>
  <c r="S196" i="18" s="1"/>
  <c r="T196" i="18" s="1"/>
  <c r="R194" i="18"/>
  <c r="S194" i="18" s="1"/>
  <c r="T194" i="18" s="1"/>
  <c r="R189" i="18"/>
  <c r="S189" i="18" s="1"/>
  <c r="T189" i="18" s="1"/>
  <c r="R178" i="18"/>
  <c r="S178" i="18" s="1"/>
  <c r="T178" i="18" s="1"/>
  <c r="R173" i="18"/>
  <c r="S173" i="18" s="1"/>
  <c r="T173" i="18" s="1"/>
  <c r="R169" i="18"/>
  <c r="S169" i="18" s="1"/>
  <c r="T169" i="18" s="1"/>
  <c r="R163" i="18"/>
  <c r="S163" i="18" s="1"/>
  <c r="T163" i="18" s="1"/>
  <c r="R160" i="18"/>
  <c r="S160" i="18" s="1"/>
  <c r="T160" i="18" s="1"/>
  <c r="R156" i="18"/>
  <c r="S156" i="18" s="1"/>
  <c r="T156" i="18" s="1"/>
  <c r="R152" i="18"/>
  <c r="S152" i="18" s="1"/>
  <c r="T152" i="18" s="1"/>
  <c r="R150" i="18"/>
  <c r="S150" i="18" s="1"/>
  <c r="T150" i="18" s="1"/>
  <c r="R145" i="18"/>
  <c r="S145" i="18" s="1"/>
  <c r="T145" i="18" s="1"/>
  <c r="R142" i="18"/>
  <c r="S142" i="18" s="1"/>
  <c r="T142" i="18" s="1"/>
  <c r="R140" i="18"/>
  <c r="S140" i="18" s="1"/>
  <c r="T140" i="18" s="1"/>
  <c r="R137" i="18"/>
  <c r="S137" i="18" s="1"/>
  <c r="T137" i="18" s="1"/>
  <c r="R131" i="18"/>
  <c r="S131" i="18" s="1"/>
  <c r="T131" i="18" s="1"/>
  <c r="R129" i="18"/>
  <c r="S129" i="18" s="1"/>
  <c r="T129" i="18" s="1"/>
  <c r="R125" i="18"/>
  <c r="S125" i="18" s="1"/>
  <c r="T125" i="18" s="1"/>
  <c r="R121" i="18"/>
  <c r="S121" i="18" s="1"/>
  <c r="T121" i="18" s="1"/>
  <c r="R119" i="18"/>
  <c r="S119" i="18" s="1"/>
  <c r="T119" i="18" s="1"/>
  <c r="R115" i="18"/>
  <c r="S115" i="18" s="1"/>
  <c r="T115" i="18" s="1"/>
  <c r="R111" i="18"/>
  <c r="S111" i="18" s="1"/>
  <c r="T111" i="18" s="1"/>
  <c r="R107" i="18"/>
  <c r="S107" i="18" s="1"/>
  <c r="T107" i="18" s="1"/>
  <c r="R103" i="18"/>
  <c r="S103" i="18" s="1"/>
  <c r="T103" i="18" s="1"/>
  <c r="R147" i="18"/>
  <c r="S147" i="18" s="1"/>
  <c r="T147" i="18" s="1"/>
  <c r="R146" i="18"/>
  <c r="S146" i="18" s="1"/>
  <c r="T146" i="18" s="1"/>
  <c r="R127" i="18"/>
  <c r="S127" i="18" s="1"/>
  <c r="T127" i="18" s="1"/>
  <c r="R123" i="18"/>
  <c r="S123" i="18" s="1"/>
  <c r="T123" i="18" s="1"/>
  <c r="R118" i="18"/>
  <c r="S118" i="18" s="1"/>
  <c r="T118" i="18" s="1"/>
  <c r="R98" i="18"/>
  <c r="S98" i="18" s="1"/>
  <c r="T98" i="18" s="1"/>
  <c r="R94" i="18"/>
  <c r="S94" i="18" s="1"/>
  <c r="T94" i="18" s="1"/>
  <c r="R90" i="18"/>
  <c r="S90" i="18" s="1"/>
  <c r="T90" i="18" s="1"/>
  <c r="R86" i="18"/>
  <c r="S86" i="18" s="1"/>
  <c r="T86" i="18" s="1"/>
  <c r="R84" i="18"/>
  <c r="S84" i="18" s="1"/>
  <c r="T84" i="18" s="1"/>
  <c r="R80" i="18"/>
  <c r="S80" i="18" s="1"/>
  <c r="T80" i="18" s="1"/>
  <c r="R76" i="18"/>
  <c r="S76" i="18" s="1"/>
  <c r="T76" i="18" s="1"/>
  <c r="R74" i="18"/>
  <c r="S74" i="18" s="1"/>
  <c r="T74" i="18" s="1"/>
  <c r="R70" i="18"/>
  <c r="S70" i="18" s="1"/>
  <c r="T70" i="18" s="1"/>
  <c r="R66" i="18"/>
  <c r="S66" i="18" s="1"/>
  <c r="T66" i="18" s="1"/>
  <c r="R62" i="18"/>
  <c r="S62" i="18" s="1"/>
  <c r="T62" i="18" s="1"/>
  <c r="R58" i="18"/>
  <c r="S58" i="18" s="1"/>
  <c r="T58" i="18" s="1"/>
  <c r="R52" i="18"/>
  <c r="S52" i="18" s="1"/>
  <c r="T52" i="18" s="1"/>
  <c r="R48" i="18"/>
  <c r="S48" i="18" s="1"/>
  <c r="T48" i="18" s="1"/>
  <c r="R42" i="18"/>
  <c r="S42" i="18" s="1"/>
  <c r="T42" i="18" s="1"/>
  <c r="R38" i="18"/>
  <c r="S38" i="18" s="1"/>
  <c r="T38" i="18" s="1"/>
  <c r="R34" i="18"/>
  <c r="S34" i="18" s="1"/>
  <c r="T34" i="18" s="1"/>
  <c r="R30" i="18"/>
  <c r="S30" i="18" s="1"/>
  <c r="T30" i="18" s="1"/>
  <c r="R26" i="18"/>
  <c r="S26" i="18" s="1"/>
  <c r="T26" i="18" s="1"/>
  <c r="R24" i="18"/>
  <c r="S24" i="18" s="1"/>
  <c r="T24" i="18" s="1"/>
  <c r="R20" i="18"/>
  <c r="S20" i="18" s="1"/>
  <c r="T20" i="18" s="1"/>
  <c r="R16" i="18"/>
  <c r="S16" i="18" s="1"/>
  <c r="T16" i="18" s="1"/>
  <c r="R14" i="18"/>
  <c r="S14" i="18" s="1"/>
  <c r="T14" i="18" s="1"/>
  <c r="R10" i="18"/>
  <c r="S10" i="18" s="1"/>
  <c r="T10" i="18" s="1"/>
  <c r="R214" i="18"/>
  <c r="S214" i="18" s="1"/>
  <c r="T214" i="18" s="1"/>
  <c r="R204" i="18"/>
  <c r="S204" i="18" s="1"/>
  <c r="T204" i="18" s="1"/>
  <c r="R197" i="18"/>
  <c r="S197" i="18" s="1"/>
  <c r="T197" i="18" s="1"/>
  <c r="R184" i="18"/>
  <c r="S184" i="18" s="1"/>
  <c r="T184" i="18" s="1"/>
  <c r="R141" i="18"/>
  <c r="S141" i="18" s="1"/>
  <c r="T141" i="18" s="1"/>
  <c r="R138" i="18"/>
  <c r="S138" i="18" s="1"/>
  <c r="T138" i="18" s="1"/>
  <c r="R135" i="18"/>
  <c r="S135" i="18" s="1"/>
  <c r="T135" i="18" s="1"/>
  <c r="R195" i="18"/>
  <c r="S195" i="18" s="1"/>
  <c r="T195" i="18" s="1"/>
  <c r="R179" i="18"/>
  <c r="S179" i="18" s="1"/>
  <c r="T179" i="18" s="1"/>
  <c r="R155" i="18"/>
  <c r="S155" i="18" s="1"/>
  <c r="T155" i="18" s="1"/>
  <c r="R136" i="18"/>
  <c r="S136" i="18" s="1"/>
  <c r="T136" i="18" s="1"/>
  <c r="R130" i="18"/>
  <c r="S130" i="18" s="1"/>
  <c r="T130" i="18" s="1"/>
  <c r="R126" i="18"/>
  <c r="S126" i="18" s="1"/>
  <c r="T126" i="18" s="1"/>
  <c r="R122" i="18"/>
  <c r="S122" i="18" s="1"/>
  <c r="T122" i="18" s="1"/>
  <c r="R114" i="18"/>
  <c r="S114" i="18" s="1"/>
  <c r="T114" i="18" s="1"/>
  <c r="R112" i="18"/>
  <c r="S112" i="18" s="1"/>
  <c r="T112" i="18" s="1"/>
  <c r="R109" i="18"/>
  <c r="S109" i="18" s="1"/>
  <c r="T109" i="18" s="1"/>
  <c r="R106" i="18"/>
  <c r="S106" i="18" s="1"/>
  <c r="T106" i="18" s="1"/>
  <c r="R99" i="18"/>
  <c r="S99" i="18" s="1"/>
  <c r="T99" i="18" s="1"/>
  <c r="R95" i="18"/>
  <c r="S95" i="18" s="1"/>
  <c r="T95" i="18" s="1"/>
  <c r="R91" i="18"/>
  <c r="S91" i="18" s="1"/>
  <c r="T91" i="18" s="1"/>
  <c r="R89" i="18"/>
  <c r="S89" i="18" s="1"/>
  <c r="T89" i="18" s="1"/>
  <c r="R85" i="18"/>
  <c r="S85" i="18" s="1"/>
  <c r="T85" i="18" s="1"/>
  <c r="R81" i="18"/>
  <c r="S81" i="18" s="1"/>
  <c r="T81" i="18" s="1"/>
  <c r="R77" i="18"/>
  <c r="S77" i="18" s="1"/>
  <c r="T77" i="18" s="1"/>
  <c r="R73" i="18"/>
  <c r="S73" i="18" s="1"/>
  <c r="T73" i="18" s="1"/>
  <c r="R67" i="18"/>
  <c r="S67" i="18" s="1"/>
  <c r="T67" i="18" s="1"/>
  <c r="R63" i="18"/>
  <c r="S63" i="18" s="1"/>
  <c r="T63" i="18" s="1"/>
  <c r="R57" i="18"/>
  <c r="S57" i="18" s="1"/>
  <c r="T57" i="18" s="1"/>
  <c r="R53" i="18"/>
  <c r="S53" i="18" s="1"/>
  <c r="T53" i="18" s="1"/>
  <c r="R49" i="18"/>
  <c r="S49" i="18" s="1"/>
  <c r="T49" i="18" s="1"/>
  <c r="R45" i="18"/>
  <c r="S45" i="18" s="1"/>
  <c r="T45" i="18" s="1"/>
  <c r="R41" i="18"/>
  <c r="S41" i="18" s="1"/>
  <c r="T41" i="18" s="1"/>
  <c r="R39" i="18"/>
  <c r="S39" i="18" s="1"/>
  <c r="T39" i="18" s="1"/>
  <c r="R35" i="18"/>
  <c r="S35" i="18" s="1"/>
  <c r="T35" i="18" s="1"/>
  <c r="R31" i="18"/>
  <c r="S31" i="18" s="1"/>
  <c r="T31" i="18" s="1"/>
  <c r="R29" i="18"/>
  <c r="S29" i="18" s="1"/>
  <c r="T29" i="18" s="1"/>
  <c r="R25" i="18"/>
  <c r="S25" i="18" s="1"/>
  <c r="T25" i="18" s="1"/>
  <c r="R21" i="18"/>
  <c r="S21" i="18" s="1"/>
  <c r="T21" i="18" s="1"/>
  <c r="R17" i="18"/>
  <c r="S17" i="18" s="1"/>
  <c r="T17" i="18" s="1"/>
  <c r="R13" i="18"/>
  <c r="S13" i="18" s="1"/>
  <c r="T13" i="18" s="1"/>
  <c r="R116" i="18"/>
  <c r="S116" i="18" s="1"/>
  <c r="T116" i="18" s="1"/>
  <c r="C10" i="18"/>
  <c r="D10" i="18" s="1"/>
  <c r="I12" i="18"/>
  <c r="J12" i="18" s="1"/>
  <c r="K12" i="18" s="1"/>
  <c r="I13" i="18"/>
  <c r="J13" i="18" s="1"/>
  <c r="K13" i="18" s="1"/>
  <c r="C14" i="18"/>
  <c r="D14" i="18" s="1"/>
  <c r="E14" i="18" s="1"/>
  <c r="L17" i="18"/>
  <c r="M17" i="18" s="1"/>
  <c r="N17" i="18" s="1"/>
  <c r="I18" i="18"/>
  <c r="J18" i="18" s="1"/>
  <c r="K18" i="18" s="1"/>
  <c r="L21" i="18"/>
  <c r="M21" i="18" s="1"/>
  <c r="N21" i="18" s="1"/>
  <c r="I22" i="18"/>
  <c r="J22" i="18" s="1"/>
  <c r="K22" i="18" s="1"/>
  <c r="L25" i="18"/>
  <c r="M25" i="18" s="1"/>
  <c r="L26" i="18"/>
  <c r="M26" i="18" s="1"/>
  <c r="N26" i="18" s="1"/>
  <c r="O27" i="18"/>
  <c r="P27" i="18" s="1"/>
  <c r="Q27" i="18" s="1"/>
  <c r="R28" i="18"/>
  <c r="S28" i="18" s="1"/>
  <c r="T28" i="18" s="1"/>
  <c r="L29" i="18"/>
  <c r="M29" i="18" s="1"/>
  <c r="N29" i="18" s="1"/>
  <c r="L30" i="18"/>
  <c r="M30" i="18" s="1"/>
  <c r="N30" i="18" s="1"/>
  <c r="R33" i="18"/>
  <c r="S33" i="18" s="1"/>
  <c r="T33" i="18" s="1"/>
  <c r="L34" i="18"/>
  <c r="M34" i="18" s="1"/>
  <c r="N34" i="18" s="1"/>
  <c r="R37" i="18"/>
  <c r="S37" i="18" s="1"/>
  <c r="T37" i="18" s="1"/>
  <c r="L38" i="18"/>
  <c r="M38" i="18" s="1"/>
  <c r="N38" i="18" s="1"/>
  <c r="O42" i="18"/>
  <c r="P42" i="18" s="1"/>
  <c r="Q42" i="18" s="1"/>
  <c r="R43" i="18"/>
  <c r="S43" i="18" s="1"/>
  <c r="T43" i="18" s="1"/>
  <c r="R46" i="18"/>
  <c r="S46" i="18" s="1"/>
  <c r="T46" i="18" s="1"/>
  <c r="O47" i="18"/>
  <c r="P47" i="18" s="1"/>
  <c r="Q47" i="18" s="1"/>
  <c r="C48" i="18"/>
  <c r="D48" i="18" s="1"/>
  <c r="E48" i="18" s="1"/>
  <c r="R50" i="18"/>
  <c r="S50" i="18" s="1"/>
  <c r="T50" i="18" s="1"/>
  <c r="O51" i="18"/>
  <c r="P51" i="18" s="1"/>
  <c r="Q51" i="18" s="1"/>
  <c r="C52" i="18"/>
  <c r="D52" i="18" s="1"/>
  <c r="E52" i="18" s="1"/>
  <c r="R54" i="18"/>
  <c r="S54" i="18" s="1"/>
  <c r="T54" i="18" s="1"/>
  <c r="O55" i="18"/>
  <c r="P55" i="18" s="1"/>
  <c r="R56" i="18"/>
  <c r="S56" i="18" s="1"/>
  <c r="T56" i="18" s="1"/>
  <c r="L57" i="18"/>
  <c r="M57" i="18" s="1"/>
  <c r="N57" i="18" s="1"/>
  <c r="L58" i="18"/>
  <c r="M58" i="18" s="1"/>
  <c r="N58" i="18" s="1"/>
  <c r="O59" i="18"/>
  <c r="P59" i="18" s="1"/>
  <c r="Q59" i="18" s="1"/>
  <c r="R60" i="18"/>
  <c r="S60" i="18" s="1"/>
  <c r="T60" i="18" s="1"/>
  <c r="O61" i="18"/>
  <c r="P61" i="18" s="1"/>
  <c r="Q61" i="18" s="1"/>
  <c r="C62" i="18"/>
  <c r="D62" i="18" s="1"/>
  <c r="E62" i="18" s="1"/>
  <c r="R64" i="18"/>
  <c r="S64" i="18" s="1"/>
  <c r="T64" i="18" s="1"/>
  <c r="O65" i="18"/>
  <c r="P65" i="18" s="1"/>
  <c r="Q65" i="18" s="1"/>
  <c r="C66" i="18"/>
  <c r="D66" i="18" s="1"/>
  <c r="E66" i="18" s="1"/>
  <c r="R68" i="18"/>
  <c r="S68" i="18" s="1"/>
  <c r="T68" i="18" s="1"/>
  <c r="O69" i="18"/>
  <c r="P69" i="18" s="1"/>
  <c r="Q69" i="18" s="1"/>
  <c r="C70" i="18"/>
  <c r="D70" i="18" s="1"/>
  <c r="I72" i="18"/>
  <c r="J72" i="18" s="1"/>
  <c r="K72" i="18" s="1"/>
  <c r="I73" i="18"/>
  <c r="J73" i="18" s="1"/>
  <c r="K73" i="18" s="1"/>
  <c r="C74" i="18"/>
  <c r="D74" i="18" s="1"/>
  <c r="E74" i="18" s="1"/>
  <c r="L77" i="18"/>
  <c r="M77" i="18" s="1"/>
  <c r="N77" i="18" s="1"/>
  <c r="I78" i="18"/>
  <c r="J78" i="18" s="1"/>
  <c r="K78" i="18" s="1"/>
  <c r="L81" i="18"/>
  <c r="M81" i="18" s="1"/>
  <c r="N81" i="18" s="1"/>
  <c r="I82" i="18"/>
  <c r="J82" i="18" s="1"/>
  <c r="K82" i="18" s="1"/>
  <c r="L85" i="18"/>
  <c r="M85" i="18" s="1"/>
  <c r="L86" i="18"/>
  <c r="M86" i="18" s="1"/>
  <c r="N86" i="18" s="1"/>
  <c r="O87" i="18"/>
  <c r="P87" i="18" s="1"/>
  <c r="Q87" i="18" s="1"/>
  <c r="R88" i="18"/>
  <c r="S88" i="18" s="1"/>
  <c r="T88" i="18" s="1"/>
  <c r="L89" i="18"/>
  <c r="M89" i="18" s="1"/>
  <c r="N89" i="18" s="1"/>
  <c r="L90" i="18"/>
  <c r="M90" i="18" s="1"/>
  <c r="N90" i="18" s="1"/>
  <c r="R93" i="18"/>
  <c r="S93" i="18" s="1"/>
  <c r="T93" i="18" s="1"/>
  <c r="L94" i="18"/>
  <c r="M94" i="18" s="1"/>
  <c r="N94" i="18" s="1"/>
  <c r="R97" i="18"/>
  <c r="S97" i="18" s="1"/>
  <c r="T97" i="18" s="1"/>
  <c r="L98" i="18"/>
  <c r="M98" i="18" s="1"/>
  <c r="N98" i="18" s="1"/>
  <c r="L100" i="18"/>
  <c r="M100" i="18" s="1"/>
  <c r="L103" i="18"/>
  <c r="M103" i="18" s="1"/>
  <c r="N103" i="18" s="1"/>
  <c r="L104" i="18"/>
  <c r="M104" i="18" s="1"/>
  <c r="N104" i="18" s="1"/>
  <c r="L107" i="18"/>
  <c r="M107" i="18" s="1"/>
  <c r="N107" i="18" s="1"/>
  <c r="O109" i="18"/>
  <c r="P109" i="18" s="1"/>
  <c r="Q109" i="18" s="1"/>
  <c r="R110" i="18"/>
  <c r="S110" i="18" s="1"/>
  <c r="T110" i="18" s="1"/>
  <c r="O111" i="18"/>
  <c r="P111" i="18" s="1"/>
  <c r="Q111" i="18" s="1"/>
  <c r="R113" i="18"/>
  <c r="S113" i="18" s="1"/>
  <c r="T113" i="18" s="1"/>
  <c r="I125" i="18"/>
  <c r="J125" i="18" s="1"/>
  <c r="K125" i="18" s="1"/>
  <c r="C133" i="18"/>
  <c r="D133" i="18" s="1"/>
  <c r="E133" i="18" s="1"/>
  <c r="C135" i="18"/>
  <c r="D135" i="18" s="1"/>
  <c r="E135" i="18" s="1"/>
  <c r="C138" i="18"/>
  <c r="D138" i="18" s="1"/>
  <c r="E138" i="18" s="1"/>
  <c r="C141" i="18"/>
  <c r="D141" i="18" s="1"/>
  <c r="E141" i="18" s="1"/>
  <c r="O142" i="18"/>
  <c r="P142" i="18" s="1"/>
  <c r="Q142" i="18" s="1"/>
  <c r="R151" i="18"/>
  <c r="S151" i="18" s="1"/>
  <c r="T151" i="18" s="1"/>
  <c r="R159" i="18"/>
  <c r="S159" i="18" s="1"/>
  <c r="T159" i="18" s="1"/>
  <c r="L172" i="18"/>
  <c r="M172" i="18" s="1"/>
  <c r="N172" i="18" s="1"/>
  <c r="C209" i="18"/>
  <c r="D209" i="18" s="1"/>
  <c r="E209" i="18" s="1"/>
  <c r="I248" i="18"/>
  <c r="J248" i="18" s="1"/>
  <c r="K248" i="18" s="1"/>
  <c r="I244" i="18"/>
  <c r="J244" i="18" s="1"/>
  <c r="K244" i="18" s="1"/>
  <c r="I238" i="18"/>
  <c r="J238" i="18" s="1"/>
  <c r="K238" i="18" s="1"/>
  <c r="I234" i="18"/>
  <c r="J234" i="18" s="1"/>
  <c r="K234" i="18" s="1"/>
  <c r="I249" i="18"/>
  <c r="J249" i="18" s="1"/>
  <c r="K249" i="18" s="1"/>
  <c r="I245" i="18"/>
  <c r="J245" i="18" s="1"/>
  <c r="K245" i="18" s="1"/>
  <c r="I241" i="18"/>
  <c r="J241" i="18" s="1"/>
  <c r="K241" i="18" s="1"/>
  <c r="I237" i="18"/>
  <c r="J237" i="18" s="1"/>
  <c r="K237" i="18" s="1"/>
  <c r="I233" i="18"/>
  <c r="J233" i="18" s="1"/>
  <c r="K233" i="18" s="1"/>
  <c r="I229" i="18"/>
  <c r="J229" i="18" s="1"/>
  <c r="K229" i="18" s="1"/>
  <c r="I240" i="18"/>
  <c r="J240" i="18" s="1"/>
  <c r="K240" i="18" s="1"/>
  <c r="I239" i="18"/>
  <c r="J239" i="18" s="1"/>
  <c r="K239" i="18" s="1"/>
  <c r="I236" i="18"/>
  <c r="J236" i="18" s="1"/>
  <c r="I230" i="18"/>
  <c r="J230" i="18" s="1"/>
  <c r="K230" i="18" s="1"/>
  <c r="I226" i="18"/>
  <c r="J226" i="18" s="1"/>
  <c r="K226" i="18" s="1"/>
  <c r="I222" i="18"/>
  <c r="J222" i="18" s="1"/>
  <c r="K222" i="18" s="1"/>
  <c r="I220" i="18"/>
  <c r="J220" i="18" s="1"/>
  <c r="K220" i="18" s="1"/>
  <c r="I216" i="18"/>
  <c r="J216" i="18" s="1"/>
  <c r="K216" i="18" s="1"/>
  <c r="I212" i="18"/>
  <c r="J212" i="18" s="1"/>
  <c r="K212" i="18" s="1"/>
  <c r="I210" i="18"/>
  <c r="J210" i="18" s="1"/>
  <c r="K210" i="18" s="1"/>
  <c r="I251" i="18"/>
  <c r="J251" i="18" s="1"/>
  <c r="I246" i="18"/>
  <c r="J246" i="18" s="1"/>
  <c r="K246" i="18" s="1"/>
  <c r="I243" i="18"/>
  <c r="J243" i="18" s="1"/>
  <c r="K243" i="18" s="1"/>
  <c r="I224" i="18"/>
  <c r="J224" i="18" s="1"/>
  <c r="K224" i="18" s="1"/>
  <c r="I223" i="18"/>
  <c r="J223" i="18" s="1"/>
  <c r="K223" i="18" s="1"/>
  <c r="I206" i="18"/>
  <c r="J206" i="18" s="1"/>
  <c r="I202" i="18"/>
  <c r="J202" i="18" s="1"/>
  <c r="K202" i="18" s="1"/>
  <c r="I198" i="18"/>
  <c r="J198" i="18" s="1"/>
  <c r="K198" i="18" s="1"/>
  <c r="I219" i="18"/>
  <c r="J219" i="18" s="1"/>
  <c r="K219" i="18" s="1"/>
  <c r="I217" i="18"/>
  <c r="J217" i="18" s="1"/>
  <c r="K217" i="18" s="1"/>
  <c r="I250" i="18"/>
  <c r="J250" i="18" s="1"/>
  <c r="K250" i="18" s="1"/>
  <c r="I214" i="18"/>
  <c r="J214" i="18" s="1"/>
  <c r="K214" i="18" s="1"/>
  <c r="I235" i="18"/>
  <c r="J235" i="18" s="1"/>
  <c r="K235" i="18" s="1"/>
  <c r="I232" i="18"/>
  <c r="J232" i="18" s="1"/>
  <c r="K232" i="18" s="1"/>
  <c r="I227" i="18"/>
  <c r="J227" i="18" s="1"/>
  <c r="K227" i="18" s="1"/>
  <c r="I225" i="18"/>
  <c r="J225" i="18" s="1"/>
  <c r="K225" i="18" s="1"/>
  <c r="I221" i="18"/>
  <c r="J221" i="18" s="1"/>
  <c r="I218" i="18"/>
  <c r="J218" i="18" s="1"/>
  <c r="K218" i="18" s="1"/>
  <c r="I215" i="18"/>
  <c r="J215" i="18" s="1"/>
  <c r="K215" i="18" s="1"/>
  <c r="I205" i="18"/>
  <c r="J205" i="18" s="1"/>
  <c r="K205" i="18" s="1"/>
  <c r="I203" i="18"/>
  <c r="J203" i="18" s="1"/>
  <c r="K203" i="18" s="1"/>
  <c r="I200" i="18"/>
  <c r="J200" i="18" s="1"/>
  <c r="K200" i="18" s="1"/>
  <c r="I197" i="18"/>
  <c r="J197" i="18" s="1"/>
  <c r="K197" i="18" s="1"/>
  <c r="I193" i="18"/>
  <c r="J193" i="18" s="1"/>
  <c r="K193" i="18" s="1"/>
  <c r="I189" i="18"/>
  <c r="J189" i="18" s="1"/>
  <c r="K189" i="18" s="1"/>
  <c r="I185" i="18"/>
  <c r="J185" i="18" s="1"/>
  <c r="K185" i="18" s="1"/>
  <c r="I247" i="18"/>
  <c r="J247" i="18" s="1"/>
  <c r="K247" i="18" s="1"/>
  <c r="I213" i="18"/>
  <c r="J213" i="18" s="1"/>
  <c r="K213" i="18" s="1"/>
  <c r="I201" i="18"/>
  <c r="J201" i="18" s="1"/>
  <c r="K201" i="18" s="1"/>
  <c r="I194" i="18"/>
  <c r="J194" i="18" s="1"/>
  <c r="K194" i="18" s="1"/>
  <c r="I191" i="18"/>
  <c r="J191" i="18" s="1"/>
  <c r="I188" i="18"/>
  <c r="J188" i="18" s="1"/>
  <c r="K188" i="18" s="1"/>
  <c r="I186" i="18"/>
  <c r="J186" i="18" s="1"/>
  <c r="K186" i="18" s="1"/>
  <c r="I183" i="18"/>
  <c r="J183" i="18" s="1"/>
  <c r="K183" i="18" s="1"/>
  <c r="I178" i="18"/>
  <c r="J178" i="18" s="1"/>
  <c r="K178" i="18" s="1"/>
  <c r="I174" i="18"/>
  <c r="J174" i="18" s="1"/>
  <c r="K174" i="18" s="1"/>
  <c r="I170" i="18"/>
  <c r="J170" i="18" s="1"/>
  <c r="K170" i="18" s="1"/>
  <c r="I166" i="18"/>
  <c r="J166" i="18" s="1"/>
  <c r="K166" i="18" s="1"/>
  <c r="I162" i="18"/>
  <c r="J162" i="18" s="1"/>
  <c r="K162" i="18" s="1"/>
  <c r="I160" i="18"/>
  <c r="J160" i="18" s="1"/>
  <c r="K160" i="18" s="1"/>
  <c r="I156" i="18"/>
  <c r="J156" i="18" s="1"/>
  <c r="K156" i="18" s="1"/>
  <c r="I152" i="18"/>
  <c r="J152" i="18" s="1"/>
  <c r="K152" i="18" s="1"/>
  <c r="I150" i="18"/>
  <c r="J150" i="18" s="1"/>
  <c r="K150" i="18" s="1"/>
  <c r="I146" i="18"/>
  <c r="J146" i="18" s="1"/>
  <c r="I142" i="18"/>
  <c r="J142" i="18" s="1"/>
  <c r="K142" i="18" s="1"/>
  <c r="I138" i="18"/>
  <c r="J138" i="18" s="1"/>
  <c r="K138" i="18" s="1"/>
  <c r="I134" i="18"/>
  <c r="J134" i="18" s="1"/>
  <c r="K134" i="18" s="1"/>
  <c r="I228" i="18"/>
  <c r="J228" i="18" s="1"/>
  <c r="K228" i="18" s="1"/>
  <c r="I208" i="18"/>
  <c r="J208" i="18" s="1"/>
  <c r="K208" i="18" s="1"/>
  <c r="I199" i="18"/>
  <c r="J199" i="18" s="1"/>
  <c r="K199" i="18" s="1"/>
  <c r="I181" i="18"/>
  <c r="J181" i="18" s="1"/>
  <c r="K181" i="18" s="1"/>
  <c r="I177" i="18"/>
  <c r="J177" i="18" s="1"/>
  <c r="K177" i="18" s="1"/>
  <c r="I175" i="18"/>
  <c r="J175" i="18" s="1"/>
  <c r="K175" i="18" s="1"/>
  <c r="I171" i="18"/>
  <c r="J171" i="18" s="1"/>
  <c r="K171" i="18" s="1"/>
  <c r="I167" i="18"/>
  <c r="J167" i="18" s="1"/>
  <c r="K167" i="18" s="1"/>
  <c r="I165" i="18"/>
  <c r="J165" i="18" s="1"/>
  <c r="K165" i="18" s="1"/>
  <c r="I161" i="18"/>
  <c r="J161" i="18" s="1"/>
  <c r="I157" i="18"/>
  <c r="J157" i="18" s="1"/>
  <c r="K157" i="18" s="1"/>
  <c r="I153" i="18"/>
  <c r="J153" i="18" s="1"/>
  <c r="K153" i="18" s="1"/>
  <c r="I149" i="18"/>
  <c r="J149" i="18" s="1"/>
  <c r="K149" i="18" s="1"/>
  <c r="I196" i="18"/>
  <c r="J196" i="18" s="1"/>
  <c r="K196" i="18" s="1"/>
  <c r="I158" i="18"/>
  <c r="J158" i="18" s="1"/>
  <c r="K158" i="18" s="1"/>
  <c r="I154" i="18"/>
  <c r="J154" i="18" s="1"/>
  <c r="K154" i="18" s="1"/>
  <c r="I145" i="18"/>
  <c r="J145" i="18" s="1"/>
  <c r="K145" i="18" s="1"/>
  <c r="I143" i="18"/>
  <c r="J143" i="18" s="1"/>
  <c r="K143" i="18" s="1"/>
  <c r="I140" i="18"/>
  <c r="J140" i="18" s="1"/>
  <c r="K140" i="18" s="1"/>
  <c r="I137" i="18"/>
  <c r="J137" i="18" s="1"/>
  <c r="K137" i="18" s="1"/>
  <c r="I127" i="18"/>
  <c r="J127" i="18" s="1"/>
  <c r="K127" i="18" s="1"/>
  <c r="I123" i="18"/>
  <c r="J123" i="18" s="1"/>
  <c r="K123" i="18" s="1"/>
  <c r="I242" i="18"/>
  <c r="J242" i="18" s="1"/>
  <c r="K242" i="18" s="1"/>
  <c r="I231" i="18"/>
  <c r="J231" i="18" s="1"/>
  <c r="K231" i="18" s="1"/>
  <c r="I209" i="18"/>
  <c r="J209" i="18" s="1"/>
  <c r="K209" i="18" s="1"/>
  <c r="I204" i="18"/>
  <c r="J204" i="18" s="1"/>
  <c r="K204" i="18" s="1"/>
  <c r="I182" i="18"/>
  <c r="J182" i="18" s="1"/>
  <c r="K182" i="18" s="1"/>
  <c r="I132" i="18"/>
  <c r="J132" i="18" s="1"/>
  <c r="K132" i="18" s="1"/>
  <c r="I128" i="18"/>
  <c r="J128" i="18" s="1"/>
  <c r="K128" i="18" s="1"/>
  <c r="I124" i="18"/>
  <c r="J124" i="18" s="1"/>
  <c r="K124" i="18" s="1"/>
  <c r="I120" i="18"/>
  <c r="J120" i="18" s="1"/>
  <c r="K120" i="18" s="1"/>
  <c r="I116" i="18"/>
  <c r="J116" i="18" s="1"/>
  <c r="K116" i="18" s="1"/>
  <c r="I114" i="18"/>
  <c r="J114" i="18" s="1"/>
  <c r="K114" i="18" s="1"/>
  <c r="I110" i="18"/>
  <c r="J110" i="18" s="1"/>
  <c r="K110" i="18" s="1"/>
  <c r="I106" i="18"/>
  <c r="J106" i="18" s="1"/>
  <c r="K106" i="18" s="1"/>
  <c r="I104" i="18"/>
  <c r="J104" i="18" s="1"/>
  <c r="K104" i="18" s="1"/>
  <c r="I100" i="18"/>
  <c r="J100" i="18" s="1"/>
  <c r="I10" i="18"/>
  <c r="J10" i="18" s="1"/>
  <c r="I14" i="18"/>
  <c r="J14" i="18" s="1"/>
  <c r="K14" i="18" s="1"/>
  <c r="I16" i="18"/>
  <c r="J16" i="18" s="1"/>
  <c r="K16" i="18" s="1"/>
  <c r="I20" i="18"/>
  <c r="J20" i="18" s="1"/>
  <c r="K20" i="18" s="1"/>
  <c r="I24" i="18"/>
  <c r="J24" i="18" s="1"/>
  <c r="K24" i="18" s="1"/>
  <c r="I26" i="18"/>
  <c r="J26" i="18" s="1"/>
  <c r="K26" i="18" s="1"/>
  <c r="C28" i="18"/>
  <c r="D28" i="18" s="1"/>
  <c r="E28" i="18" s="1"/>
  <c r="I30" i="18"/>
  <c r="J30" i="18" s="1"/>
  <c r="K30" i="18" s="1"/>
  <c r="C32" i="18"/>
  <c r="D32" i="18" s="1"/>
  <c r="E32" i="18" s="1"/>
  <c r="I34" i="18"/>
  <c r="J34" i="18" s="1"/>
  <c r="K34" i="18" s="1"/>
  <c r="C36" i="18"/>
  <c r="D36" i="18" s="1"/>
  <c r="E36" i="18" s="1"/>
  <c r="I38" i="18"/>
  <c r="J38" i="18" s="1"/>
  <c r="K38" i="18" s="1"/>
  <c r="C40" i="18"/>
  <c r="D40" i="18" s="1"/>
  <c r="I42" i="18"/>
  <c r="J42" i="18" s="1"/>
  <c r="K42" i="18" s="1"/>
  <c r="C44" i="18"/>
  <c r="D44" i="18" s="1"/>
  <c r="E44" i="18" s="1"/>
  <c r="C46" i="18"/>
  <c r="D46" i="18" s="1"/>
  <c r="E46" i="18" s="1"/>
  <c r="I48" i="18"/>
  <c r="J48" i="18" s="1"/>
  <c r="K48" i="18" s="1"/>
  <c r="C50" i="18"/>
  <c r="D50" i="18" s="1"/>
  <c r="E50" i="18" s="1"/>
  <c r="I52" i="18"/>
  <c r="J52" i="18" s="1"/>
  <c r="K52" i="18" s="1"/>
  <c r="C54" i="18"/>
  <c r="D54" i="18" s="1"/>
  <c r="E54" i="18" s="1"/>
  <c r="C56" i="18"/>
  <c r="D56" i="18" s="1"/>
  <c r="E56" i="18" s="1"/>
  <c r="I58" i="18"/>
  <c r="J58" i="18" s="1"/>
  <c r="K58" i="18" s="1"/>
  <c r="C60" i="18"/>
  <c r="D60" i="18" s="1"/>
  <c r="E60" i="18" s="1"/>
  <c r="I62" i="18"/>
  <c r="J62" i="18" s="1"/>
  <c r="K62" i="18" s="1"/>
  <c r="C64" i="18"/>
  <c r="D64" i="18" s="1"/>
  <c r="E64" i="18" s="1"/>
  <c r="I66" i="18"/>
  <c r="J66" i="18" s="1"/>
  <c r="K66" i="18" s="1"/>
  <c r="C68" i="18"/>
  <c r="D68" i="18" s="1"/>
  <c r="E68" i="18" s="1"/>
  <c r="I70" i="18"/>
  <c r="J70" i="18" s="1"/>
  <c r="C72" i="18"/>
  <c r="D72" i="18" s="1"/>
  <c r="E72" i="18" s="1"/>
  <c r="I74" i="18"/>
  <c r="J74" i="18" s="1"/>
  <c r="K74" i="18" s="1"/>
  <c r="I76" i="18"/>
  <c r="J76" i="18" s="1"/>
  <c r="K76" i="18" s="1"/>
  <c r="C78" i="18"/>
  <c r="D78" i="18" s="1"/>
  <c r="E78" i="18" s="1"/>
  <c r="I80" i="18"/>
  <c r="J80" i="18" s="1"/>
  <c r="K80" i="18" s="1"/>
  <c r="C82" i="18"/>
  <c r="D82" i="18" s="1"/>
  <c r="E82" i="18" s="1"/>
  <c r="I84" i="18"/>
  <c r="J84" i="18" s="1"/>
  <c r="K84" i="18" s="1"/>
  <c r="I86" i="18"/>
  <c r="J86" i="18" s="1"/>
  <c r="K86" i="18" s="1"/>
  <c r="C88" i="18"/>
  <c r="D88" i="18" s="1"/>
  <c r="E88" i="18" s="1"/>
  <c r="I90" i="18"/>
  <c r="J90" i="18" s="1"/>
  <c r="K90" i="18" s="1"/>
  <c r="C92" i="18"/>
  <c r="D92" i="18" s="1"/>
  <c r="E92" i="18" s="1"/>
  <c r="I94" i="18"/>
  <c r="J94" i="18" s="1"/>
  <c r="K94" i="18" s="1"/>
  <c r="C96" i="18"/>
  <c r="D96" i="18" s="1"/>
  <c r="E96" i="18" s="1"/>
  <c r="I98" i="18"/>
  <c r="J98" i="18" s="1"/>
  <c r="K98" i="18" s="1"/>
  <c r="I103" i="18"/>
  <c r="J103" i="18" s="1"/>
  <c r="K103" i="18" s="1"/>
  <c r="C107" i="18"/>
  <c r="D107" i="18" s="1"/>
  <c r="E107" i="18" s="1"/>
  <c r="C115" i="18"/>
  <c r="D115" i="18" s="1"/>
  <c r="C116" i="18"/>
  <c r="D116" i="18" s="1"/>
  <c r="E116" i="18" s="1"/>
  <c r="C117" i="18"/>
  <c r="D117" i="18" s="1"/>
  <c r="E117" i="18" s="1"/>
  <c r="I117" i="18"/>
  <c r="J117" i="18" s="1"/>
  <c r="K117" i="18" s="1"/>
  <c r="I118" i="18"/>
  <c r="J118" i="18" s="1"/>
  <c r="K118" i="18" s="1"/>
  <c r="I119" i="18"/>
  <c r="J119" i="18" s="1"/>
  <c r="K119" i="18" s="1"/>
  <c r="C120" i="18"/>
  <c r="D120" i="18" s="1"/>
  <c r="E120" i="18" s="1"/>
  <c r="C124" i="18"/>
  <c r="D124" i="18" s="1"/>
  <c r="E124" i="18" s="1"/>
  <c r="C128" i="18"/>
  <c r="D128" i="18" s="1"/>
  <c r="E128" i="18" s="1"/>
  <c r="C134" i="18"/>
  <c r="D134" i="18" s="1"/>
  <c r="E134" i="18" s="1"/>
  <c r="I135" i="18"/>
  <c r="J135" i="18" s="1"/>
  <c r="K135" i="18" s="1"/>
  <c r="I141" i="18"/>
  <c r="J141" i="18" s="1"/>
  <c r="K141" i="18" s="1"/>
  <c r="C146" i="18"/>
  <c r="D146" i="18" s="1"/>
  <c r="C147" i="18"/>
  <c r="D147" i="18" s="1"/>
  <c r="E147" i="18" s="1"/>
  <c r="C177" i="18"/>
  <c r="D177" i="18" s="1"/>
  <c r="E177" i="18" s="1"/>
  <c r="C181" i="18"/>
  <c r="D181" i="18" s="1"/>
  <c r="E181" i="18" s="1"/>
  <c r="I207" i="18"/>
  <c r="J207" i="18" s="1"/>
  <c r="K207" i="18" s="1"/>
  <c r="C250" i="18"/>
  <c r="D250" i="18" s="1"/>
  <c r="E250" i="18" s="1"/>
  <c r="C246" i="18"/>
  <c r="D246" i="18" s="1"/>
  <c r="E246" i="18" s="1"/>
  <c r="C242" i="18"/>
  <c r="D242" i="18" s="1"/>
  <c r="E242" i="18" s="1"/>
  <c r="C240" i="18"/>
  <c r="D240" i="18" s="1"/>
  <c r="E240" i="18" s="1"/>
  <c r="C236" i="18"/>
  <c r="D236" i="18" s="1"/>
  <c r="C251" i="18"/>
  <c r="D251" i="18" s="1"/>
  <c r="C247" i="18"/>
  <c r="D247" i="18" s="1"/>
  <c r="E247" i="18" s="1"/>
  <c r="C243" i="18"/>
  <c r="D243" i="18" s="1"/>
  <c r="E243" i="18" s="1"/>
  <c r="C239" i="18"/>
  <c r="D239" i="18" s="1"/>
  <c r="E239" i="18" s="1"/>
  <c r="C235" i="18"/>
  <c r="D235" i="18" s="1"/>
  <c r="E235" i="18" s="1"/>
  <c r="C231" i="18"/>
  <c r="D231" i="18" s="1"/>
  <c r="E231" i="18" s="1"/>
  <c r="C227" i="18"/>
  <c r="D227" i="18" s="1"/>
  <c r="E227" i="18" s="1"/>
  <c r="C249" i="18"/>
  <c r="D249" i="18" s="1"/>
  <c r="E249" i="18" s="1"/>
  <c r="C245" i="18"/>
  <c r="D245" i="18" s="1"/>
  <c r="E245" i="18" s="1"/>
  <c r="C241" i="18"/>
  <c r="D241" i="18" s="1"/>
  <c r="E241" i="18" s="1"/>
  <c r="C237" i="18"/>
  <c r="D237" i="18" s="1"/>
  <c r="E237" i="18" s="1"/>
  <c r="C232" i="18"/>
  <c r="D232" i="18" s="1"/>
  <c r="E232" i="18" s="1"/>
  <c r="C228" i="18"/>
  <c r="D228" i="18" s="1"/>
  <c r="E228" i="18" s="1"/>
  <c r="C224" i="18"/>
  <c r="D224" i="18" s="1"/>
  <c r="E224" i="18" s="1"/>
  <c r="C218" i="18"/>
  <c r="D218" i="18" s="1"/>
  <c r="E218" i="18" s="1"/>
  <c r="C214" i="18"/>
  <c r="D214" i="18" s="1"/>
  <c r="E214" i="18" s="1"/>
  <c r="C244" i="18"/>
  <c r="D244" i="18" s="1"/>
  <c r="E244" i="18" s="1"/>
  <c r="C225" i="18"/>
  <c r="D225" i="18" s="1"/>
  <c r="E225" i="18" s="1"/>
  <c r="C223" i="18"/>
  <c r="D223" i="18" s="1"/>
  <c r="E223" i="18" s="1"/>
  <c r="C222" i="18"/>
  <c r="D222" i="18" s="1"/>
  <c r="E222" i="18" s="1"/>
  <c r="C221" i="18"/>
  <c r="D221" i="18" s="1"/>
  <c r="C213" i="18"/>
  <c r="D213" i="18" s="1"/>
  <c r="E213" i="18" s="1"/>
  <c r="C208" i="18"/>
  <c r="D208" i="18" s="1"/>
  <c r="E208" i="18" s="1"/>
  <c r="C204" i="18"/>
  <c r="D204" i="18" s="1"/>
  <c r="E204" i="18" s="1"/>
  <c r="C200" i="18"/>
  <c r="D200" i="18" s="1"/>
  <c r="E200" i="18" s="1"/>
  <c r="C196" i="18"/>
  <c r="D196" i="18" s="1"/>
  <c r="E196" i="18" s="1"/>
  <c r="C234" i="18"/>
  <c r="D234" i="18" s="1"/>
  <c r="E234" i="18" s="1"/>
  <c r="C230" i="18"/>
  <c r="D230" i="18" s="1"/>
  <c r="E230" i="18" s="1"/>
  <c r="C226" i="18"/>
  <c r="D226" i="18" s="1"/>
  <c r="E226" i="18" s="1"/>
  <c r="C219" i="18"/>
  <c r="D219" i="18" s="1"/>
  <c r="E219" i="18" s="1"/>
  <c r="C248" i="18"/>
  <c r="D248" i="18" s="1"/>
  <c r="E248" i="18" s="1"/>
  <c r="C220" i="18"/>
  <c r="D220" i="18" s="1"/>
  <c r="E220" i="18" s="1"/>
  <c r="C215" i="18"/>
  <c r="D215" i="18" s="1"/>
  <c r="E215" i="18" s="1"/>
  <c r="C238" i="18"/>
  <c r="D238" i="18" s="1"/>
  <c r="E238" i="18" s="1"/>
  <c r="C233" i="18"/>
  <c r="D233" i="18" s="1"/>
  <c r="E233" i="18" s="1"/>
  <c r="C216" i="18"/>
  <c r="D216" i="18" s="1"/>
  <c r="E216" i="18" s="1"/>
  <c r="C211" i="18"/>
  <c r="D211" i="18" s="1"/>
  <c r="E211" i="18" s="1"/>
  <c r="C210" i="18"/>
  <c r="D210" i="18" s="1"/>
  <c r="E210" i="18" s="1"/>
  <c r="C205" i="18"/>
  <c r="D205" i="18" s="1"/>
  <c r="E205" i="18" s="1"/>
  <c r="C202" i="18"/>
  <c r="D202" i="18" s="1"/>
  <c r="E202" i="18" s="1"/>
  <c r="C197" i="18"/>
  <c r="D197" i="18" s="1"/>
  <c r="E197" i="18" s="1"/>
  <c r="C191" i="18"/>
  <c r="D191" i="18" s="1"/>
  <c r="C187" i="18"/>
  <c r="D187" i="18" s="1"/>
  <c r="E187" i="18" s="1"/>
  <c r="C183" i="18"/>
  <c r="D183" i="18" s="1"/>
  <c r="E183" i="18" s="1"/>
  <c r="C194" i="18"/>
  <c r="D194" i="18" s="1"/>
  <c r="E194" i="18" s="1"/>
  <c r="C193" i="18"/>
  <c r="D193" i="18" s="1"/>
  <c r="E193" i="18" s="1"/>
  <c r="C192" i="18"/>
  <c r="D192" i="18" s="1"/>
  <c r="E192" i="18" s="1"/>
  <c r="C188" i="18"/>
  <c r="D188" i="18" s="1"/>
  <c r="E188" i="18" s="1"/>
  <c r="C185" i="18"/>
  <c r="D185" i="18" s="1"/>
  <c r="E185" i="18" s="1"/>
  <c r="C182" i="18"/>
  <c r="D182" i="18" s="1"/>
  <c r="E182" i="18" s="1"/>
  <c r="C180" i="18"/>
  <c r="D180" i="18" s="1"/>
  <c r="E180" i="18" s="1"/>
  <c r="C176" i="18"/>
  <c r="D176" i="18" s="1"/>
  <c r="C172" i="18"/>
  <c r="D172" i="18" s="1"/>
  <c r="E172" i="18" s="1"/>
  <c r="C168" i="18"/>
  <c r="D168" i="18" s="1"/>
  <c r="E168" i="18" s="1"/>
  <c r="C164" i="18"/>
  <c r="D164" i="18" s="1"/>
  <c r="E164" i="18" s="1"/>
  <c r="C158" i="18"/>
  <c r="D158" i="18" s="1"/>
  <c r="E158" i="18" s="1"/>
  <c r="C154" i="18"/>
  <c r="D154" i="18" s="1"/>
  <c r="E154" i="18" s="1"/>
  <c r="C148" i="18"/>
  <c r="D148" i="18" s="1"/>
  <c r="E148" i="18" s="1"/>
  <c r="C144" i="18"/>
  <c r="D144" i="18" s="1"/>
  <c r="E144" i="18" s="1"/>
  <c r="C140" i="18"/>
  <c r="D140" i="18" s="1"/>
  <c r="E140" i="18" s="1"/>
  <c r="C136" i="18"/>
  <c r="D136" i="18" s="1"/>
  <c r="E136" i="18" s="1"/>
  <c r="C217" i="18"/>
  <c r="D217" i="18" s="1"/>
  <c r="E217" i="18" s="1"/>
  <c r="C207" i="18"/>
  <c r="D207" i="18" s="1"/>
  <c r="E207" i="18" s="1"/>
  <c r="C206" i="18"/>
  <c r="D206" i="18" s="1"/>
  <c r="C203" i="18"/>
  <c r="D203" i="18" s="1"/>
  <c r="E203" i="18" s="1"/>
  <c r="C199" i="18"/>
  <c r="D199" i="18" s="1"/>
  <c r="E199" i="18" s="1"/>
  <c r="C198" i="18"/>
  <c r="D198" i="18" s="1"/>
  <c r="E198" i="18" s="1"/>
  <c r="C186" i="18"/>
  <c r="D186" i="18" s="1"/>
  <c r="E186" i="18" s="1"/>
  <c r="C179" i="18"/>
  <c r="D179" i="18" s="1"/>
  <c r="E179" i="18" s="1"/>
  <c r="C173" i="18"/>
  <c r="D173" i="18" s="1"/>
  <c r="E173" i="18" s="1"/>
  <c r="C169" i="18"/>
  <c r="D169" i="18" s="1"/>
  <c r="E169" i="18" s="1"/>
  <c r="C163" i="18"/>
  <c r="D163" i="18" s="1"/>
  <c r="E163" i="18" s="1"/>
  <c r="C159" i="18"/>
  <c r="D159" i="18" s="1"/>
  <c r="E159" i="18" s="1"/>
  <c r="C155" i="18"/>
  <c r="D155" i="18" s="1"/>
  <c r="E155" i="18" s="1"/>
  <c r="C151" i="18"/>
  <c r="D151" i="18" s="1"/>
  <c r="E151" i="18" s="1"/>
  <c r="C201" i="18"/>
  <c r="D201" i="18" s="1"/>
  <c r="E201" i="18" s="1"/>
  <c r="C184" i="18"/>
  <c r="D184" i="18" s="1"/>
  <c r="E184" i="18" s="1"/>
  <c r="C178" i="18"/>
  <c r="D178" i="18" s="1"/>
  <c r="E178" i="18" s="1"/>
  <c r="C160" i="18"/>
  <c r="D160" i="18" s="1"/>
  <c r="E160" i="18" s="1"/>
  <c r="C156" i="18"/>
  <c r="D156" i="18" s="1"/>
  <c r="E156" i="18" s="1"/>
  <c r="C152" i="18"/>
  <c r="D152" i="18" s="1"/>
  <c r="E152" i="18" s="1"/>
  <c r="C150" i="18"/>
  <c r="D150" i="18" s="1"/>
  <c r="E150" i="18" s="1"/>
  <c r="C145" i="18"/>
  <c r="D145" i="18" s="1"/>
  <c r="E145" i="18" s="1"/>
  <c r="C142" i="18"/>
  <c r="D142" i="18" s="1"/>
  <c r="E142" i="18" s="1"/>
  <c r="C137" i="18"/>
  <c r="D137" i="18" s="1"/>
  <c r="E137" i="18" s="1"/>
  <c r="C131" i="18"/>
  <c r="D131" i="18" s="1"/>
  <c r="C129" i="18"/>
  <c r="D129" i="18" s="1"/>
  <c r="E129" i="18" s="1"/>
  <c r="C125" i="18"/>
  <c r="D125" i="18" s="1"/>
  <c r="E125" i="18" s="1"/>
  <c r="C121" i="18"/>
  <c r="D121" i="18" s="1"/>
  <c r="E121" i="18" s="1"/>
  <c r="C119" i="18"/>
  <c r="D119" i="18" s="1"/>
  <c r="E119" i="18" s="1"/>
  <c r="C229" i="18"/>
  <c r="D229" i="18" s="1"/>
  <c r="E229" i="18" s="1"/>
  <c r="C175" i="18"/>
  <c r="D175" i="18" s="1"/>
  <c r="E175" i="18" s="1"/>
  <c r="C171" i="18"/>
  <c r="D171" i="18" s="1"/>
  <c r="E171" i="18" s="1"/>
  <c r="C167" i="18"/>
  <c r="D167" i="18" s="1"/>
  <c r="E167" i="18" s="1"/>
  <c r="C143" i="18"/>
  <c r="D143" i="18" s="1"/>
  <c r="E143" i="18" s="1"/>
  <c r="C130" i="18"/>
  <c r="D130" i="18" s="1"/>
  <c r="C126" i="18"/>
  <c r="D126" i="18" s="1"/>
  <c r="E126" i="18" s="1"/>
  <c r="C122" i="18"/>
  <c r="D122" i="18" s="1"/>
  <c r="E122" i="18" s="1"/>
  <c r="C118" i="18"/>
  <c r="D118" i="18" s="1"/>
  <c r="E118" i="18" s="1"/>
  <c r="C112" i="18"/>
  <c r="D112" i="18" s="1"/>
  <c r="E112" i="18" s="1"/>
  <c r="C108" i="18"/>
  <c r="D108" i="18" s="1"/>
  <c r="E108" i="18" s="1"/>
  <c r="C102" i="18"/>
  <c r="D102" i="18" s="1"/>
  <c r="E102" i="18" s="1"/>
  <c r="I11" i="18"/>
  <c r="J11" i="18" s="1"/>
  <c r="K11" i="18" s="1"/>
  <c r="C13" i="18"/>
  <c r="D13" i="18" s="1"/>
  <c r="E13" i="18" s="1"/>
  <c r="I15" i="18"/>
  <c r="J15" i="18" s="1"/>
  <c r="K15" i="18" s="1"/>
  <c r="C17" i="18"/>
  <c r="D17" i="18" s="1"/>
  <c r="E17" i="18" s="1"/>
  <c r="I19" i="18"/>
  <c r="J19" i="18" s="1"/>
  <c r="K19" i="18" s="1"/>
  <c r="C21" i="18"/>
  <c r="D21" i="18" s="1"/>
  <c r="E21" i="18" s="1"/>
  <c r="I23" i="18"/>
  <c r="J23" i="18" s="1"/>
  <c r="K23" i="18" s="1"/>
  <c r="C25" i="18"/>
  <c r="D25" i="18" s="1"/>
  <c r="I27" i="18"/>
  <c r="J27" i="18" s="1"/>
  <c r="K27" i="18" s="1"/>
  <c r="C29" i="18"/>
  <c r="D29" i="18" s="1"/>
  <c r="E29" i="18" s="1"/>
  <c r="C31" i="18"/>
  <c r="D31" i="18" s="1"/>
  <c r="E31" i="18" s="1"/>
  <c r="I33" i="18"/>
  <c r="J33" i="18" s="1"/>
  <c r="K33" i="18" s="1"/>
  <c r="C35" i="18"/>
  <c r="D35" i="18" s="1"/>
  <c r="E35" i="18" s="1"/>
  <c r="I37" i="18"/>
  <c r="J37" i="18" s="1"/>
  <c r="K37" i="18" s="1"/>
  <c r="C39" i="18"/>
  <c r="D39" i="18" s="1"/>
  <c r="E39" i="18" s="1"/>
  <c r="C41" i="18"/>
  <c r="D41" i="18" s="1"/>
  <c r="E41" i="18" s="1"/>
  <c r="I43" i="18"/>
  <c r="J43" i="18" s="1"/>
  <c r="K43" i="18" s="1"/>
  <c r="C45" i="18"/>
  <c r="D45" i="18" s="1"/>
  <c r="E45" i="18" s="1"/>
  <c r="I47" i="18"/>
  <c r="J47" i="18" s="1"/>
  <c r="K47" i="18" s="1"/>
  <c r="C49" i="18"/>
  <c r="D49" i="18" s="1"/>
  <c r="E49" i="18" s="1"/>
  <c r="I51" i="18"/>
  <c r="J51" i="18" s="1"/>
  <c r="K51" i="18" s="1"/>
  <c r="C53" i="18"/>
  <c r="D53" i="18" s="1"/>
  <c r="E53" i="18" s="1"/>
  <c r="I55" i="18"/>
  <c r="J55" i="18" s="1"/>
  <c r="C57" i="18"/>
  <c r="D57" i="18" s="1"/>
  <c r="E57" i="18" s="1"/>
  <c r="I59" i="18"/>
  <c r="J59" i="18" s="1"/>
  <c r="K59" i="18" s="1"/>
  <c r="I61" i="18"/>
  <c r="J61" i="18" s="1"/>
  <c r="K61" i="18" s="1"/>
  <c r="C63" i="18"/>
  <c r="D63" i="18" s="1"/>
  <c r="E63" i="18" s="1"/>
  <c r="I65" i="18"/>
  <c r="J65" i="18" s="1"/>
  <c r="K65" i="18" s="1"/>
  <c r="C67" i="18"/>
  <c r="D67" i="18" s="1"/>
  <c r="E67" i="18" s="1"/>
  <c r="I69" i="18"/>
  <c r="J69" i="18" s="1"/>
  <c r="K69" i="18" s="1"/>
  <c r="I71" i="18"/>
  <c r="J71" i="18" s="1"/>
  <c r="K71" i="18" s="1"/>
  <c r="C73" i="18"/>
  <c r="D73" i="18" s="1"/>
  <c r="E73" i="18" s="1"/>
  <c r="I75" i="18"/>
  <c r="J75" i="18" s="1"/>
  <c r="K75" i="18" s="1"/>
  <c r="C77" i="18"/>
  <c r="D77" i="18" s="1"/>
  <c r="E77" i="18" s="1"/>
  <c r="I79" i="18"/>
  <c r="J79" i="18" s="1"/>
  <c r="K79" i="18" s="1"/>
  <c r="C81" i="18"/>
  <c r="D81" i="18" s="1"/>
  <c r="E81" i="18" s="1"/>
  <c r="I83" i="18"/>
  <c r="J83" i="18" s="1"/>
  <c r="K83" i="18" s="1"/>
  <c r="C85" i="18"/>
  <c r="D85" i="18" s="1"/>
  <c r="I87" i="18"/>
  <c r="J87" i="18" s="1"/>
  <c r="K87" i="18" s="1"/>
  <c r="C89" i="18"/>
  <c r="D89" i="18" s="1"/>
  <c r="E89" i="18" s="1"/>
  <c r="C91" i="18"/>
  <c r="D91" i="18" s="1"/>
  <c r="E91" i="18" s="1"/>
  <c r="I93" i="18"/>
  <c r="J93" i="18" s="1"/>
  <c r="K93" i="18" s="1"/>
  <c r="C95" i="18"/>
  <c r="D95" i="18" s="1"/>
  <c r="E95" i="18" s="1"/>
  <c r="I97" i="18"/>
  <c r="J97" i="18" s="1"/>
  <c r="K97" i="18" s="1"/>
  <c r="C99" i="18"/>
  <c r="D99" i="18" s="1"/>
  <c r="E99" i="18" s="1"/>
  <c r="I99" i="18"/>
  <c r="J99" i="18" s="1"/>
  <c r="K99" i="18" s="1"/>
  <c r="C106" i="18"/>
  <c r="D106" i="18" s="1"/>
  <c r="E106" i="18" s="1"/>
  <c r="I107" i="18"/>
  <c r="J107" i="18" s="1"/>
  <c r="K107" i="18" s="1"/>
  <c r="C109" i="18"/>
  <c r="D109" i="18" s="1"/>
  <c r="E109" i="18" s="1"/>
  <c r="I109" i="18"/>
  <c r="J109" i="18" s="1"/>
  <c r="K109" i="18" s="1"/>
  <c r="I112" i="18"/>
  <c r="J112" i="18" s="1"/>
  <c r="K112" i="18" s="1"/>
  <c r="C114" i="18"/>
  <c r="D114" i="18" s="1"/>
  <c r="E114" i="18" s="1"/>
  <c r="I115" i="18"/>
  <c r="J115" i="18" s="1"/>
  <c r="I133" i="18"/>
  <c r="J133" i="18" s="1"/>
  <c r="K133" i="18" s="1"/>
  <c r="I136" i="18"/>
  <c r="J136" i="18" s="1"/>
  <c r="K136" i="18" s="1"/>
  <c r="I139" i="18"/>
  <c r="J139" i="18" s="1"/>
  <c r="K139" i="18" s="1"/>
  <c r="I148" i="18"/>
  <c r="J148" i="18" s="1"/>
  <c r="K148" i="18" s="1"/>
  <c r="C153" i="18"/>
  <c r="D153" i="18" s="1"/>
  <c r="E153" i="18" s="1"/>
  <c r="I155" i="18"/>
  <c r="J155" i="18" s="1"/>
  <c r="K155" i="18" s="1"/>
  <c r="C161" i="18"/>
  <c r="D161" i="18" s="1"/>
  <c r="I164" i="18"/>
  <c r="J164" i="18" s="1"/>
  <c r="K164" i="18" s="1"/>
  <c r="C165" i="18"/>
  <c r="D165" i="18" s="1"/>
  <c r="E165" i="18" s="1"/>
  <c r="I169" i="18"/>
  <c r="J169" i="18" s="1"/>
  <c r="K169" i="18" s="1"/>
  <c r="C170" i="18"/>
  <c r="D170" i="18" s="1"/>
  <c r="E170" i="18" s="1"/>
  <c r="I172" i="18"/>
  <c r="J172" i="18" s="1"/>
  <c r="K172" i="18" s="1"/>
  <c r="I179" i="18"/>
  <c r="J179" i="18" s="1"/>
  <c r="K179" i="18" s="1"/>
  <c r="I192" i="18"/>
  <c r="J192" i="18" s="1"/>
  <c r="K192" i="18" s="1"/>
  <c r="I238" i="17"/>
  <c r="J238" i="17" s="1"/>
  <c r="K238" i="17" s="1"/>
  <c r="O238" i="17"/>
  <c r="P238" i="17" s="1"/>
  <c r="Q238" i="17" s="1"/>
  <c r="I222" i="17"/>
  <c r="J222" i="17" s="1"/>
  <c r="K222" i="17" s="1"/>
  <c r="C222" i="17"/>
  <c r="D222" i="17" s="1"/>
  <c r="E222" i="17" s="1"/>
  <c r="O222" i="17"/>
  <c r="P222" i="17" s="1"/>
  <c r="Q222" i="17" s="1"/>
  <c r="F222" i="17"/>
  <c r="G222" i="17" s="1"/>
  <c r="H222" i="17" s="1"/>
  <c r="F249" i="17"/>
  <c r="G249" i="17" s="1"/>
  <c r="H249" i="17" s="1"/>
  <c r="F245" i="17"/>
  <c r="G245" i="17" s="1"/>
  <c r="H245" i="17" s="1"/>
  <c r="R222" i="17"/>
  <c r="S222" i="17" s="1"/>
  <c r="T222" i="17" s="1"/>
  <c r="I156" i="17"/>
  <c r="J156" i="17" s="1"/>
  <c r="K156" i="17" s="1"/>
  <c r="C156" i="17"/>
  <c r="D156" i="17" s="1"/>
  <c r="E156" i="17" s="1"/>
  <c r="F156" i="17"/>
  <c r="G156" i="17" s="1"/>
  <c r="H156" i="17" s="1"/>
  <c r="O156" i="17"/>
  <c r="P156" i="17" s="1"/>
  <c r="Q156" i="17" s="1"/>
  <c r="R156" i="17"/>
  <c r="S156" i="17" s="1"/>
  <c r="T156" i="17" s="1"/>
  <c r="AJ208" i="17"/>
  <c r="F241" i="17"/>
  <c r="G241" i="17" s="1"/>
  <c r="H241" i="17" s="1"/>
  <c r="F240" i="17"/>
  <c r="G240" i="17" s="1"/>
  <c r="H240" i="17" s="1"/>
  <c r="L229" i="17"/>
  <c r="M229" i="17" s="1"/>
  <c r="N229" i="17" s="1"/>
  <c r="C229" i="17"/>
  <c r="D229" i="17" s="1"/>
  <c r="E229" i="17" s="1"/>
  <c r="I229" i="17"/>
  <c r="J229" i="17" s="1"/>
  <c r="K229" i="17" s="1"/>
  <c r="O229" i="17"/>
  <c r="P229" i="17" s="1"/>
  <c r="Q229" i="17" s="1"/>
  <c r="F229" i="17"/>
  <c r="G229" i="17" s="1"/>
  <c r="H229" i="17" s="1"/>
  <c r="O249" i="17"/>
  <c r="P249" i="17" s="1"/>
  <c r="Q249" i="17" s="1"/>
  <c r="C248" i="17"/>
  <c r="D248" i="17" s="1"/>
  <c r="E248" i="17" s="1"/>
  <c r="O248" i="17"/>
  <c r="P248" i="17" s="1"/>
  <c r="Q248" i="17" s="1"/>
  <c r="O245" i="17"/>
  <c r="P245" i="17" s="1"/>
  <c r="Q245" i="17" s="1"/>
  <c r="C244" i="17"/>
  <c r="D244" i="17" s="1"/>
  <c r="E244" i="17" s="1"/>
  <c r="O244" i="17"/>
  <c r="P244" i="17" s="1"/>
  <c r="Q244" i="17" s="1"/>
  <c r="O241" i="17"/>
  <c r="P241" i="17" s="1"/>
  <c r="Q241" i="17" s="1"/>
  <c r="O240" i="17"/>
  <c r="P240" i="17" s="1"/>
  <c r="Q240" i="17" s="1"/>
  <c r="R238" i="17"/>
  <c r="S238" i="17" s="1"/>
  <c r="T238" i="17" s="1"/>
  <c r="L238" i="17"/>
  <c r="M238" i="17" s="1"/>
  <c r="N238" i="17" s="1"/>
  <c r="F238" i="17"/>
  <c r="G238" i="17" s="1"/>
  <c r="H238" i="17" s="1"/>
  <c r="N236" i="17"/>
  <c r="V239" i="17" s="1"/>
  <c r="AL237" i="17"/>
  <c r="H236" i="17"/>
  <c r="V237" i="17" s="1"/>
  <c r="L233" i="17"/>
  <c r="M233" i="17" s="1"/>
  <c r="N233" i="17" s="1"/>
  <c r="C233" i="17"/>
  <c r="D233" i="17" s="1"/>
  <c r="E233" i="17" s="1"/>
  <c r="I233" i="17"/>
  <c r="J233" i="17" s="1"/>
  <c r="K233" i="17" s="1"/>
  <c r="O233" i="17"/>
  <c r="P233" i="17" s="1"/>
  <c r="Q233" i="17" s="1"/>
  <c r="R229" i="17"/>
  <c r="S229" i="17" s="1"/>
  <c r="T229" i="17" s="1"/>
  <c r="C224" i="17"/>
  <c r="D224" i="17" s="1"/>
  <c r="E224" i="17" s="1"/>
  <c r="O224" i="17"/>
  <c r="P224" i="17" s="1"/>
  <c r="Q224" i="17" s="1"/>
  <c r="I224" i="17"/>
  <c r="J224" i="17" s="1"/>
  <c r="K224" i="17" s="1"/>
  <c r="F224" i="17"/>
  <c r="G224" i="17" s="1"/>
  <c r="H224" i="17" s="1"/>
  <c r="L224" i="17"/>
  <c r="M224" i="17" s="1"/>
  <c r="N224" i="17" s="1"/>
  <c r="L222" i="17"/>
  <c r="M222" i="17" s="1"/>
  <c r="N222" i="17" s="1"/>
  <c r="E221" i="17"/>
  <c r="V221" i="17" s="1"/>
  <c r="C184" i="17"/>
  <c r="D184" i="17" s="1"/>
  <c r="E184" i="17" s="1"/>
  <c r="O184" i="17"/>
  <c r="P184" i="17" s="1"/>
  <c r="Q184" i="17" s="1"/>
  <c r="I184" i="17"/>
  <c r="J184" i="17" s="1"/>
  <c r="K184" i="17" s="1"/>
  <c r="L184" i="17"/>
  <c r="M184" i="17" s="1"/>
  <c r="N184" i="17" s="1"/>
  <c r="F184" i="17"/>
  <c r="G184" i="17" s="1"/>
  <c r="H184" i="17" s="1"/>
  <c r="AG165" i="17"/>
  <c r="Q161" i="17"/>
  <c r="V165" i="17" s="1"/>
  <c r="L183" i="17"/>
  <c r="M183" i="17" s="1"/>
  <c r="N183" i="17" s="1"/>
  <c r="C183" i="17"/>
  <c r="D183" i="17" s="1"/>
  <c r="E183" i="17" s="1"/>
  <c r="I183" i="17"/>
  <c r="J183" i="17" s="1"/>
  <c r="K183" i="17" s="1"/>
  <c r="R183" i="17"/>
  <c r="S183" i="17" s="1"/>
  <c r="T183" i="17" s="1"/>
  <c r="F183" i="17"/>
  <c r="G183" i="17" s="1"/>
  <c r="H183" i="17" s="1"/>
  <c r="O183" i="17"/>
  <c r="P183" i="17" s="1"/>
  <c r="Q183" i="17" s="1"/>
  <c r="K251" i="17"/>
  <c r="V253" i="17" s="1"/>
  <c r="I249" i="17"/>
  <c r="J249" i="17" s="1"/>
  <c r="K249" i="17" s="1"/>
  <c r="C249" i="17"/>
  <c r="D249" i="17" s="1"/>
  <c r="E249" i="17" s="1"/>
  <c r="I245" i="17"/>
  <c r="J245" i="17" s="1"/>
  <c r="K245" i="17" s="1"/>
  <c r="C245" i="17"/>
  <c r="D245" i="17" s="1"/>
  <c r="E245" i="17" s="1"/>
  <c r="I241" i="17"/>
  <c r="J241" i="17" s="1"/>
  <c r="K241" i="17" s="1"/>
  <c r="C241" i="17"/>
  <c r="D241" i="17" s="1"/>
  <c r="E241" i="17" s="1"/>
  <c r="C240" i="17"/>
  <c r="D240" i="17" s="1"/>
  <c r="E240" i="17" s="1"/>
  <c r="AL238" i="17"/>
  <c r="C238" i="17"/>
  <c r="D238" i="17" s="1"/>
  <c r="E238" i="17" s="1"/>
  <c r="L223" i="17"/>
  <c r="M223" i="17" s="1"/>
  <c r="N223" i="17" s="1"/>
  <c r="C223" i="17"/>
  <c r="D223" i="17" s="1"/>
  <c r="E223" i="17" s="1"/>
  <c r="I223" i="17"/>
  <c r="J223" i="17" s="1"/>
  <c r="K223" i="17" s="1"/>
  <c r="O223" i="17"/>
  <c r="P223" i="17" s="1"/>
  <c r="Q223" i="17" s="1"/>
  <c r="F223" i="17"/>
  <c r="G223" i="17" s="1"/>
  <c r="H223" i="17" s="1"/>
  <c r="E206" i="17"/>
  <c r="V206" i="17" s="1"/>
  <c r="L151" i="17"/>
  <c r="M151" i="17" s="1"/>
  <c r="N151" i="17" s="1"/>
  <c r="F151" i="17"/>
  <c r="G151" i="17" s="1"/>
  <c r="H151" i="17" s="1"/>
  <c r="C151" i="17"/>
  <c r="D151" i="17" s="1"/>
  <c r="E151" i="17" s="1"/>
  <c r="I151" i="17"/>
  <c r="J151" i="17" s="1"/>
  <c r="K151" i="17" s="1"/>
  <c r="O151" i="17"/>
  <c r="P151" i="17" s="1"/>
  <c r="Q151" i="17" s="1"/>
  <c r="R151" i="17"/>
  <c r="S151" i="17" s="1"/>
  <c r="T151" i="17" s="1"/>
  <c r="C186" i="17"/>
  <c r="D186" i="17" s="1"/>
  <c r="E186" i="17" s="1"/>
  <c r="O186" i="17"/>
  <c r="P186" i="17" s="1"/>
  <c r="Q186" i="17" s="1"/>
  <c r="C158" i="17"/>
  <c r="D158" i="17" s="1"/>
  <c r="E158" i="17" s="1"/>
  <c r="O158" i="17"/>
  <c r="P158" i="17" s="1"/>
  <c r="Q158" i="17" s="1"/>
  <c r="I158" i="17"/>
  <c r="J158" i="17" s="1"/>
  <c r="K158" i="17" s="1"/>
  <c r="F158" i="17"/>
  <c r="G158" i="17" s="1"/>
  <c r="H158" i="17" s="1"/>
  <c r="L158" i="17"/>
  <c r="M158" i="17" s="1"/>
  <c r="N158" i="17" s="1"/>
  <c r="I152" i="17"/>
  <c r="J152" i="17" s="1"/>
  <c r="K152" i="17" s="1"/>
  <c r="C152" i="17"/>
  <c r="D152" i="17" s="1"/>
  <c r="E152" i="17" s="1"/>
  <c r="F152" i="17"/>
  <c r="G152" i="17" s="1"/>
  <c r="H152" i="17" s="1"/>
  <c r="H146" i="17"/>
  <c r="V147" i="17" s="1"/>
  <c r="I143" i="17"/>
  <c r="J143" i="17" s="1"/>
  <c r="K143" i="17" s="1"/>
  <c r="F143" i="17"/>
  <c r="G143" i="17" s="1"/>
  <c r="H143" i="17" s="1"/>
  <c r="C143" i="17"/>
  <c r="D143" i="17" s="1"/>
  <c r="E143" i="17" s="1"/>
  <c r="R143" i="17"/>
  <c r="S143" i="17" s="1"/>
  <c r="T143" i="17" s="1"/>
  <c r="L143" i="17"/>
  <c r="M143" i="17" s="1"/>
  <c r="N143" i="17" s="1"/>
  <c r="I133" i="17"/>
  <c r="J133" i="17" s="1"/>
  <c r="K133" i="17" s="1"/>
  <c r="C133" i="17"/>
  <c r="D133" i="17" s="1"/>
  <c r="E133" i="17" s="1"/>
  <c r="R133" i="17"/>
  <c r="S133" i="17" s="1"/>
  <c r="T133" i="17" s="1"/>
  <c r="F133" i="17"/>
  <c r="G133" i="17" s="1"/>
  <c r="H133" i="17" s="1"/>
  <c r="L133" i="17"/>
  <c r="M133" i="17" s="1"/>
  <c r="N133" i="17" s="1"/>
  <c r="O133" i="17"/>
  <c r="P133" i="17" s="1"/>
  <c r="Q133" i="17" s="1"/>
  <c r="C40" i="17"/>
  <c r="D40" i="17" s="1"/>
  <c r="O40" i="17"/>
  <c r="P40" i="17" s="1"/>
  <c r="L40" i="17"/>
  <c r="M40" i="17" s="1"/>
  <c r="I40" i="17"/>
  <c r="J40" i="17" s="1"/>
  <c r="F40" i="17"/>
  <c r="G40" i="17" s="1"/>
  <c r="R40" i="17"/>
  <c r="S40" i="17" s="1"/>
  <c r="T40" i="17" s="1"/>
  <c r="Q25" i="17"/>
  <c r="V29" i="17" s="1"/>
  <c r="X29" i="17"/>
  <c r="C218" i="17"/>
  <c r="D218" i="17" s="1"/>
  <c r="E218" i="17" s="1"/>
  <c r="O218" i="17"/>
  <c r="P218" i="17" s="1"/>
  <c r="Q218" i="17" s="1"/>
  <c r="C214" i="17"/>
  <c r="D214" i="17" s="1"/>
  <c r="E214" i="17" s="1"/>
  <c r="O214" i="17"/>
  <c r="P214" i="17" s="1"/>
  <c r="Q214" i="17" s="1"/>
  <c r="C208" i="17"/>
  <c r="D208" i="17" s="1"/>
  <c r="E208" i="17" s="1"/>
  <c r="O208" i="17"/>
  <c r="P208" i="17" s="1"/>
  <c r="Q208" i="17" s="1"/>
  <c r="C204" i="17"/>
  <c r="D204" i="17" s="1"/>
  <c r="E204" i="17" s="1"/>
  <c r="O204" i="17"/>
  <c r="P204" i="17" s="1"/>
  <c r="Q204" i="17" s="1"/>
  <c r="C200" i="17"/>
  <c r="D200" i="17" s="1"/>
  <c r="E200" i="17" s="1"/>
  <c r="O200" i="17"/>
  <c r="P200" i="17" s="1"/>
  <c r="Q200" i="17" s="1"/>
  <c r="C196" i="17"/>
  <c r="D196" i="17" s="1"/>
  <c r="E196" i="17" s="1"/>
  <c r="O196" i="17"/>
  <c r="P196" i="17" s="1"/>
  <c r="Q196" i="17" s="1"/>
  <c r="C190" i="17"/>
  <c r="D190" i="17" s="1"/>
  <c r="E190" i="17" s="1"/>
  <c r="O190" i="17"/>
  <c r="P190" i="17" s="1"/>
  <c r="Q190" i="17" s="1"/>
  <c r="C236" i="17"/>
  <c r="D236" i="17" s="1"/>
  <c r="O236" i="17"/>
  <c r="P236" i="17" s="1"/>
  <c r="C232" i="17"/>
  <c r="D232" i="17" s="1"/>
  <c r="E232" i="17" s="1"/>
  <c r="O232" i="17"/>
  <c r="P232" i="17" s="1"/>
  <c r="Q232" i="17" s="1"/>
  <c r="C228" i="17"/>
  <c r="D228" i="17" s="1"/>
  <c r="E228" i="17" s="1"/>
  <c r="O228" i="17"/>
  <c r="P228" i="17" s="1"/>
  <c r="Q228" i="17" s="1"/>
  <c r="F220" i="17"/>
  <c r="G220" i="17" s="1"/>
  <c r="H220" i="17" s="1"/>
  <c r="I219" i="17"/>
  <c r="J219" i="17" s="1"/>
  <c r="K219" i="17" s="1"/>
  <c r="C219" i="17"/>
  <c r="D219" i="17" s="1"/>
  <c r="E219" i="17" s="1"/>
  <c r="L218" i="17"/>
  <c r="M218" i="17" s="1"/>
  <c r="N218" i="17" s="1"/>
  <c r="F218" i="17"/>
  <c r="G218" i="17" s="1"/>
  <c r="H218" i="17" s="1"/>
  <c r="F216" i="17"/>
  <c r="G216" i="17" s="1"/>
  <c r="H216" i="17" s="1"/>
  <c r="I215" i="17"/>
  <c r="J215" i="17" s="1"/>
  <c r="K215" i="17" s="1"/>
  <c r="C215" i="17"/>
  <c r="D215" i="17" s="1"/>
  <c r="E215" i="17" s="1"/>
  <c r="L214" i="17"/>
  <c r="M214" i="17" s="1"/>
  <c r="N214" i="17" s="1"/>
  <c r="F214" i="17"/>
  <c r="G214" i="17" s="1"/>
  <c r="H214" i="17" s="1"/>
  <c r="F212" i="17"/>
  <c r="G212" i="17" s="1"/>
  <c r="H212" i="17" s="1"/>
  <c r="I211" i="17"/>
  <c r="J211" i="17" s="1"/>
  <c r="K211" i="17" s="1"/>
  <c r="C211" i="17"/>
  <c r="D211" i="17" s="1"/>
  <c r="E211" i="17" s="1"/>
  <c r="C210" i="17"/>
  <c r="D210" i="17" s="1"/>
  <c r="E210" i="17" s="1"/>
  <c r="L208" i="17"/>
  <c r="M208" i="17" s="1"/>
  <c r="N208" i="17" s="1"/>
  <c r="F208" i="17"/>
  <c r="G208" i="17" s="1"/>
  <c r="H208" i="17" s="1"/>
  <c r="F207" i="17"/>
  <c r="G207" i="17" s="1"/>
  <c r="H207" i="17" s="1"/>
  <c r="F206" i="17"/>
  <c r="G206" i="17" s="1"/>
  <c r="I205" i="17"/>
  <c r="J205" i="17" s="1"/>
  <c r="K205" i="17" s="1"/>
  <c r="C205" i="17"/>
  <c r="D205" i="17" s="1"/>
  <c r="E205" i="17" s="1"/>
  <c r="L204" i="17"/>
  <c r="M204" i="17" s="1"/>
  <c r="N204" i="17" s="1"/>
  <c r="F204" i="17"/>
  <c r="G204" i="17" s="1"/>
  <c r="H204" i="17" s="1"/>
  <c r="F202" i="17"/>
  <c r="G202" i="17" s="1"/>
  <c r="H202" i="17" s="1"/>
  <c r="I201" i="17"/>
  <c r="J201" i="17" s="1"/>
  <c r="K201" i="17" s="1"/>
  <c r="C201" i="17"/>
  <c r="D201" i="17" s="1"/>
  <c r="E201" i="17" s="1"/>
  <c r="L200" i="17"/>
  <c r="M200" i="17" s="1"/>
  <c r="N200" i="17" s="1"/>
  <c r="F200" i="17"/>
  <c r="G200" i="17" s="1"/>
  <c r="H200" i="17" s="1"/>
  <c r="F198" i="17"/>
  <c r="G198" i="17" s="1"/>
  <c r="H198" i="17" s="1"/>
  <c r="I197" i="17"/>
  <c r="J197" i="17" s="1"/>
  <c r="K197" i="17" s="1"/>
  <c r="C197" i="17"/>
  <c r="D197" i="17" s="1"/>
  <c r="E197" i="17" s="1"/>
  <c r="L196" i="17"/>
  <c r="M196" i="17" s="1"/>
  <c r="N196" i="17" s="1"/>
  <c r="F196" i="17"/>
  <c r="G196" i="17" s="1"/>
  <c r="H196" i="17" s="1"/>
  <c r="F195" i="17"/>
  <c r="G195" i="17" s="1"/>
  <c r="H195" i="17" s="1"/>
  <c r="AI194" i="17"/>
  <c r="F194" i="17"/>
  <c r="G194" i="17" s="1"/>
  <c r="H194" i="17" s="1"/>
  <c r="I191" i="17"/>
  <c r="J191" i="17" s="1"/>
  <c r="C191" i="17"/>
  <c r="D191" i="17" s="1"/>
  <c r="L190" i="17"/>
  <c r="M190" i="17" s="1"/>
  <c r="N190" i="17" s="1"/>
  <c r="F190" i="17"/>
  <c r="G190" i="17" s="1"/>
  <c r="H190" i="17" s="1"/>
  <c r="F188" i="17"/>
  <c r="G188" i="17" s="1"/>
  <c r="H188" i="17" s="1"/>
  <c r="I187" i="17"/>
  <c r="J187" i="17" s="1"/>
  <c r="K187" i="17" s="1"/>
  <c r="C187" i="17"/>
  <c r="D187" i="17" s="1"/>
  <c r="E187" i="17" s="1"/>
  <c r="L186" i="17"/>
  <c r="M186" i="17" s="1"/>
  <c r="N186" i="17" s="1"/>
  <c r="F186" i="17"/>
  <c r="G186" i="17" s="1"/>
  <c r="H186" i="17" s="1"/>
  <c r="AH177" i="17"/>
  <c r="H176" i="17"/>
  <c r="V177" i="17" s="1"/>
  <c r="L159" i="17"/>
  <c r="M159" i="17" s="1"/>
  <c r="N159" i="17" s="1"/>
  <c r="F159" i="17"/>
  <c r="G159" i="17" s="1"/>
  <c r="H159" i="17" s="1"/>
  <c r="C159" i="17"/>
  <c r="D159" i="17" s="1"/>
  <c r="E159" i="17" s="1"/>
  <c r="I159" i="17"/>
  <c r="J159" i="17" s="1"/>
  <c r="K159" i="17" s="1"/>
  <c r="C154" i="17"/>
  <c r="D154" i="17" s="1"/>
  <c r="E154" i="17" s="1"/>
  <c r="O154" i="17"/>
  <c r="P154" i="17" s="1"/>
  <c r="Q154" i="17" s="1"/>
  <c r="I154" i="17"/>
  <c r="J154" i="17" s="1"/>
  <c r="K154" i="17" s="1"/>
  <c r="F154" i="17"/>
  <c r="G154" i="17" s="1"/>
  <c r="H154" i="17" s="1"/>
  <c r="L154" i="17"/>
  <c r="M154" i="17" s="1"/>
  <c r="N154" i="17" s="1"/>
  <c r="C148" i="17"/>
  <c r="D148" i="17" s="1"/>
  <c r="E148" i="17" s="1"/>
  <c r="O148" i="17"/>
  <c r="P148" i="17" s="1"/>
  <c r="Q148" i="17" s="1"/>
  <c r="I148" i="17"/>
  <c r="J148" i="17" s="1"/>
  <c r="K148" i="17" s="1"/>
  <c r="F148" i="17"/>
  <c r="G148" i="17" s="1"/>
  <c r="H148" i="17" s="1"/>
  <c r="L148" i="17"/>
  <c r="M148" i="17" s="1"/>
  <c r="N148" i="17" s="1"/>
  <c r="C137" i="17"/>
  <c r="D137" i="17" s="1"/>
  <c r="E137" i="17" s="1"/>
  <c r="O137" i="17"/>
  <c r="P137" i="17" s="1"/>
  <c r="Q137" i="17" s="1"/>
  <c r="F137" i="17"/>
  <c r="G137" i="17" s="1"/>
  <c r="H137" i="17" s="1"/>
  <c r="L137" i="17"/>
  <c r="M137" i="17" s="1"/>
  <c r="N137" i="17" s="1"/>
  <c r="R137" i="17"/>
  <c r="S137" i="17" s="1"/>
  <c r="T137" i="17" s="1"/>
  <c r="N115" i="17"/>
  <c r="V118" i="17" s="1"/>
  <c r="AD118" i="17"/>
  <c r="O220" i="17"/>
  <c r="P220" i="17" s="1"/>
  <c r="Q220" i="17" s="1"/>
  <c r="O216" i="17"/>
  <c r="P216" i="17" s="1"/>
  <c r="Q216" i="17" s="1"/>
  <c r="O212" i="17"/>
  <c r="P212" i="17" s="1"/>
  <c r="Q212" i="17" s="1"/>
  <c r="O207" i="17"/>
  <c r="P207" i="17" s="1"/>
  <c r="Q207" i="17" s="1"/>
  <c r="O206" i="17"/>
  <c r="P206" i="17" s="1"/>
  <c r="O202" i="17"/>
  <c r="P202" i="17" s="1"/>
  <c r="Q202" i="17" s="1"/>
  <c r="O198" i="17"/>
  <c r="P198" i="17" s="1"/>
  <c r="Q198" i="17" s="1"/>
  <c r="O195" i="17"/>
  <c r="P195" i="17" s="1"/>
  <c r="Q195" i="17" s="1"/>
  <c r="O194" i="17"/>
  <c r="P194" i="17" s="1"/>
  <c r="Q194" i="17" s="1"/>
  <c r="C192" i="17"/>
  <c r="D192" i="17" s="1"/>
  <c r="E192" i="17" s="1"/>
  <c r="O192" i="17"/>
  <c r="P192" i="17" s="1"/>
  <c r="Q192" i="17" s="1"/>
  <c r="O188" i="17"/>
  <c r="P188" i="17" s="1"/>
  <c r="Q188" i="17" s="1"/>
  <c r="C182" i="17"/>
  <c r="D182" i="17" s="1"/>
  <c r="E182" i="17" s="1"/>
  <c r="O182" i="17"/>
  <c r="P182" i="17" s="1"/>
  <c r="Q182" i="17" s="1"/>
  <c r="F182" i="17"/>
  <c r="G182" i="17" s="1"/>
  <c r="H182" i="17" s="1"/>
  <c r="L182" i="17"/>
  <c r="M182" i="17" s="1"/>
  <c r="N182" i="17" s="1"/>
  <c r="I182" i="17"/>
  <c r="J182" i="17" s="1"/>
  <c r="K182" i="17" s="1"/>
  <c r="I160" i="17"/>
  <c r="J160" i="17" s="1"/>
  <c r="K160" i="17" s="1"/>
  <c r="C160" i="17"/>
  <c r="D160" i="17" s="1"/>
  <c r="E160" i="17" s="1"/>
  <c r="F160" i="17"/>
  <c r="G160" i="17" s="1"/>
  <c r="H160" i="17" s="1"/>
  <c r="R158" i="17"/>
  <c r="S158" i="17" s="1"/>
  <c r="T158" i="17" s="1"/>
  <c r="L155" i="17"/>
  <c r="M155" i="17" s="1"/>
  <c r="N155" i="17" s="1"/>
  <c r="F155" i="17"/>
  <c r="G155" i="17" s="1"/>
  <c r="H155" i="17" s="1"/>
  <c r="C155" i="17"/>
  <c r="D155" i="17" s="1"/>
  <c r="E155" i="17" s="1"/>
  <c r="I155" i="17"/>
  <c r="J155" i="17" s="1"/>
  <c r="K155" i="17" s="1"/>
  <c r="R152" i="17"/>
  <c r="S152" i="17" s="1"/>
  <c r="T152" i="17" s="1"/>
  <c r="O143" i="17"/>
  <c r="P143" i="17" s="1"/>
  <c r="Q143" i="17" s="1"/>
  <c r="I127" i="17"/>
  <c r="J127" i="17" s="1"/>
  <c r="K127" i="17" s="1"/>
  <c r="C127" i="17"/>
  <c r="D127" i="17" s="1"/>
  <c r="E127" i="17" s="1"/>
  <c r="R127" i="17"/>
  <c r="S127" i="17" s="1"/>
  <c r="T127" i="17" s="1"/>
  <c r="F127" i="17"/>
  <c r="G127" i="17" s="1"/>
  <c r="H127" i="17" s="1"/>
  <c r="L127" i="17"/>
  <c r="M127" i="17" s="1"/>
  <c r="N127" i="17" s="1"/>
  <c r="O127" i="17"/>
  <c r="P127" i="17" s="1"/>
  <c r="Q127" i="17" s="1"/>
  <c r="L122" i="17"/>
  <c r="M122" i="17" s="1"/>
  <c r="N122" i="17" s="1"/>
  <c r="C122" i="17"/>
  <c r="D122" i="17" s="1"/>
  <c r="E122" i="17" s="1"/>
  <c r="F122" i="17"/>
  <c r="G122" i="17" s="1"/>
  <c r="H122" i="17" s="1"/>
  <c r="I122" i="17"/>
  <c r="J122" i="17" s="1"/>
  <c r="K122" i="17" s="1"/>
  <c r="O122" i="17"/>
  <c r="P122" i="17" s="1"/>
  <c r="Q122" i="17" s="1"/>
  <c r="O179" i="17"/>
  <c r="P179" i="17" s="1"/>
  <c r="Q179" i="17" s="1"/>
  <c r="O178" i="17"/>
  <c r="P178" i="17" s="1"/>
  <c r="Q178" i="17" s="1"/>
  <c r="C176" i="17"/>
  <c r="D176" i="17" s="1"/>
  <c r="O176" i="17"/>
  <c r="P176" i="17" s="1"/>
  <c r="O173" i="17"/>
  <c r="P173" i="17" s="1"/>
  <c r="Q173" i="17" s="1"/>
  <c r="C172" i="17"/>
  <c r="D172" i="17" s="1"/>
  <c r="E172" i="17" s="1"/>
  <c r="O172" i="17"/>
  <c r="P172" i="17" s="1"/>
  <c r="Q172" i="17" s="1"/>
  <c r="O169" i="17"/>
  <c r="P169" i="17" s="1"/>
  <c r="Q169" i="17" s="1"/>
  <c r="C168" i="17"/>
  <c r="D168" i="17" s="1"/>
  <c r="E168" i="17" s="1"/>
  <c r="O168" i="17"/>
  <c r="P168" i="17" s="1"/>
  <c r="Q168" i="17" s="1"/>
  <c r="O163" i="17"/>
  <c r="P163" i="17" s="1"/>
  <c r="Q163" i="17" s="1"/>
  <c r="O162" i="17"/>
  <c r="P162" i="17" s="1"/>
  <c r="Q162" i="17" s="1"/>
  <c r="C150" i="17"/>
  <c r="D150" i="17" s="1"/>
  <c r="E150" i="17" s="1"/>
  <c r="C141" i="17"/>
  <c r="D141" i="17" s="1"/>
  <c r="E141" i="17" s="1"/>
  <c r="O141" i="17"/>
  <c r="P141" i="17" s="1"/>
  <c r="Q141" i="17" s="1"/>
  <c r="F141" i="17"/>
  <c r="G141" i="17" s="1"/>
  <c r="H141" i="17" s="1"/>
  <c r="L141" i="17"/>
  <c r="M141" i="17" s="1"/>
  <c r="N141" i="17" s="1"/>
  <c r="L138" i="17"/>
  <c r="M138" i="17" s="1"/>
  <c r="N138" i="17" s="1"/>
  <c r="C138" i="17"/>
  <c r="D138" i="17" s="1"/>
  <c r="E138" i="17" s="1"/>
  <c r="I138" i="17"/>
  <c r="J138" i="17" s="1"/>
  <c r="K138" i="17" s="1"/>
  <c r="C131" i="17"/>
  <c r="D131" i="17" s="1"/>
  <c r="O131" i="17"/>
  <c r="P131" i="17" s="1"/>
  <c r="F131" i="17"/>
  <c r="G131" i="17" s="1"/>
  <c r="L131" i="17"/>
  <c r="M131" i="17" s="1"/>
  <c r="L130" i="17"/>
  <c r="M130" i="17" s="1"/>
  <c r="N130" i="17" s="1"/>
  <c r="F130" i="17"/>
  <c r="G130" i="17" s="1"/>
  <c r="H130" i="17" s="1"/>
  <c r="C125" i="17"/>
  <c r="D125" i="17" s="1"/>
  <c r="E125" i="17" s="1"/>
  <c r="O125" i="17"/>
  <c r="P125" i="17" s="1"/>
  <c r="Q125" i="17" s="1"/>
  <c r="I125" i="17"/>
  <c r="J125" i="17" s="1"/>
  <c r="K125" i="17" s="1"/>
  <c r="AC101" i="17"/>
  <c r="I99" i="17"/>
  <c r="J99" i="17" s="1"/>
  <c r="K99" i="17" s="1"/>
  <c r="C99" i="17"/>
  <c r="D99" i="17" s="1"/>
  <c r="E99" i="17" s="1"/>
  <c r="O99" i="17"/>
  <c r="P99" i="17" s="1"/>
  <c r="Q99" i="17" s="1"/>
  <c r="F99" i="17"/>
  <c r="G99" i="17" s="1"/>
  <c r="H99" i="17" s="1"/>
  <c r="I95" i="17"/>
  <c r="J95" i="17" s="1"/>
  <c r="K95" i="17" s="1"/>
  <c r="C95" i="17"/>
  <c r="D95" i="17" s="1"/>
  <c r="E95" i="17" s="1"/>
  <c r="O95" i="17"/>
  <c r="P95" i="17" s="1"/>
  <c r="Q95" i="17" s="1"/>
  <c r="F95" i="17"/>
  <c r="G95" i="17" s="1"/>
  <c r="H95" i="17" s="1"/>
  <c r="C89" i="17"/>
  <c r="D89" i="17" s="1"/>
  <c r="E89" i="17" s="1"/>
  <c r="O89" i="17"/>
  <c r="P89" i="17" s="1"/>
  <c r="Q89" i="17" s="1"/>
  <c r="I89" i="17"/>
  <c r="J89" i="17" s="1"/>
  <c r="K89" i="17" s="1"/>
  <c r="L89" i="17"/>
  <c r="M89" i="17" s="1"/>
  <c r="N89" i="17" s="1"/>
  <c r="F89" i="17"/>
  <c r="G89" i="17" s="1"/>
  <c r="H89" i="17" s="1"/>
  <c r="C145" i="17"/>
  <c r="D145" i="17" s="1"/>
  <c r="E145" i="17" s="1"/>
  <c r="O145" i="17"/>
  <c r="P145" i="17" s="1"/>
  <c r="Q145" i="17" s="1"/>
  <c r="F145" i="17"/>
  <c r="G145" i="17" s="1"/>
  <c r="H145" i="17" s="1"/>
  <c r="L145" i="17"/>
  <c r="M145" i="17" s="1"/>
  <c r="N145" i="17" s="1"/>
  <c r="L142" i="17"/>
  <c r="M142" i="17" s="1"/>
  <c r="N142" i="17" s="1"/>
  <c r="C142" i="17"/>
  <c r="D142" i="17" s="1"/>
  <c r="E142" i="17" s="1"/>
  <c r="I142" i="17"/>
  <c r="J142" i="17" s="1"/>
  <c r="K142" i="17" s="1"/>
  <c r="I123" i="17"/>
  <c r="J123" i="17" s="1"/>
  <c r="K123" i="17" s="1"/>
  <c r="C123" i="17"/>
  <c r="D123" i="17" s="1"/>
  <c r="E123" i="17" s="1"/>
  <c r="H115" i="17"/>
  <c r="V116" i="17" s="1"/>
  <c r="Q100" i="17"/>
  <c r="V104" i="17" s="1"/>
  <c r="C180" i="17"/>
  <c r="D180" i="17" s="1"/>
  <c r="E180" i="17" s="1"/>
  <c r="O180" i="17"/>
  <c r="P180" i="17" s="1"/>
  <c r="Q180" i="17" s="1"/>
  <c r="C164" i="17"/>
  <c r="D164" i="17" s="1"/>
  <c r="E164" i="17" s="1"/>
  <c r="O164" i="17"/>
  <c r="P164" i="17" s="1"/>
  <c r="Q164" i="17" s="1"/>
  <c r="F150" i="17"/>
  <c r="G150" i="17" s="1"/>
  <c r="H150" i="17" s="1"/>
  <c r="C147" i="17"/>
  <c r="D147" i="17" s="1"/>
  <c r="E147" i="17" s="1"/>
  <c r="L147" i="17"/>
  <c r="M147" i="17" s="1"/>
  <c r="N147" i="17" s="1"/>
  <c r="L146" i="17"/>
  <c r="M146" i="17" s="1"/>
  <c r="C146" i="17"/>
  <c r="D146" i="17" s="1"/>
  <c r="I146" i="17"/>
  <c r="J146" i="17" s="1"/>
  <c r="O142" i="17"/>
  <c r="P142" i="17" s="1"/>
  <c r="Q142" i="17" s="1"/>
  <c r="I139" i="17"/>
  <c r="J139" i="17" s="1"/>
  <c r="K139" i="17" s="1"/>
  <c r="F139" i="17"/>
  <c r="G139" i="17" s="1"/>
  <c r="H139" i="17" s="1"/>
  <c r="C129" i="17"/>
  <c r="D129" i="17" s="1"/>
  <c r="E129" i="17" s="1"/>
  <c r="O129" i="17"/>
  <c r="P129" i="17" s="1"/>
  <c r="Q129" i="17" s="1"/>
  <c r="I129" i="17"/>
  <c r="J129" i="17" s="1"/>
  <c r="K129" i="17" s="1"/>
  <c r="L126" i="17"/>
  <c r="M126" i="17" s="1"/>
  <c r="N126" i="17" s="1"/>
  <c r="F126" i="17"/>
  <c r="G126" i="17" s="1"/>
  <c r="H126" i="17" s="1"/>
  <c r="O123" i="17"/>
  <c r="P123" i="17" s="1"/>
  <c r="Q123" i="17" s="1"/>
  <c r="C121" i="17"/>
  <c r="D121" i="17" s="1"/>
  <c r="E121" i="17" s="1"/>
  <c r="O121" i="17"/>
  <c r="P121" i="17" s="1"/>
  <c r="Q121" i="17" s="1"/>
  <c r="F121" i="17"/>
  <c r="G121" i="17" s="1"/>
  <c r="H121" i="17" s="1"/>
  <c r="L121" i="17"/>
  <c r="M121" i="17" s="1"/>
  <c r="N121" i="17" s="1"/>
  <c r="I121" i="17"/>
  <c r="J121" i="17" s="1"/>
  <c r="K121" i="17" s="1"/>
  <c r="C97" i="17"/>
  <c r="D97" i="17" s="1"/>
  <c r="E97" i="17" s="1"/>
  <c r="O97" i="17"/>
  <c r="P97" i="17" s="1"/>
  <c r="Q97" i="17" s="1"/>
  <c r="I97" i="17"/>
  <c r="J97" i="17" s="1"/>
  <c r="K97" i="17" s="1"/>
  <c r="F97" i="17"/>
  <c r="G97" i="17" s="1"/>
  <c r="H97" i="17" s="1"/>
  <c r="L97" i="17"/>
  <c r="M97" i="17" s="1"/>
  <c r="N97" i="17" s="1"/>
  <c r="C93" i="17"/>
  <c r="D93" i="17" s="1"/>
  <c r="E93" i="17" s="1"/>
  <c r="O93" i="17"/>
  <c r="P93" i="17" s="1"/>
  <c r="Q93" i="17" s="1"/>
  <c r="I93" i="17"/>
  <c r="J93" i="17" s="1"/>
  <c r="K93" i="17" s="1"/>
  <c r="F93" i="17"/>
  <c r="G93" i="17" s="1"/>
  <c r="H93" i="17" s="1"/>
  <c r="L93" i="17"/>
  <c r="M93" i="17" s="1"/>
  <c r="N93" i="17" s="1"/>
  <c r="AB88" i="17"/>
  <c r="N85" i="17"/>
  <c r="V88" i="17" s="1"/>
  <c r="C135" i="17"/>
  <c r="D135" i="17" s="1"/>
  <c r="E135" i="17" s="1"/>
  <c r="O135" i="17"/>
  <c r="P135" i="17" s="1"/>
  <c r="Q135" i="17" s="1"/>
  <c r="O118" i="17"/>
  <c r="P118" i="17" s="1"/>
  <c r="Q118" i="17" s="1"/>
  <c r="O117" i="17"/>
  <c r="P117" i="17" s="1"/>
  <c r="Q117" i="17" s="1"/>
  <c r="C115" i="17"/>
  <c r="D115" i="17" s="1"/>
  <c r="O115" i="17"/>
  <c r="P115" i="17" s="1"/>
  <c r="O112" i="17"/>
  <c r="P112" i="17" s="1"/>
  <c r="Q112" i="17" s="1"/>
  <c r="C111" i="17"/>
  <c r="D111" i="17" s="1"/>
  <c r="E111" i="17" s="1"/>
  <c r="O111" i="17"/>
  <c r="P111" i="17" s="1"/>
  <c r="Q111" i="17" s="1"/>
  <c r="O108" i="17"/>
  <c r="P108" i="17" s="1"/>
  <c r="Q108" i="17" s="1"/>
  <c r="C107" i="17"/>
  <c r="D107" i="17" s="1"/>
  <c r="E107" i="17" s="1"/>
  <c r="O107" i="17"/>
  <c r="P107" i="17" s="1"/>
  <c r="Q107" i="17" s="1"/>
  <c r="O102" i="17"/>
  <c r="P102" i="17" s="1"/>
  <c r="Q102" i="17" s="1"/>
  <c r="O101" i="17"/>
  <c r="P101" i="17" s="1"/>
  <c r="Q101" i="17" s="1"/>
  <c r="I98" i="17"/>
  <c r="J98" i="17" s="1"/>
  <c r="K98" i="17" s="1"/>
  <c r="C98" i="17"/>
  <c r="D98" i="17" s="1"/>
  <c r="E98" i="17" s="1"/>
  <c r="I94" i="17"/>
  <c r="J94" i="17" s="1"/>
  <c r="K94" i="17" s="1"/>
  <c r="C94" i="17"/>
  <c r="D94" i="17" s="1"/>
  <c r="E94" i="17" s="1"/>
  <c r="C91" i="17"/>
  <c r="D91" i="17" s="1"/>
  <c r="E91" i="17" s="1"/>
  <c r="I91" i="17"/>
  <c r="J91" i="17" s="1"/>
  <c r="K91" i="17" s="1"/>
  <c r="I87" i="17"/>
  <c r="J87" i="17" s="1"/>
  <c r="K87" i="17" s="1"/>
  <c r="C87" i="17"/>
  <c r="D87" i="17" s="1"/>
  <c r="E87" i="17" s="1"/>
  <c r="O87" i="17"/>
  <c r="P87" i="17" s="1"/>
  <c r="Q87" i="17" s="1"/>
  <c r="C85" i="17"/>
  <c r="D85" i="17" s="1"/>
  <c r="O85" i="17"/>
  <c r="P85" i="17" s="1"/>
  <c r="I85" i="17"/>
  <c r="J85" i="17" s="1"/>
  <c r="C73" i="17"/>
  <c r="D73" i="17" s="1"/>
  <c r="E73" i="17" s="1"/>
  <c r="O73" i="17"/>
  <c r="P73" i="17" s="1"/>
  <c r="Q73" i="17" s="1"/>
  <c r="I73" i="17"/>
  <c r="J73" i="17" s="1"/>
  <c r="K73" i="17" s="1"/>
  <c r="F73" i="17"/>
  <c r="G73" i="17" s="1"/>
  <c r="H73" i="17" s="1"/>
  <c r="L73" i="17"/>
  <c r="M73" i="17" s="1"/>
  <c r="N73" i="17" s="1"/>
  <c r="C81" i="17"/>
  <c r="D81" i="17" s="1"/>
  <c r="E81" i="17" s="1"/>
  <c r="O81" i="17"/>
  <c r="P81" i="17" s="1"/>
  <c r="Q81" i="17" s="1"/>
  <c r="I81" i="17"/>
  <c r="J81" i="17" s="1"/>
  <c r="K81" i="17" s="1"/>
  <c r="C119" i="17"/>
  <c r="D119" i="17" s="1"/>
  <c r="E119" i="17" s="1"/>
  <c r="O119" i="17"/>
  <c r="P119" i="17" s="1"/>
  <c r="Q119" i="17" s="1"/>
  <c r="C103" i="17"/>
  <c r="D103" i="17" s="1"/>
  <c r="E103" i="17" s="1"/>
  <c r="O103" i="17"/>
  <c r="P103" i="17" s="1"/>
  <c r="Q103" i="17" s="1"/>
  <c r="F98" i="17"/>
  <c r="G98" i="17" s="1"/>
  <c r="H98" i="17" s="1"/>
  <c r="F94" i="17"/>
  <c r="G94" i="17" s="1"/>
  <c r="H94" i="17" s="1"/>
  <c r="I83" i="17"/>
  <c r="J83" i="17" s="1"/>
  <c r="K83" i="17" s="1"/>
  <c r="C83" i="17"/>
  <c r="D83" i="17" s="1"/>
  <c r="E83" i="17" s="1"/>
  <c r="O83" i="17"/>
  <c r="P83" i="17" s="1"/>
  <c r="Q83" i="17" s="1"/>
  <c r="O79" i="17"/>
  <c r="P79" i="17" s="1"/>
  <c r="Q79" i="17" s="1"/>
  <c r="C79" i="17"/>
  <c r="D79" i="17" s="1"/>
  <c r="E79" i="17" s="1"/>
  <c r="I77" i="17"/>
  <c r="J77" i="17" s="1"/>
  <c r="K77" i="17" s="1"/>
  <c r="C75" i="17"/>
  <c r="D75" i="17" s="1"/>
  <c r="E75" i="17" s="1"/>
  <c r="L71" i="17"/>
  <c r="M71" i="17" s="1"/>
  <c r="N71" i="17" s="1"/>
  <c r="L69" i="17"/>
  <c r="M69" i="17" s="1"/>
  <c r="N69" i="17" s="1"/>
  <c r="C44" i="17"/>
  <c r="D44" i="17" s="1"/>
  <c r="E44" i="17" s="1"/>
  <c r="O44" i="17"/>
  <c r="P44" i="17" s="1"/>
  <c r="Q44" i="17" s="1"/>
  <c r="L44" i="17"/>
  <c r="M44" i="17" s="1"/>
  <c r="N44" i="17" s="1"/>
  <c r="I44" i="17"/>
  <c r="J44" i="17" s="1"/>
  <c r="K44" i="17" s="1"/>
  <c r="F44" i="17"/>
  <c r="G44" i="17" s="1"/>
  <c r="H44" i="17" s="1"/>
  <c r="O77" i="17"/>
  <c r="P77" i="17" s="1"/>
  <c r="Q77" i="17" s="1"/>
  <c r="F77" i="17"/>
  <c r="G77" i="17" s="1"/>
  <c r="H77" i="17" s="1"/>
  <c r="F75" i="17"/>
  <c r="G75" i="17" s="1"/>
  <c r="H75" i="17" s="1"/>
  <c r="C72" i="17"/>
  <c r="D72" i="17" s="1"/>
  <c r="E72" i="17" s="1"/>
  <c r="L72" i="17"/>
  <c r="M72" i="17" s="1"/>
  <c r="N72" i="17" s="1"/>
  <c r="I71" i="17"/>
  <c r="J71" i="17" s="1"/>
  <c r="K71" i="17" s="1"/>
  <c r="C71" i="17"/>
  <c r="D71" i="17" s="1"/>
  <c r="E71" i="17" s="1"/>
  <c r="I69" i="17"/>
  <c r="J69" i="17" s="1"/>
  <c r="K69" i="17" s="1"/>
  <c r="O69" i="17"/>
  <c r="P69" i="17" s="1"/>
  <c r="Q69" i="17" s="1"/>
  <c r="O65" i="17"/>
  <c r="P65" i="17" s="1"/>
  <c r="Q65" i="17" s="1"/>
  <c r="O61" i="17"/>
  <c r="P61" i="17" s="1"/>
  <c r="Q61" i="17" s="1"/>
  <c r="L55" i="17"/>
  <c r="M55" i="17" s="1"/>
  <c r="I55" i="17"/>
  <c r="J55" i="17" s="1"/>
  <c r="L34" i="17"/>
  <c r="M34" i="17" s="1"/>
  <c r="N34" i="17" s="1"/>
  <c r="C34" i="17"/>
  <c r="D34" i="17" s="1"/>
  <c r="E34" i="17" s="1"/>
  <c r="I34" i="17"/>
  <c r="J34" i="17" s="1"/>
  <c r="K34" i="17" s="1"/>
  <c r="O34" i="17"/>
  <c r="P34" i="17" s="1"/>
  <c r="Q34" i="17" s="1"/>
  <c r="F34" i="17"/>
  <c r="G34" i="17" s="1"/>
  <c r="H34" i="17" s="1"/>
  <c r="C56" i="17"/>
  <c r="D56" i="17" s="1"/>
  <c r="E56" i="17" s="1"/>
  <c r="O56" i="17"/>
  <c r="P56" i="17" s="1"/>
  <c r="Q56" i="17" s="1"/>
  <c r="L56" i="17"/>
  <c r="M56" i="17" s="1"/>
  <c r="N56" i="17" s="1"/>
  <c r="C54" i="17"/>
  <c r="D54" i="17" s="1"/>
  <c r="E54" i="17" s="1"/>
  <c r="O54" i="17"/>
  <c r="P54" i="17" s="1"/>
  <c r="Q54" i="17" s="1"/>
  <c r="L54" i="17"/>
  <c r="M54" i="17" s="1"/>
  <c r="N54" i="17" s="1"/>
  <c r="L51" i="17"/>
  <c r="M51" i="17" s="1"/>
  <c r="N51" i="17" s="1"/>
  <c r="I51" i="17"/>
  <c r="J51" i="17" s="1"/>
  <c r="K51" i="17" s="1"/>
  <c r="C46" i="17"/>
  <c r="D46" i="17" s="1"/>
  <c r="E46" i="17" s="1"/>
  <c r="O46" i="17"/>
  <c r="P46" i="17" s="1"/>
  <c r="Q46" i="17" s="1"/>
  <c r="L46" i="17"/>
  <c r="M46" i="17" s="1"/>
  <c r="N46" i="17" s="1"/>
  <c r="I46" i="17"/>
  <c r="J46" i="17" s="1"/>
  <c r="K46" i="17" s="1"/>
  <c r="C67" i="17"/>
  <c r="D67" i="17" s="1"/>
  <c r="E67" i="17" s="1"/>
  <c r="O67" i="17"/>
  <c r="P67" i="17" s="1"/>
  <c r="Q67" i="17" s="1"/>
  <c r="C63" i="17"/>
  <c r="D63" i="17" s="1"/>
  <c r="E63" i="17" s="1"/>
  <c r="O63" i="17"/>
  <c r="P63" i="17" s="1"/>
  <c r="Q63" i="17" s="1"/>
  <c r="I56" i="17"/>
  <c r="J56" i="17" s="1"/>
  <c r="K56" i="17" s="1"/>
  <c r="I54" i="17"/>
  <c r="J54" i="17" s="1"/>
  <c r="K54" i="17" s="1"/>
  <c r="O51" i="17"/>
  <c r="P51" i="17" s="1"/>
  <c r="Q51" i="17" s="1"/>
  <c r="C50" i="17"/>
  <c r="D50" i="17" s="1"/>
  <c r="E50" i="17" s="1"/>
  <c r="O50" i="17"/>
  <c r="P50" i="17" s="1"/>
  <c r="Q50" i="17" s="1"/>
  <c r="L50" i="17"/>
  <c r="M50" i="17" s="1"/>
  <c r="N50" i="17" s="1"/>
  <c r="O57" i="17"/>
  <c r="P57" i="17" s="1"/>
  <c r="Q57" i="17" s="1"/>
  <c r="O53" i="17"/>
  <c r="P53" i="17" s="1"/>
  <c r="Q53" i="17" s="1"/>
  <c r="O49" i="17"/>
  <c r="P49" i="17" s="1"/>
  <c r="Q49" i="17" s="1"/>
  <c r="I47" i="17"/>
  <c r="J47" i="17" s="1"/>
  <c r="K47" i="17" s="1"/>
  <c r="O45" i="17"/>
  <c r="P45" i="17" s="1"/>
  <c r="Q45" i="17" s="1"/>
  <c r="I43" i="17"/>
  <c r="J43" i="17" s="1"/>
  <c r="K43" i="17" s="1"/>
  <c r="O41" i="17"/>
  <c r="P41" i="17" s="1"/>
  <c r="Q41" i="17" s="1"/>
  <c r="O39" i="17"/>
  <c r="P39" i="17" s="1"/>
  <c r="Q39" i="17" s="1"/>
  <c r="I37" i="17"/>
  <c r="J37" i="17" s="1"/>
  <c r="K37" i="17" s="1"/>
  <c r="C33" i="17"/>
  <c r="D33" i="17" s="1"/>
  <c r="E33" i="17" s="1"/>
  <c r="O33" i="17"/>
  <c r="P33" i="17" s="1"/>
  <c r="Q33" i="17" s="1"/>
  <c r="I29" i="17"/>
  <c r="J29" i="17" s="1"/>
  <c r="K29" i="17" s="1"/>
  <c r="C29" i="17"/>
  <c r="D29" i="17" s="1"/>
  <c r="E29" i="17" s="1"/>
  <c r="O29" i="17"/>
  <c r="P29" i="17" s="1"/>
  <c r="Q29" i="17" s="1"/>
  <c r="I31" i="17"/>
  <c r="J31" i="17" s="1"/>
  <c r="K31" i="17" s="1"/>
  <c r="C31" i="17"/>
  <c r="D31" i="17" s="1"/>
  <c r="E31" i="17" s="1"/>
  <c r="O31" i="17"/>
  <c r="P31" i="17" s="1"/>
  <c r="Q31" i="17" s="1"/>
  <c r="R15" i="17"/>
  <c r="S15" i="17" s="1"/>
  <c r="T15" i="17" s="1"/>
  <c r="R14" i="17"/>
  <c r="S14" i="17" s="1"/>
  <c r="T14" i="17" s="1"/>
  <c r="L10" i="17"/>
  <c r="M10" i="17" s="1"/>
  <c r="L14" i="17"/>
  <c r="M14" i="17" s="1"/>
  <c r="N14" i="17" s="1"/>
  <c r="L16" i="17"/>
  <c r="M16" i="17" s="1"/>
  <c r="N16" i="17" s="1"/>
  <c r="L20" i="17"/>
  <c r="M20" i="17" s="1"/>
  <c r="N20" i="17" s="1"/>
  <c r="L24" i="17"/>
  <c r="M24" i="17" s="1"/>
  <c r="N24" i="17" s="1"/>
  <c r="L26" i="17"/>
  <c r="M26" i="17" s="1"/>
  <c r="N26" i="17" s="1"/>
  <c r="R11" i="17"/>
  <c r="S11" i="17" s="1"/>
  <c r="T11" i="17" s="1"/>
  <c r="R12" i="17"/>
  <c r="S12" i="17" s="1"/>
  <c r="T12" i="17" s="1"/>
  <c r="R18" i="17"/>
  <c r="S18" i="17" s="1"/>
  <c r="T18" i="17" s="1"/>
  <c r="R22" i="17"/>
  <c r="S22" i="17" s="1"/>
  <c r="T22" i="17" s="1"/>
  <c r="I13" i="17"/>
  <c r="J13" i="17" s="1"/>
  <c r="K13" i="17" s="1"/>
  <c r="I17" i="17"/>
  <c r="J17" i="17" s="1"/>
  <c r="K17" i="17" s="1"/>
  <c r="I21" i="17"/>
  <c r="J21" i="17" s="1"/>
  <c r="K21" i="17" s="1"/>
  <c r="I25" i="17"/>
  <c r="J25" i="17" s="1"/>
  <c r="O27" i="17"/>
  <c r="P27" i="17" s="1"/>
  <c r="Q27" i="17" s="1"/>
  <c r="R16" i="17"/>
  <c r="S16" i="17" s="1"/>
  <c r="T16" i="17" s="1"/>
  <c r="I12" i="17"/>
  <c r="J12" i="17" s="1"/>
  <c r="K12" i="17" s="1"/>
  <c r="R10" i="17"/>
  <c r="S10" i="17" s="1"/>
  <c r="T10" i="17" s="1"/>
  <c r="O10" i="17"/>
  <c r="P10" i="17" s="1"/>
  <c r="O11" i="17"/>
  <c r="P11" i="17" s="1"/>
  <c r="Q11" i="17" s="1"/>
  <c r="O15" i="17"/>
  <c r="P15" i="17" s="1"/>
  <c r="Q15" i="17" s="1"/>
  <c r="O19" i="17"/>
  <c r="P19" i="17" s="1"/>
  <c r="Q19" i="17" s="1"/>
  <c r="O23" i="17"/>
  <c r="P23" i="17" s="1"/>
  <c r="Q23" i="17" s="1"/>
  <c r="F11" i="17"/>
  <c r="G11" i="17" s="1"/>
  <c r="F12" i="17"/>
  <c r="G12" i="17" s="1"/>
  <c r="H12" i="17" s="1"/>
  <c r="F18" i="17"/>
  <c r="G18" i="17" s="1"/>
  <c r="H18" i="17" s="1"/>
  <c r="F22" i="17"/>
  <c r="G22" i="17" s="1"/>
  <c r="H22" i="17" s="1"/>
  <c r="C19" i="17"/>
  <c r="D19" i="17" s="1"/>
  <c r="E19" i="17" s="1"/>
  <c r="C15" i="17"/>
  <c r="D15" i="17" s="1"/>
  <c r="E15" i="17" s="1"/>
  <c r="L92" i="19" l="1"/>
  <c r="M92" i="19" s="1"/>
  <c r="N92" i="19" s="1"/>
  <c r="L60" i="19"/>
  <c r="M60" i="19" s="1"/>
  <c r="N60" i="19" s="1"/>
  <c r="L28" i="19"/>
  <c r="M28" i="19" s="1"/>
  <c r="N28" i="19" s="1"/>
  <c r="L37" i="19"/>
  <c r="M37" i="19" s="1"/>
  <c r="N37" i="19" s="1"/>
  <c r="L169" i="19"/>
  <c r="M169" i="19" s="1"/>
  <c r="N169" i="19" s="1"/>
  <c r="L228" i="19"/>
  <c r="M228" i="19" s="1"/>
  <c r="N228" i="19" s="1"/>
  <c r="L181" i="19"/>
  <c r="M181" i="19" s="1"/>
  <c r="N181" i="19" s="1"/>
  <c r="L18" i="19"/>
  <c r="M18" i="19" s="1"/>
  <c r="N18" i="19" s="1"/>
  <c r="L162" i="19"/>
  <c r="M162" i="19" s="1"/>
  <c r="N162" i="19" s="1"/>
  <c r="L218" i="19"/>
  <c r="M218" i="19" s="1"/>
  <c r="N218" i="19" s="1"/>
  <c r="L69" i="19"/>
  <c r="M69" i="19" s="1"/>
  <c r="N69" i="19" s="1"/>
  <c r="L238" i="19"/>
  <c r="M238" i="19" s="1"/>
  <c r="N238" i="19" s="1"/>
  <c r="L215" i="19"/>
  <c r="M215" i="19" s="1"/>
  <c r="N215" i="19" s="1"/>
  <c r="L183" i="19"/>
  <c r="M183" i="19" s="1"/>
  <c r="N183" i="19" s="1"/>
  <c r="L148" i="19"/>
  <c r="M148" i="19" s="1"/>
  <c r="N148" i="19" s="1"/>
  <c r="L78" i="19"/>
  <c r="M78" i="19" s="1"/>
  <c r="N78" i="19" s="1"/>
  <c r="L200" i="19"/>
  <c r="M200" i="19" s="1"/>
  <c r="N200" i="19" s="1"/>
  <c r="L168" i="19"/>
  <c r="M168" i="19" s="1"/>
  <c r="N168" i="19" s="1"/>
  <c r="L123" i="19"/>
  <c r="M123" i="19" s="1"/>
  <c r="N123" i="19" s="1"/>
  <c r="L34" i="19"/>
  <c r="M34" i="19" s="1"/>
  <c r="N34" i="19" s="1"/>
  <c r="L125" i="19"/>
  <c r="M125" i="19" s="1"/>
  <c r="N125" i="19" s="1"/>
  <c r="L83" i="19"/>
  <c r="M83" i="19" s="1"/>
  <c r="N83" i="19" s="1"/>
  <c r="L42" i="19"/>
  <c r="M42" i="19" s="1"/>
  <c r="N42" i="19" s="1"/>
  <c r="L142" i="19"/>
  <c r="M142" i="19" s="1"/>
  <c r="N142" i="19" s="1"/>
  <c r="L102" i="19"/>
  <c r="M102" i="19" s="1"/>
  <c r="N102" i="19" s="1"/>
  <c r="L61" i="19"/>
  <c r="M61" i="19" s="1"/>
  <c r="N61" i="19" s="1"/>
  <c r="L15" i="19"/>
  <c r="M15" i="19" s="1"/>
  <c r="N15" i="19" s="1"/>
  <c r="L107" i="19"/>
  <c r="M107" i="19" s="1"/>
  <c r="N107" i="19" s="1"/>
  <c r="AH179" i="17"/>
  <c r="L116" i="19"/>
  <c r="M116" i="19" s="1"/>
  <c r="N116" i="19" s="1"/>
  <c r="L84" i="19"/>
  <c r="M84" i="19" s="1"/>
  <c r="N84" i="19" s="1"/>
  <c r="L52" i="19"/>
  <c r="M52" i="19" s="1"/>
  <c r="N52" i="19" s="1"/>
  <c r="L20" i="19"/>
  <c r="M20" i="19" s="1"/>
  <c r="N20" i="19" s="1"/>
  <c r="L94" i="19"/>
  <c r="M94" i="19" s="1"/>
  <c r="N94" i="19" s="1"/>
  <c r="L185" i="19"/>
  <c r="M185" i="19" s="1"/>
  <c r="N185" i="19" s="1"/>
  <c r="L237" i="19"/>
  <c r="M237" i="19" s="1"/>
  <c r="N237" i="19" s="1"/>
  <c r="L220" i="19"/>
  <c r="M220" i="19" s="1"/>
  <c r="N220" i="19" s="1"/>
  <c r="L75" i="19"/>
  <c r="M75" i="19" s="1"/>
  <c r="N75" i="19" s="1"/>
  <c r="L178" i="19"/>
  <c r="M178" i="19" s="1"/>
  <c r="N178" i="19" s="1"/>
  <c r="L232" i="19"/>
  <c r="M232" i="19" s="1"/>
  <c r="N232" i="19" s="1"/>
  <c r="L157" i="19"/>
  <c r="M157" i="19" s="1"/>
  <c r="N157" i="19" s="1"/>
  <c r="L239" i="19"/>
  <c r="M239" i="19" s="1"/>
  <c r="N239" i="19" s="1"/>
  <c r="L207" i="19"/>
  <c r="M207" i="19" s="1"/>
  <c r="N207" i="19" s="1"/>
  <c r="L175" i="19"/>
  <c r="M175" i="19" s="1"/>
  <c r="N175" i="19" s="1"/>
  <c r="L132" i="19"/>
  <c r="M132" i="19" s="1"/>
  <c r="N132" i="19" s="1"/>
  <c r="L53" i="19"/>
  <c r="M53" i="19" s="1"/>
  <c r="N53" i="19" s="1"/>
  <c r="L192" i="19"/>
  <c r="M192" i="19" s="1"/>
  <c r="N192" i="19" s="1"/>
  <c r="L160" i="19"/>
  <c r="M160" i="19" s="1"/>
  <c r="N160" i="19" s="1"/>
  <c r="L98" i="19"/>
  <c r="M98" i="19" s="1"/>
  <c r="N98" i="19" s="1"/>
  <c r="L149" i="19"/>
  <c r="M149" i="19" s="1"/>
  <c r="N149" i="19" s="1"/>
  <c r="L115" i="19"/>
  <c r="M115" i="19" s="1"/>
  <c r="N115" i="19" s="1"/>
  <c r="L74" i="19"/>
  <c r="M74" i="19" s="1"/>
  <c r="N74" i="19" s="1"/>
  <c r="L33" i="19"/>
  <c r="M33" i="19" s="1"/>
  <c r="N33" i="19" s="1"/>
  <c r="L134" i="19"/>
  <c r="M134" i="19" s="1"/>
  <c r="N134" i="19" s="1"/>
  <c r="L93" i="19"/>
  <c r="M93" i="19" s="1"/>
  <c r="N93" i="19" s="1"/>
  <c r="L47" i="19"/>
  <c r="M47" i="19" s="1"/>
  <c r="N47" i="19" s="1"/>
  <c r="AF150" i="17"/>
  <c r="L112" i="19"/>
  <c r="M112" i="19" s="1"/>
  <c r="N112" i="19" s="1"/>
  <c r="L80" i="19"/>
  <c r="M80" i="19" s="1"/>
  <c r="N80" i="19" s="1"/>
  <c r="L48" i="19"/>
  <c r="M48" i="19" s="1"/>
  <c r="N48" i="19" s="1"/>
  <c r="L16" i="19"/>
  <c r="M16" i="19" s="1"/>
  <c r="N16" i="19" s="1"/>
  <c r="L101" i="19"/>
  <c r="M101" i="19" s="1"/>
  <c r="N101" i="19" s="1"/>
  <c r="L193" i="19"/>
  <c r="M193" i="19" s="1"/>
  <c r="N193" i="19" s="1"/>
  <c r="L244" i="19"/>
  <c r="M244" i="19" s="1"/>
  <c r="N244" i="19" s="1"/>
  <c r="L229" i="19"/>
  <c r="M229" i="19" s="1"/>
  <c r="N229" i="19" s="1"/>
  <c r="L82" i="19"/>
  <c r="M82" i="19" s="1"/>
  <c r="N82" i="19" s="1"/>
  <c r="L186" i="19"/>
  <c r="M186" i="19" s="1"/>
  <c r="N186" i="19" s="1"/>
  <c r="L234" i="19"/>
  <c r="M234" i="19" s="1"/>
  <c r="N234" i="19" s="1"/>
  <c r="L173" i="19"/>
  <c r="M173" i="19" s="1"/>
  <c r="N173" i="19" s="1"/>
  <c r="L235" i="19"/>
  <c r="M235" i="19" s="1"/>
  <c r="N235" i="19" s="1"/>
  <c r="L203" i="19"/>
  <c r="M203" i="19" s="1"/>
  <c r="N203" i="19" s="1"/>
  <c r="L171" i="19"/>
  <c r="M171" i="19" s="1"/>
  <c r="N171" i="19" s="1"/>
  <c r="L124" i="19"/>
  <c r="M124" i="19" s="1"/>
  <c r="N124" i="19" s="1"/>
  <c r="L46" i="19"/>
  <c r="M46" i="19" s="1"/>
  <c r="N46" i="19" s="1"/>
  <c r="L188" i="19"/>
  <c r="M188" i="19" s="1"/>
  <c r="N188" i="19" s="1"/>
  <c r="L156" i="19"/>
  <c r="M156" i="19" s="1"/>
  <c r="N156" i="19" s="1"/>
  <c r="L91" i="19"/>
  <c r="M91" i="19" s="1"/>
  <c r="N91" i="19" s="1"/>
  <c r="L145" i="19"/>
  <c r="M145" i="19" s="1"/>
  <c r="N145" i="19" s="1"/>
  <c r="L113" i="19"/>
  <c r="M113" i="19" s="1"/>
  <c r="N113" i="19" s="1"/>
  <c r="L67" i="19"/>
  <c r="M67" i="19" s="1"/>
  <c r="N67" i="19" s="1"/>
  <c r="L26" i="19"/>
  <c r="M26" i="19" s="1"/>
  <c r="N26" i="19" s="1"/>
  <c r="L130" i="19"/>
  <c r="M130" i="19" s="1"/>
  <c r="N130" i="19" s="1"/>
  <c r="L86" i="19"/>
  <c r="M86" i="19" s="1"/>
  <c r="N86" i="19" s="1"/>
  <c r="L45" i="19"/>
  <c r="M45" i="19" s="1"/>
  <c r="N45" i="19" s="1"/>
  <c r="L108" i="19"/>
  <c r="M108" i="19" s="1"/>
  <c r="N108" i="19" s="1"/>
  <c r="L76" i="19"/>
  <c r="M76" i="19" s="1"/>
  <c r="N76" i="19" s="1"/>
  <c r="L44" i="19"/>
  <c r="M44" i="19" s="1"/>
  <c r="N44" i="19" s="1"/>
  <c r="L12" i="19"/>
  <c r="M12" i="19" s="1"/>
  <c r="N12" i="19" s="1"/>
  <c r="L128" i="19"/>
  <c r="M128" i="19" s="1"/>
  <c r="N128" i="19" s="1"/>
  <c r="L201" i="19"/>
  <c r="M201" i="19" s="1"/>
  <c r="N201" i="19" s="1"/>
  <c r="L246" i="19"/>
  <c r="M246" i="19" s="1"/>
  <c r="N246" i="19" s="1"/>
  <c r="L236" i="19"/>
  <c r="M236" i="19" s="1"/>
  <c r="N236" i="19" s="1"/>
  <c r="L89" i="19"/>
  <c r="M89" i="19" s="1"/>
  <c r="N89" i="19" s="1"/>
  <c r="L194" i="19"/>
  <c r="M194" i="19" s="1"/>
  <c r="N194" i="19" s="1"/>
  <c r="L241" i="19"/>
  <c r="M241" i="19" s="1"/>
  <c r="N241" i="19" s="1"/>
  <c r="L189" i="19"/>
  <c r="M189" i="19" s="1"/>
  <c r="N189" i="19" s="1"/>
  <c r="L231" i="19"/>
  <c r="M231" i="19" s="1"/>
  <c r="N231" i="19" s="1"/>
  <c r="L199" i="19"/>
  <c r="M199" i="19" s="1"/>
  <c r="N199" i="19" s="1"/>
  <c r="L167" i="19"/>
  <c r="M167" i="19" s="1"/>
  <c r="N167" i="19" s="1"/>
  <c r="L117" i="19"/>
  <c r="M117" i="19" s="1"/>
  <c r="N117" i="19" s="1"/>
  <c r="L39" i="19"/>
  <c r="M39" i="19" s="1"/>
  <c r="N39" i="19" s="1"/>
  <c r="L184" i="19"/>
  <c r="M184" i="19" s="1"/>
  <c r="N184" i="19" s="1"/>
  <c r="L152" i="19"/>
  <c r="M152" i="19" s="1"/>
  <c r="N152" i="19" s="1"/>
  <c r="L73" i="19"/>
  <c r="M73" i="19" s="1"/>
  <c r="N73" i="19" s="1"/>
  <c r="L141" i="19"/>
  <c r="M141" i="19" s="1"/>
  <c r="N141" i="19" s="1"/>
  <c r="L106" i="19"/>
  <c r="M106" i="19" s="1"/>
  <c r="N106" i="19" s="1"/>
  <c r="L65" i="19"/>
  <c r="M65" i="19" s="1"/>
  <c r="N65" i="19" s="1"/>
  <c r="L19" i="19"/>
  <c r="M19" i="19" s="1"/>
  <c r="N19" i="19" s="1"/>
  <c r="L126" i="19"/>
  <c r="M126" i="19" s="1"/>
  <c r="N126" i="19" s="1"/>
  <c r="L79" i="19"/>
  <c r="M79" i="19" s="1"/>
  <c r="N79" i="19" s="1"/>
  <c r="L38" i="19"/>
  <c r="M38" i="19" s="1"/>
  <c r="N38" i="19" s="1"/>
  <c r="L242" i="19"/>
  <c r="M242" i="19" s="1"/>
  <c r="N242" i="19" s="1"/>
  <c r="L104" i="19"/>
  <c r="M104" i="19" s="1"/>
  <c r="N104" i="19" s="1"/>
  <c r="L72" i="19"/>
  <c r="M72" i="19" s="1"/>
  <c r="N72" i="19" s="1"/>
  <c r="L40" i="19"/>
  <c r="M40" i="19" s="1"/>
  <c r="N40" i="19" s="1"/>
  <c r="L10" i="19"/>
  <c r="M10" i="19" s="1"/>
  <c r="N10" i="19" s="1"/>
  <c r="L144" i="19"/>
  <c r="M144" i="19" s="1"/>
  <c r="N144" i="19" s="1"/>
  <c r="L212" i="19"/>
  <c r="M212" i="19" s="1"/>
  <c r="N212" i="19" s="1"/>
  <c r="L250" i="19"/>
  <c r="M250" i="19" s="1"/>
  <c r="N250" i="19" s="1"/>
  <c r="L245" i="19"/>
  <c r="M245" i="19" s="1"/>
  <c r="N245" i="19" s="1"/>
  <c r="L135" i="19"/>
  <c r="M135" i="19" s="1"/>
  <c r="N135" i="19" s="1"/>
  <c r="L202" i="19"/>
  <c r="M202" i="19" s="1"/>
  <c r="N202" i="19" s="1"/>
  <c r="L249" i="19"/>
  <c r="M249" i="19" s="1"/>
  <c r="N249" i="19" s="1"/>
  <c r="L205" i="19"/>
  <c r="M205" i="19" s="1"/>
  <c r="N205" i="19" s="1"/>
  <c r="L227" i="19"/>
  <c r="M227" i="19" s="1"/>
  <c r="N227" i="19" s="1"/>
  <c r="L195" i="19"/>
  <c r="M195" i="19" s="1"/>
  <c r="N195" i="19" s="1"/>
  <c r="L163" i="19"/>
  <c r="M163" i="19" s="1"/>
  <c r="N163" i="19" s="1"/>
  <c r="L110" i="19"/>
  <c r="M110" i="19" s="1"/>
  <c r="N110" i="19" s="1"/>
  <c r="L21" i="19"/>
  <c r="M21" i="19" s="1"/>
  <c r="N21" i="19" s="1"/>
  <c r="L180" i="19"/>
  <c r="M180" i="19" s="1"/>
  <c r="N180" i="19" s="1"/>
  <c r="L147" i="19"/>
  <c r="M147" i="19" s="1"/>
  <c r="N147" i="19" s="1"/>
  <c r="L66" i="19"/>
  <c r="M66" i="19" s="1"/>
  <c r="N66" i="19" s="1"/>
  <c r="L137" i="19"/>
  <c r="M137" i="19" s="1"/>
  <c r="N137" i="19" s="1"/>
  <c r="L99" i="19"/>
  <c r="M99" i="19" s="1"/>
  <c r="N99" i="19" s="1"/>
  <c r="L58" i="19"/>
  <c r="M58" i="19" s="1"/>
  <c r="N58" i="19" s="1"/>
  <c r="L17" i="19"/>
  <c r="M17" i="19" s="1"/>
  <c r="N17" i="19" s="1"/>
  <c r="L118" i="19"/>
  <c r="M118" i="19" s="1"/>
  <c r="N118" i="19" s="1"/>
  <c r="L77" i="19"/>
  <c r="M77" i="19" s="1"/>
  <c r="N77" i="19" s="1"/>
  <c r="L31" i="19"/>
  <c r="M31" i="19" s="1"/>
  <c r="N31" i="19" s="1"/>
  <c r="L210" i="19"/>
  <c r="M210" i="19" s="1"/>
  <c r="N210" i="19" s="1"/>
  <c r="L206" i="19"/>
  <c r="M206" i="19" s="1"/>
  <c r="N206" i="19" s="1"/>
  <c r="L100" i="19"/>
  <c r="M100" i="19" s="1"/>
  <c r="N100" i="19" s="1"/>
  <c r="L68" i="19"/>
  <c r="M68" i="19" s="1"/>
  <c r="N68" i="19" s="1"/>
  <c r="L36" i="19"/>
  <c r="M36" i="19" s="1"/>
  <c r="N36" i="19" s="1"/>
  <c r="L23" i="19"/>
  <c r="M23" i="19" s="1"/>
  <c r="N23" i="19" s="1"/>
  <c r="L153" i="19"/>
  <c r="M153" i="19" s="1"/>
  <c r="N153" i="19" s="1"/>
  <c r="L214" i="19"/>
  <c r="M214" i="19" s="1"/>
  <c r="N214" i="19" s="1"/>
  <c r="L136" i="19"/>
  <c r="M136" i="19" s="1"/>
  <c r="N136" i="19" s="1"/>
  <c r="L248" i="19"/>
  <c r="M248" i="19" s="1"/>
  <c r="N248" i="19" s="1"/>
  <c r="L151" i="19"/>
  <c r="M151" i="19" s="1"/>
  <c r="N151" i="19" s="1"/>
  <c r="L209" i="19"/>
  <c r="M209" i="19" s="1"/>
  <c r="N209" i="19" s="1"/>
  <c r="L55" i="19"/>
  <c r="M55" i="19" s="1"/>
  <c r="N55" i="19" s="1"/>
  <c r="V58" i="19" s="1"/>
  <c r="L213" i="19"/>
  <c r="M213" i="19" s="1"/>
  <c r="N213" i="19" s="1"/>
  <c r="L223" i="19"/>
  <c r="M223" i="19" s="1"/>
  <c r="N223" i="19" s="1"/>
  <c r="L191" i="19"/>
  <c r="M191" i="19" s="1"/>
  <c r="N191" i="19" s="1"/>
  <c r="L159" i="19"/>
  <c r="M159" i="19" s="1"/>
  <c r="N159" i="19" s="1"/>
  <c r="L103" i="19"/>
  <c r="M103" i="19" s="1"/>
  <c r="N103" i="19" s="1"/>
  <c r="L14" i="19"/>
  <c r="M14" i="19" s="1"/>
  <c r="N14" i="19" s="1"/>
  <c r="L176" i="19"/>
  <c r="M176" i="19" s="1"/>
  <c r="N176" i="19" s="1"/>
  <c r="V179" i="19" s="1"/>
  <c r="L139" i="19"/>
  <c r="M139" i="19" s="1"/>
  <c r="N139" i="19" s="1"/>
  <c r="L59" i="19"/>
  <c r="M59" i="19" s="1"/>
  <c r="N59" i="19" s="1"/>
  <c r="L133" i="19"/>
  <c r="M133" i="19" s="1"/>
  <c r="N133" i="19" s="1"/>
  <c r="L97" i="19"/>
  <c r="M97" i="19" s="1"/>
  <c r="N97" i="19" s="1"/>
  <c r="L51" i="19"/>
  <c r="M51" i="19" s="1"/>
  <c r="N51" i="19" s="1"/>
  <c r="L150" i="19"/>
  <c r="M150" i="19" s="1"/>
  <c r="N150" i="19" s="1"/>
  <c r="L111" i="19"/>
  <c r="M111" i="19" s="1"/>
  <c r="N111" i="19" s="1"/>
  <c r="L70" i="19"/>
  <c r="M70" i="19" s="1"/>
  <c r="N70" i="19" s="1"/>
  <c r="V73" i="19" s="1"/>
  <c r="L29" i="19"/>
  <c r="M29" i="19" s="1"/>
  <c r="N29" i="19" s="1"/>
  <c r="L174" i="19"/>
  <c r="M174" i="19" s="1"/>
  <c r="N174" i="19" s="1"/>
  <c r="L198" i="19"/>
  <c r="M198" i="19" s="1"/>
  <c r="N198" i="19" s="1"/>
  <c r="E130" i="17"/>
  <c r="V130" i="17" s="1"/>
  <c r="L105" i="17"/>
  <c r="M105" i="17" s="1"/>
  <c r="N105" i="17" s="1"/>
  <c r="L193" i="17"/>
  <c r="M193" i="17" s="1"/>
  <c r="N193" i="17" s="1"/>
  <c r="L140" i="17"/>
  <c r="M140" i="17" s="1"/>
  <c r="N140" i="17" s="1"/>
  <c r="L171" i="17"/>
  <c r="M171" i="17" s="1"/>
  <c r="N171" i="17" s="1"/>
  <c r="AK224" i="17"/>
  <c r="L190" i="19"/>
  <c r="M190" i="19" s="1"/>
  <c r="N190" i="19" s="1"/>
  <c r="E70" i="17"/>
  <c r="V70" i="17" s="1"/>
  <c r="AA73" i="17"/>
  <c r="AC100" i="17"/>
  <c r="L166" i="19"/>
  <c r="M166" i="19" s="1"/>
  <c r="N166" i="19" s="1"/>
  <c r="E55" i="17"/>
  <c r="V55" i="17" s="1"/>
  <c r="E40" i="19"/>
  <c r="V40" i="19" s="1"/>
  <c r="AH176" i="19"/>
  <c r="L57" i="19"/>
  <c r="M57" i="19" s="1"/>
  <c r="N57" i="19" s="1"/>
  <c r="L208" i="19"/>
  <c r="M208" i="19" s="1"/>
  <c r="N208" i="19" s="1"/>
  <c r="L114" i="19"/>
  <c r="M114" i="19" s="1"/>
  <c r="N114" i="19" s="1"/>
  <c r="L224" i="19"/>
  <c r="M224" i="19" s="1"/>
  <c r="N224" i="19" s="1"/>
  <c r="L251" i="19"/>
  <c r="M251" i="19" s="1"/>
  <c r="N251" i="19" s="1"/>
  <c r="V254" i="19" s="1"/>
  <c r="L143" i="19"/>
  <c r="M143" i="19" s="1"/>
  <c r="N143" i="19" s="1"/>
  <c r="L121" i="19"/>
  <c r="M121" i="19" s="1"/>
  <c r="N121" i="19" s="1"/>
  <c r="L233" i="19"/>
  <c r="M233" i="19" s="1"/>
  <c r="N233" i="19" s="1"/>
  <c r="L240" i="19"/>
  <c r="M240" i="19" s="1"/>
  <c r="N240" i="19" s="1"/>
  <c r="L247" i="19"/>
  <c r="M247" i="19" s="1"/>
  <c r="N247" i="19" s="1"/>
  <c r="L217" i="19"/>
  <c r="M217" i="19" s="1"/>
  <c r="N217" i="19" s="1"/>
  <c r="L50" i="19"/>
  <c r="M50" i="19" s="1"/>
  <c r="N50" i="19" s="1"/>
  <c r="L226" i="19"/>
  <c r="M226" i="19" s="1"/>
  <c r="N226" i="19" s="1"/>
  <c r="L182" i="19"/>
  <c r="M182" i="19" s="1"/>
  <c r="N182" i="19" s="1"/>
  <c r="AC100" i="19"/>
  <c r="Q206" i="19"/>
  <c r="V210" i="19" s="1"/>
  <c r="W12" i="17"/>
  <c r="Q221" i="17"/>
  <c r="V225" i="17" s="1"/>
  <c r="AI195" i="17"/>
  <c r="Q191" i="17"/>
  <c r="V195" i="17" s="1"/>
  <c r="H221" i="17"/>
  <c r="V222" i="17" s="1"/>
  <c r="AK222" i="17"/>
  <c r="K176" i="17"/>
  <c r="V178" i="17" s="1"/>
  <c r="AH178" i="17"/>
  <c r="K221" i="17"/>
  <c r="V223" i="17" s="1"/>
  <c r="AK223" i="17"/>
  <c r="H161" i="17"/>
  <c r="V162" i="17" s="1"/>
  <c r="AG162" i="17"/>
  <c r="AA72" i="17"/>
  <c r="K70" i="17"/>
  <c r="V72" i="17" s="1"/>
  <c r="H55" i="17"/>
  <c r="V56" i="17" s="1"/>
  <c r="Z56" i="17"/>
  <c r="Q251" i="17"/>
  <c r="V255" i="17" s="1"/>
  <c r="AM251" i="17"/>
  <c r="E251" i="17"/>
  <c r="V251" i="17" s="1"/>
  <c r="N25" i="17"/>
  <c r="V28" i="17" s="1"/>
  <c r="X28" i="17"/>
  <c r="AB86" i="17"/>
  <c r="H85" i="17"/>
  <c r="V86" i="17" s="1"/>
  <c r="Q55" i="17"/>
  <c r="V59" i="17" s="1"/>
  <c r="Z59" i="17"/>
  <c r="AG161" i="17"/>
  <c r="E161" i="17"/>
  <c r="V161" i="17" s="1"/>
  <c r="K161" i="17"/>
  <c r="V163" i="17" s="1"/>
  <c r="AG163" i="17"/>
  <c r="K100" i="17"/>
  <c r="V102" i="17" s="1"/>
  <c r="AC102" i="17"/>
  <c r="N100" i="17"/>
  <c r="V103" i="17" s="1"/>
  <c r="AC103" i="17"/>
  <c r="K115" i="17"/>
  <c r="V117" i="17" s="1"/>
  <c r="AD117" i="17"/>
  <c r="X26" i="17"/>
  <c r="H25" i="17"/>
  <c r="V26" i="17" s="1"/>
  <c r="X25" i="17"/>
  <c r="AI192" i="17"/>
  <c r="W10" i="17"/>
  <c r="E10" i="17"/>
  <c r="V10" i="17" s="1"/>
  <c r="K131" i="17"/>
  <c r="AE133" i="17"/>
  <c r="AJ209" i="17"/>
  <c r="N206" i="17"/>
  <c r="V209" i="17" s="1"/>
  <c r="H70" i="17"/>
  <c r="V71" i="17" s="1"/>
  <c r="AA71" i="17"/>
  <c r="N161" i="17"/>
  <c r="V164" i="17" s="1"/>
  <c r="AG164" i="17"/>
  <c r="AA74" i="17"/>
  <c r="Q70" i="17"/>
  <c r="V74" i="17" s="1"/>
  <c r="E25" i="19"/>
  <c r="V25" i="19" s="1"/>
  <c r="AF146" i="19"/>
  <c r="E146" i="19"/>
  <c r="V146" i="19" s="1"/>
  <c r="AK221" i="19"/>
  <c r="E221" i="19"/>
  <c r="V221" i="19" s="1"/>
  <c r="K70" i="19"/>
  <c r="V72" i="19" s="1"/>
  <c r="AA72" i="19"/>
  <c r="AD119" i="19"/>
  <c r="Q115" i="19"/>
  <c r="V119" i="19" s="1"/>
  <c r="AG165" i="19"/>
  <c r="Q161" i="19"/>
  <c r="V165" i="19" s="1"/>
  <c r="Z56" i="19"/>
  <c r="V56" i="19"/>
  <c r="AF147" i="19"/>
  <c r="V147" i="19"/>
  <c r="K115" i="19"/>
  <c r="V117" i="19" s="1"/>
  <c r="AD117" i="19"/>
  <c r="K100" i="19"/>
  <c r="V102" i="19" s="1"/>
  <c r="AC102" i="19"/>
  <c r="K251" i="19"/>
  <c r="V253" i="19" s="1"/>
  <c r="AM253" i="19"/>
  <c r="AB89" i="19"/>
  <c r="Q85" i="19"/>
  <c r="V89" i="19" s="1"/>
  <c r="AD118" i="19"/>
  <c r="V118" i="19"/>
  <c r="AG164" i="19"/>
  <c r="V164" i="19"/>
  <c r="W10" i="19"/>
  <c r="E10" i="19"/>
  <c r="V10" i="19" s="1"/>
  <c r="Z55" i="19"/>
  <c r="E55" i="19"/>
  <c r="V55" i="19" s="1"/>
  <c r="Q176" i="19"/>
  <c r="V180" i="19" s="1"/>
  <c r="AH180" i="19"/>
  <c r="Q251" i="19"/>
  <c r="V255" i="19" s="1"/>
  <c r="AM255" i="19"/>
  <c r="AK222" i="19"/>
  <c r="V222" i="19"/>
  <c r="Q40" i="19"/>
  <c r="V44" i="19" s="1"/>
  <c r="Y44" i="19"/>
  <c r="K55" i="19"/>
  <c r="V57" i="19" s="1"/>
  <c r="Z57" i="19"/>
  <c r="AB87" i="19"/>
  <c r="K85" i="19"/>
  <c r="V87" i="19" s="1"/>
  <c r="X28" i="19"/>
  <c r="V28" i="19"/>
  <c r="AM254" i="19"/>
  <c r="E130" i="19"/>
  <c r="V130" i="19" s="1"/>
  <c r="AE130" i="19"/>
  <c r="E115" i="19"/>
  <c r="V115" i="19" s="1"/>
  <c r="AD115" i="19"/>
  <c r="E161" i="19"/>
  <c r="V161" i="19" s="1"/>
  <c r="AG161" i="19"/>
  <c r="X29" i="19"/>
  <c r="Q25" i="19"/>
  <c r="V29" i="19" s="1"/>
  <c r="Z59" i="19"/>
  <c r="Q55" i="19"/>
  <c r="V59" i="19" s="1"/>
  <c r="AA74" i="19"/>
  <c r="Q70" i="19"/>
  <c r="V74" i="19" s="1"/>
  <c r="Q236" i="19"/>
  <c r="V240" i="19" s="1"/>
  <c r="AL240" i="19"/>
  <c r="V86" i="19"/>
  <c r="AB86" i="19"/>
  <c r="AC101" i="19"/>
  <c r="V101" i="19"/>
  <c r="W11" i="19"/>
  <c r="V162" i="19"/>
  <c r="AG162" i="19"/>
  <c r="V237" i="19"/>
  <c r="AL237" i="19"/>
  <c r="AG163" i="19"/>
  <c r="K161" i="19"/>
  <c r="V163" i="19" s="1"/>
  <c r="AH178" i="19"/>
  <c r="K176" i="19"/>
  <c r="V178" i="19" s="1"/>
  <c r="AL238" i="19"/>
  <c r="K236" i="19"/>
  <c r="V238" i="19" s="1"/>
  <c r="AJ208" i="19"/>
  <c r="K206" i="19"/>
  <c r="V208" i="19" s="1"/>
  <c r="V239" i="19"/>
  <c r="AL239" i="19"/>
  <c r="AA70" i="19"/>
  <c r="E70" i="19"/>
  <c r="V70" i="19" s="1"/>
  <c r="E251" i="19"/>
  <c r="V251" i="19" s="1"/>
  <c r="AM251" i="19"/>
  <c r="AI195" i="19"/>
  <c r="Q191" i="19"/>
  <c r="V195" i="19" s="1"/>
  <c r="AK225" i="19"/>
  <c r="Q221" i="19"/>
  <c r="V225" i="19" s="1"/>
  <c r="AM252" i="19"/>
  <c r="V252" i="19"/>
  <c r="AC103" i="19"/>
  <c r="V103" i="19"/>
  <c r="K221" i="19"/>
  <c r="V223" i="19" s="1"/>
  <c r="AK223" i="19"/>
  <c r="AB88" i="19"/>
  <c r="V88" i="19"/>
  <c r="K10" i="19"/>
  <c r="V12" i="19" s="1"/>
  <c r="W12" i="19"/>
  <c r="E206" i="19"/>
  <c r="V206" i="19" s="1"/>
  <c r="AJ206" i="19"/>
  <c r="AL236" i="19"/>
  <c r="E236" i="19"/>
  <c r="V236" i="19" s="1"/>
  <c r="Q131" i="19"/>
  <c r="AE135" i="19"/>
  <c r="AJ207" i="19"/>
  <c r="V207" i="19"/>
  <c r="Y42" i="19"/>
  <c r="K40" i="19"/>
  <c r="V42" i="19" s="1"/>
  <c r="AA71" i="19"/>
  <c r="V71" i="19"/>
  <c r="Y43" i="19"/>
  <c r="V43" i="19"/>
  <c r="W13" i="19"/>
  <c r="V13" i="19"/>
  <c r="K146" i="19"/>
  <c r="V148" i="19" s="1"/>
  <c r="AF148" i="19"/>
  <c r="E131" i="19"/>
  <c r="AE131" i="19"/>
  <c r="AI191" i="19"/>
  <c r="E191" i="19"/>
  <c r="V191" i="19" s="1"/>
  <c r="AD116" i="19"/>
  <c r="V116" i="19"/>
  <c r="AC104" i="19"/>
  <c r="Q100" i="19"/>
  <c r="V104" i="19" s="1"/>
  <c r="AB85" i="19"/>
  <c r="E85" i="19"/>
  <c r="V85" i="19" s="1"/>
  <c r="X27" i="19"/>
  <c r="K25" i="19"/>
  <c r="V27" i="19" s="1"/>
  <c r="Q10" i="19"/>
  <c r="V14" i="19" s="1"/>
  <c r="W14" i="19"/>
  <c r="AF150" i="19"/>
  <c r="Q146" i="19"/>
  <c r="V150" i="19" s="1"/>
  <c r="V26" i="19"/>
  <c r="X26" i="19"/>
  <c r="Y41" i="19"/>
  <c r="V41" i="19"/>
  <c r="V177" i="19"/>
  <c r="AH177" i="19"/>
  <c r="AI192" i="19"/>
  <c r="V192" i="19"/>
  <c r="K131" i="19"/>
  <c r="AE133" i="19"/>
  <c r="K191" i="19"/>
  <c r="V193" i="19" s="1"/>
  <c r="AI193" i="19"/>
  <c r="V194" i="19"/>
  <c r="AI194" i="19"/>
  <c r="AE132" i="19"/>
  <c r="AE134" i="19"/>
  <c r="V149" i="19"/>
  <c r="AF149" i="19"/>
  <c r="AJ209" i="19"/>
  <c r="V209" i="19"/>
  <c r="V224" i="19"/>
  <c r="AK224" i="19"/>
  <c r="AG161" i="18"/>
  <c r="E161" i="18"/>
  <c r="V161" i="18" s="1"/>
  <c r="X25" i="18"/>
  <c r="E25" i="18"/>
  <c r="V25" i="18" s="1"/>
  <c r="AE131" i="18"/>
  <c r="E131" i="18"/>
  <c r="E191" i="18"/>
  <c r="V191" i="18" s="1"/>
  <c r="AI191" i="18"/>
  <c r="AF148" i="18"/>
  <c r="K146" i="18"/>
  <c r="V148" i="18" s="1"/>
  <c r="Q55" i="18"/>
  <c r="V59" i="18" s="1"/>
  <c r="Z59" i="18"/>
  <c r="W14" i="18"/>
  <c r="Q10" i="18"/>
  <c r="V14" i="18" s="1"/>
  <c r="K85" i="18"/>
  <c r="V87" i="18" s="1"/>
  <c r="AB87" i="18"/>
  <c r="Q100" i="18"/>
  <c r="V104" i="18" s="1"/>
  <c r="AC104" i="18"/>
  <c r="X29" i="18"/>
  <c r="Q25" i="18"/>
  <c r="V29" i="18" s="1"/>
  <c r="AD119" i="18"/>
  <c r="Q115" i="18"/>
  <c r="V119" i="18" s="1"/>
  <c r="AJ209" i="18"/>
  <c r="N206" i="18"/>
  <c r="V209" i="18" s="1"/>
  <c r="Z57" i="18"/>
  <c r="K55" i="18"/>
  <c r="V57" i="18" s="1"/>
  <c r="AK221" i="18"/>
  <c r="E221" i="18"/>
  <c r="V221" i="18" s="1"/>
  <c r="E251" i="18"/>
  <c r="V251" i="18" s="1"/>
  <c r="AM251" i="18"/>
  <c r="K191" i="18"/>
  <c r="V193" i="18" s="1"/>
  <c r="AI193" i="18"/>
  <c r="F249" i="18"/>
  <c r="G249" i="18" s="1"/>
  <c r="H249" i="18" s="1"/>
  <c r="F245" i="18"/>
  <c r="G245" i="18" s="1"/>
  <c r="H245" i="18" s="1"/>
  <c r="F241" i="18"/>
  <c r="G241" i="18" s="1"/>
  <c r="H241" i="18" s="1"/>
  <c r="F237" i="18"/>
  <c r="G237" i="18" s="1"/>
  <c r="H237" i="18" s="1"/>
  <c r="F235" i="18"/>
  <c r="G235" i="18" s="1"/>
  <c r="H235" i="18" s="1"/>
  <c r="F250" i="18"/>
  <c r="G250" i="18" s="1"/>
  <c r="H250" i="18" s="1"/>
  <c r="F246" i="18"/>
  <c r="G246" i="18" s="1"/>
  <c r="H246" i="18" s="1"/>
  <c r="F242" i="18"/>
  <c r="G242" i="18" s="1"/>
  <c r="H242" i="18" s="1"/>
  <c r="F240" i="18"/>
  <c r="G240" i="18" s="1"/>
  <c r="H240" i="18" s="1"/>
  <c r="F230" i="18"/>
  <c r="G230" i="18" s="1"/>
  <c r="H230" i="18" s="1"/>
  <c r="F226" i="18"/>
  <c r="G226" i="18" s="1"/>
  <c r="H226" i="18" s="1"/>
  <c r="F238" i="18"/>
  <c r="G238" i="18" s="1"/>
  <c r="H238" i="18" s="1"/>
  <c r="F234" i="18"/>
  <c r="G234" i="18" s="1"/>
  <c r="H234" i="18" s="1"/>
  <c r="F231" i="18"/>
  <c r="G231" i="18" s="1"/>
  <c r="H231" i="18" s="1"/>
  <c r="F227" i="18"/>
  <c r="G227" i="18" s="1"/>
  <c r="H227" i="18" s="1"/>
  <c r="F225" i="18"/>
  <c r="G225" i="18" s="1"/>
  <c r="H225" i="18" s="1"/>
  <c r="F221" i="18"/>
  <c r="G221" i="18" s="1"/>
  <c r="F217" i="18"/>
  <c r="G217" i="18" s="1"/>
  <c r="H217" i="18" s="1"/>
  <c r="F213" i="18"/>
  <c r="G213" i="18" s="1"/>
  <c r="H213" i="18" s="1"/>
  <c r="F239" i="18"/>
  <c r="G239" i="18" s="1"/>
  <c r="H239" i="18" s="1"/>
  <c r="F236" i="18"/>
  <c r="G236" i="18" s="1"/>
  <c r="F209" i="18"/>
  <c r="G209" i="18" s="1"/>
  <c r="H209" i="18" s="1"/>
  <c r="F203" i="18"/>
  <c r="G203" i="18" s="1"/>
  <c r="H203" i="18" s="1"/>
  <c r="F199" i="18"/>
  <c r="G199" i="18" s="1"/>
  <c r="H199" i="18" s="1"/>
  <c r="F251" i="18"/>
  <c r="G251" i="18" s="1"/>
  <c r="F248" i="18"/>
  <c r="G248" i="18" s="1"/>
  <c r="H248" i="18" s="1"/>
  <c r="F243" i="18"/>
  <c r="G243" i="18" s="1"/>
  <c r="H243" i="18" s="1"/>
  <c r="F220" i="18"/>
  <c r="G220" i="18" s="1"/>
  <c r="H220" i="18" s="1"/>
  <c r="F218" i="18"/>
  <c r="G218" i="18" s="1"/>
  <c r="H218" i="18" s="1"/>
  <c r="F244" i="18"/>
  <c r="G244" i="18" s="1"/>
  <c r="H244" i="18" s="1"/>
  <c r="F233" i="18"/>
  <c r="G233" i="18" s="1"/>
  <c r="H233" i="18" s="1"/>
  <c r="F228" i="18"/>
  <c r="G228" i="18" s="1"/>
  <c r="H228" i="18" s="1"/>
  <c r="F223" i="18"/>
  <c r="G223" i="18" s="1"/>
  <c r="H223" i="18" s="1"/>
  <c r="F216" i="18"/>
  <c r="G216" i="18" s="1"/>
  <c r="H216" i="18" s="1"/>
  <c r="F212" i="18"/>
  <c r="G212" i="18" s="1"/>
  <c r="H212" i="18" s="1"/>
  <c r="F211" i="18"/>
  <c r="G211" i="18" s="1"/>
  <c r="H211" i="18" s="1"/>
  <c r="F210" i="18"/>
  <c r="G210" i="18" s="1"/>
  <c r="H210" i="18" s="1"/>
  <c r="F222" i="18"/>
  <c r="G222" i="18" s="1"/>
  <c r="H222" i="18" s="1"/>
  <c r="F208" i="18"/>
  <c r="G208" i="18" s="1"/>
  <c r="H208" i="18" s="1"/>
  <c r="F207" i="18"/>
  <c r="G207" i="18" s="1"/>
  <c r="H207" i="18" s="1"/>
  <c r="F206" i="18"/>
  <c r="G206" i="18" s="1"/>
  <c r="F204" i="18"/>
  <c r="G204" i="18" s="1"/>
  <c r="H204" i="18" s="1"/>
  <c r="F201" i="18"/>
  <c r="G201" i="18" s="1"/>
  <c r="H201" i="18" s="1"/>
  <c r="F198" i="18"/>
  <c r="G198" i="18" s="1"/>
  <c r="H198" i="18" s="1"/>
  <c r="F196" i="18"/>
  <c r="G196" i="18" s="1"/>
  <c r="H196" i="18" s="1"/>
  <c r="F195" i="18"/>
  <c r="G195" i="18" s="1"/>
  <c r="H195" i="18" s="1"/>
  <c r="F192" i="18"/>
  <c r="G192" i="18" s="1"/>
  <c r="H192" i="18" s="1"/>
  <c r="F190" i="18"/>
  <c r="G190" i="18" s="1"/>
  <c r="H190" i="18" s="1"/>
  <c r="F186" i="18"/>
  <c r="G186" i="18" s="1"/>
  <c r="H186" i="18" s="1"/>
  <c r="F232" i="18"/>
  <c r="G232" i="18" s="1"/>
  <c r="H232" i="18" s="1"/>
  <c r="F200" i="18"/>
  <c r="G200" i="18" s="1"/>
  <c r="H200" i="18" s="1"/>
  <c r="F189" i="18"/>
  <c r="G189" i="18" s="1"/>
  <c r="H189" i="18" s="1"/>
  <c r="F187" i="18"/>
  <c r="G187" i="18" s="1"/>
  <c r="H187" i="18" s="1"/>
  <c r="F184" i="18"/>
  <c r="G184" i="18" s="1"/>
  <c r="H184" i="18" s="1"/>
  <c r="F181" i="18"/>
  <c r="G181" i="18" s="1"/>
  <c r="H181" i="18" s="1"/>
  <c r="F177" i="18"/>
  <c r="G177" i="18" s="1"/>
  <c r="H177" i="18" s="1"/>
  <c r="F175" i="18"/>
  <c r="G175" i="18" s="1"/>
  <c r="H175" i="18" s="1"/>
  <c r="F171" i="18"/>
  <c r="G171" i="18" s="1"/>
  <c r="H171" i="18" s="1"/>
  <c r="F167" i="18"/>
  <c r="G167" i="18" s="1"/>
  <c r="H167" i="18" s="1"/>
  <c r="F165" i="18"/>
  <c r="G165" i="18" s="1"/>
  <c r="H165" i="18" s="1"/>
  <c r="F161" i="18"/>
  <c r="G161" i="18" s="1"/>
  <c r="F157" i="18"/>
  <c r="G157" i="18" s="1"/>
  <c r="H157" i="18" s="1"/>
  <c r="F153" i="18"/>
  <c r="G153" i="18" s="1"/>
  <c r="H153" i="18" s="1"/>
  <c r="F149" i="18"/>
  <c r="G149" i="18" s="1"/>
  <c r="H149" i="18" s="1"/>
  <c r="F143" i="18"/>
  <c r="G143" i="18" s="1"/>
  <c r="H143" i="18" s="1"/>
  <c r="F139" i="18"/>
  <c r="G139" i="18" s="1"/>
  <c r="H139" i="18" s="1"/>
  <c r="F133" i="18"/>
  <c r="G133" i="18" s="1"/>
  <c r="H133" i="18" s="1"/>
  <c r="F247" i="18"/>
  <c r="G247" i="18" s="1"/>
  <c r="H247" i="18" s="1"/>
  <c r="F229" i="18"/>
  <c r="G229" i="18" s="1"/>
  <c r="H229" i="18" s="1"/>
  <c r="F182" i="18"/>
  <c r="G182" i="18" s="1"/>
  <c r="H182" i="18" s="1"/>
  <c r="F180" i="18"/>
  <c r="G180" i="18" s="1"/>
  <c r="H180" i="18" s="1"/>
  <c r="F176" i="18"/>
  <c r="G176" i="18" s="1"/>
  <c r="F172" i="18"/>
  <c r="G172" i="18" s="1"/>
  <c r="H172" i="18" s="1"/>
  <c r="F168" i="18"/>
  <c r="G168" i="18" s="1"/>
  <c r="H168" i="18" s="1"/>
  <c r="F164" i="18"/>
  <c r="G164" i="18" s="1"/>
  <c r="H164" i="18" s="1"/>
  <c r="F158" i="18"/>
  <c r="G158" i="18" s="1"/>
  <c r="H158" i="18" s="1"/>
  <c r="F154" i="18"/>
  <c r="G154" i="18" s="1"/>
  <c r="H154" i="18" s="1"/>
  <c r="F148" i="18"/>
  <c r="G148" i="18" s="1"/>
  <c r="H148" i="18" s="1"/>
  <c r="F224" i="18"/>
  <c r="G224" i="18" s="1"/>
  <c r="H224" i="18" s="1"/>
  <c r="F191" i="18"/>
  <c r="G191" i="18" s="1"/>
  <c r="F188" i="18"/>
  <c r="G188" i="18" s="1"/>
  <c r="H188" i="18" s="1"/>
  <c r="F179" i="18"/>
  <c r="G179" i="18" s="1"/>
  <c r="H179" i="18" s="1"/>
  <c r="F159" i="18"/>
  <c r="G159" i="18" s="1"/>
  <c r="H159" i="18" s="1"/>
  <c r="F155" i="18"/>
  <c r="G155" i="18" s="1"/>
  <c r="H155" i="18" s="1"/>
  <c r="F151" i="18"/>
  <c r="G151" i="18" s="1"/>
  <c r="H151" i="18" s="1"/>
  <c r="F147" i="18"/>
  <c r="G147" i="18" s="1"/>
  <c r="H147" i="18" s="1"/>
  <c r="F146" i="18"/>
  <c r="G146" i="18" s="1"/>
  <c r="F144" i="18"/>
  <c r="G144" i="18" s="1"/>
  <c r="H144" i="18" s="1"/>
  <c r="F141" i="18"/>
  <c r="G141" i="18" s="1"/>
  <c r="H141" i="18" s="1"/>
  <c r="F138" i="18"/>
  <c r="G138" i="18" s="1"/>
  <c r="H138" i="18" s="1"/>
  <c r="F136" i="18"/>
  <c r="G136" i="18" s="1"/>
  <c r="H136" i="18" s="1"/>
  <c r="F135" i="18"/>
  <c r="G135" i="18" s="1"/>
  <c r="H135" i="18" s="1"/>
  <c r="F132" i="18"/>
  <c r="G132" i="18" s="1"/>
  <c r="H132" i="18" s="1"/>
  <c r="F128" i="18"/>
  <c r="G128" i="18" s="1"/>
  <c r="H128" i="18" s="1"/>
  <c r="F124" i="18"/>
  <c r="G124" i="18" s="1"/>
  <c r="H124" i="18" s="1"/>
  <c r="F120" i="18"/>
  <c r="G120" i="18" s="1"/>
  <c r="H120" i="18" s="1"/>
  <c r="F202" i="18"/>
  <c r="G202" i="18" s="1"/>
  <c r="H202" i="18" s="1"/>
  <c r="F194" i="18"/>
  <c r="G194" i="18" s="1"/>
  <c r="H194" i="18" s="1"/>
  <c r="F134" i="18"/>
  <c r="G134" i="18" s="1"/>
  <c r="H134" i="18" s="1"/>
  <c r="F131" i="18"/>
  <c r="G131" i="18" s="1"/>
  <c r="F129" i="18"/>
  <c r="G129" i="18" s="1"/>
  <c r="H129" i="18" s="1"/>
  <c r="F125" i="18"/>
  <c r="G125" i="18" s="1"/>
  <c r="H125" i="18" s="1"/>
  <c r="F121" i="18"/>
  <c r="G121" i="18" s="1"/>
  <c r="H121" i="18" s="1"/>
  <c r="F119" i="18"/>
  <c r="G119" i="18" s="1"/>
  <c r="H119" i="18" s="1"/>
  <c r="F115" i="18"/>
  <c r="G115" i="18" s="1"/>
  <c r="F111" i="18"/>
  <c r="G111" i="18" s="1"/>
  <c r="H111" i="18" s="1"/>
  <c r="F107" i="18"/>
  <c r="G107" i="18" s="1"/>
  <c r="H107" i="18" s="1"/>
  <c r="F103" i="18"/>
  <c r="G103" i="18" s="1"/>
  <c r="H103" i="18" s="1"/>
  <c r="F219" i="18"/>
  <c r="G219" i="18" s="1"/>
  <c r="H219" i="18" s="1"/>
  <c r="F215" i="18"/>
  <c r="G215" i="18" s="1"/>
  <c r="H215" i="18" s="1"/>
  <c r="F205" i="18"/>
  <c r="G205" i="18" s="1"/>
  <c r="H205" i="18" s="1"/>
  <c r="F183" i="18"/>
  <c r="G183" i="18" s="1"/>
  <c r="H183" i="18" s="1"/>
  <c r="F150" i="18"/>
  <c r="G150" i="18" s="1"/>
  <c r="H150" i="18" s="1"/>
  <c r="F113" i="18"/>
  <c r="G113" i="18" s="1"/>
  <c r="H113" i="18" s="1"/>
  <c r="F110" i="18"/>
  <c r="G110" i="18" s="1"/>
  <c r="H110" i="18" s="1"/>
  <c r="F108" i="18"/>
  <c r="G108" i="18" s="1"/>
  <c r="H108" i="18" s="1"/>
  <c r="F105" i="18"/>
  <c r="G105" i="18" s="1"/>
  <c r="H105" i="18" s="1"/>
  <c r="F104" i="18"/>
  <c r="G104" i="18" s="1"/>
  <c r="H104" i="18" s="1"/>
  <c r="F102" i="18"/>
  <c r="G102" i="18" s="1"/>
  <c r="H102" i="18" s="1"/>
  <c r="F101" i="18"/>
  <c r="G101" i="18" s="1"/>
  <c r="H101" i="18" s="1"/>
  <c r="F100" i="18"/>
  <c r="G100" i="18" s="1"/>
  <c r="F98" i="18"/>
  <c r="G98" i="18" s="1"/>
  <c r="H98" i="18" s="1"/>
  <c r="F94" i="18"/>
  <c r="G94" i="18" s="1"/>
  <c r="H94" i="18" s="1"/>
  <c r="F90" i="18"/>
  <c r="G90" i="18" s="1"/>
  <c r="H90" i="18" s="1"/>
  <c r="F86" i="18"/>
  <c r="G86" i="18" s="1"/>
  <c r="H86" i="18" s="1"/>
  <c r="F84" i="18"/>
  <c r="G84" i="18" s="1"/>
  <c r="H84" i="18" s="1"/>
  <c r="F80" i="18"/>
  <c r="G80" i="18" s="1"/>
  <c r="H80" i="18" s="1"/>
  <c r="F76" i="18"/>
  <c r="G76" i="18" s="1"/>
  <c r="H76" i="18" s="1"/>
  <c r="F74" i="18"/>
  <c r="G74" i="18" s="1"/>
  <c r="H74" i="18" s="1"/>
  <c r="F70" i="18"/>
  <c r="G70" i="18" s="1"/>
  <c r="F66" i="18"/>
  <c r="G66" i="18" s="1"/>
  <c r="H66" i="18" s="1"/>
  <c r="F62" i="18"/>
  <c r="G62" i="18" s="1"/>
  <c r="H62" i="18" s="1"/>
  <c r="F58" i="18"/>
  <c r="G58" i="18" s="1"/>
  <c r="H58" i="18" s="1"/>
  <c r="F52" i="18"/>
  <c r="G52" i="18" s="1"/>
  <c r="H52" i="18" s="1"/>
  <c r="F48" i="18"/>
  <c r="G48" i="18" s="1"/>
  <c r="H48" i="18" s="1"/>
  <c r="F42" i="18"/>
  <c r="G42" i="18" s="1"/>
  <c r="H42" i="18" s="1"/>
  <c r="F38" i="18"/>
  <c r="G38" i="18" s="1"/>
  <c r="H38" i="18" s="1"/>
  <c r="F34" i="18"/>
  <c r="G34" i="18" s="1"/>
  <c r="H34" i="18" s="1"/>
  <c r="F30" i="18"/>
  <c r="G30" i="18" s="1"/>
  <c r="H30" i="18" s="1"/>
  <c r="F26" i="18"/>
  <c r="G26" i="18" s="1"/>
  <c r="H26" i="18" s="1"/>
  <c r="F24" i="18"/>
  <c r="G24" i="18" s="1"/>
  <c r="H24" i="18" s="1"/>
  <c r="F20" i="18"/>
  <c r="G20" i="18" s="1"/>
  <c r="H20" i="18" s="1"/>
  <c r="F16" i="18"/>
  <c r="G16" i="18" s="1"/>
  <c r="H16" i="18" s="1"/>
  <c r="F14" i="18"/>
  <c r="G14" i="18" s="1"/>
  <c r="H14" i="18" s="1"/>
  <c r="F10" i="18"/>
  <c r="G10" i="18" s="1"/>
  <c r="H10" i="18" s="1"/>
  <c r="V11" i="18" s="1"/>
  <c r="F123" i="18"/>
  <c r="G123" i="18" s="1"/>
  <c r="H123" i="18" s="1"/>
  <c r="F174" i="18"/>
  <c r="G174" i="18" s="1"/>
  <c r="H174" i="18" s="1"/>
  <c r="F169" i="18"/>
  <c r="G169" i="18" s="1"/>
  <c r="H169" i="18" s="1"/>
  <c r="F166" i="18"/>
  <c r="G166" i="18" s="1"/>
  <c r="H166" i="18" s="1"/>
  <c r="F162" i="18"/>
  <c r="G162" i="18" s="1"/>
  <c r="H162" i="18" s="1"/>
  <c r="F160" i="18"/>
  <c r="G160" i="18" s="1"/>
  <c r="H160" i="18" s="1"/>
  <c r="F152" i="18"/>
  <c r="G152" i="18" s="1"/>
  <c r="H152" i="18" s="1"/>
  <c r="F140" i="18"/>
  <c r="G140" i="18" s="1"/>
  <c r="H140" i="18" s="1"/>
  <c r="F137" i="18"/>
  <c r="G137" i="18" s="1"/>
  <c r="H137" i="18" s="1"/>
  <c r="F95" i="18"/>
  <c r="G95" i="18" s="1"/>
  <c r="H95" i="18" s="1"/>
  <c r="F91" i="18"/>
  <c r="G91" i="18" s="1"/>
  <c r="H91" i="18" s="1"/>
  <c r="F89" i="18"/>
  <c r="G89" i="18" s="1"/>
  <c r="H89" i="18" s="1"/>
  <c r="F85" i="18"/>
  <c r="G85" i="18" s="1"/>
  <c r="F81" i="18"/>
  <c r="G81" i="18" s="1"/>
  <c r="H81" i="18" s="1"/>
  <c r="F77" i="18"/>
  <c r="G77" i="18" s="1"/>
  <c r="H77" i="18" s="1"/>
  <c r="F73" i="18"/>
  <c r="G73" i="18" s="1"/>
  <c r="H73" i="18" s="1"/>
  <c r="F67" i="18"/>
  <c r="G67" i="18" s="1"/>
  <c r="H67" i="18" s="1"/>
  <c r="F63" i="18"/>
  <c r="G63" i="18" s="1"/>
  <c r="H63" i="18" s="1"/>
  <c r="F57" i="18"/>
  <c r="G57" i="18" s="1"/>
  <c r="H57" i="18" s="1"/>
  <c r="F53" i="18"/>
  <c r="G53" i="18" s="1"/>
  <c r="H53" i="18" s="1"/>
  <c r="F49" i="18"/>
  <c r="G49" i="18" s="1"/>
  <c r="H49" i="18" s="1"/>
  <c r="F45" i="18"/>
  <c r="G45" i="18" s="1"/>
  <c r="H45" i="18" s="1"/>
  <c r="F41" i="18"/>
  <c r="G41" i="18" s="1"/>
  <c r="H41" i="18" s="1"/>
  <c r="F39" i="18"/>
  <c r="G39" i="18" s="1"/>
  <c r="H39" i="18" s="1"/>
  <c r="F35" i="18"/>
  <c r="G35" i="18" s="1"/>
  <c r="H35" i="18" s="1"/>
  <c r="F31" i="18"/>
  <c r="G31" i="18" s="1"/>
  <c r="H31" i="18" s="1"/>
  <c r="F29" i="18"/>
  <c r="G29" i="18" s="1"/>
  <c r="H29" i="18" s="1"/>
  <c r="F25" i="18"/>
  <c r="G25" i="18" s="1"/>
  <c r="F21" i="18"/>
  <c r="G21" i="18" s="1"/>
  <c r="H21" i="18" s="1"/>
  <c r="F17" i="18"/>
  <c r="G17" i="18" s="1"/>
  <c r="H17" i="18" s="1"/>
  <c r="F13" i="18"/>
  <c r="G13" i="18" s="1"/>
  <c r="H13" i="18" s="1"/>
  <c r="F178" i="18"/>
  <c r="G178" i="18" s="1"/>
  <c r="H178" i="18" s="1"/>
  <c r="F142" i="18"/>
  <c r="G142" i="18" s="1"/>
  <c r="H142" i="18" s="1"/>
  <c r="F127" i="18"/>
  <c r="G127" i="18" s="1"/>
  <c r="H127" i="18" s="1"/>
  <c r="F118" i="18"/>
  <c r="G118" i="18" s="1"/>
  <c r="H118" i="18" s="1"/>
  <c r="F185" i="18"/>
  <c r="G185" i="18" s="1"/>
  <c r="H185" i="18" s="1"/>
  <c r="F170" i="18"/>
  <c r="G170" i="18" s="1"/>
  <c r="H170" i="18" s="1"/>
  <c r="F163" i="18"/>
  <c r="G163" i="18" s="1"/>
  <c r="H163" i="18" s="1"/>
  <c r="F145" i="18"/>
  <c r="G145" i="18" s="1"/>
  <c r="H145" i="18" s="1"/>
  <c r="F130" i="18"/>
  <c r="G130" i="18" s="1"/>
  <c r="H130" i="18" s="1"/>
  <c r="F117" i="18"/>
  <c r="G117" i="18" s="1"/>
  <c r="H117" i="18" s="1"/>
  <c r="F114" i="18"/>
  <c r="G114" i="18" s="1"/>
  <c r="H114" i="18" s="1"/>
  <c r="F83" i="18"/>
  <c r="G83" i="18" s="1"/>
  <c r="H83" i="18" s="1"/>
  <c r="F79" i="18"/>
  <c r="G79" i="18" s="1"/>
  <c r="H79" i="18" s="1"/>
  <c r="F75" i="18"/>
  <c r="G75" i="18" s="1"/>
  <c r="H75" i="18" s="1"/>
  <c r="F71" i="18"/>
  <c r="G71" i="18" s="1"/>
  <c r="H71" i="18" s="1"/>
  <c r="F23" i="18"/>
  <c r="G23" i="18" s="1"/>
  <c r="H23" i="18" s="1"/>
  <c r="F19" i="18"/>
  <c r="G19" i="18" s="1"/>
  <c r="H19" i="18" s="1"/>
  <c r="F15" i="18"/>
  <c r="G15" i="18" s="1"/>
  <c r="H15" i="18" s="1"/>
  <c r="F11" i="18"/>
  <c r="G11" i="18" s="1"/>
  <c r="F173" i="18"/>
  <c r="G173" i="18" s="1"/>
  <c r="H173" i="18" s="1"/>
  <c r="F156" i="18"/>
  <c r="G156" i="18" s="1"/>
  <c r="H156" i="18" s="1"/>
  <c r="F122" i="18"/>
  <c r="G122" i="18" s="1"/>
  <c r="H122" i="18" s="1"/>
  <c r="F106" i="18"/>
  <c r="G106" i="18" s="1"/>
  <c r="H106" i="18" s="1"/>
  <c r="F97" i="18"/>
  <c r="G97" i="18" s="1"/>
  <c r="H97" i="18" s="1"/>
  <c r="F88" i="18"/>
  <c r="G88" i="18" s="1"/>
  <c r="H88" i="18" s="1"/>
  <c r="F68" i="18"/>
  <c r="G68" i="18" s="1"/>
  <c r="H68" i="18" s="1"/>
  <c r="F60" i="18"/>
  <c r="G60" i="18" s="1"/>
  <c r="H60" i="18" s="1"/>
  <c r="F56" i="18"/>
  <c r="G56" i="18" s="1"/>
  <c r="H56" i="18" s="1"/>
  <c r="F54" i="18"/>
  <c r="G54" i="18" s="1"/>
  <c r="H54" i="18" s="1"/>
  <c r="F46" i="18"/>
  <c r="G46" i="18" s="1"/>
  <c r="H46" i="18" s="1"/>
  <c r="F33" i="18"/>
  <c r="G33" i="18" s="1"/>
  <c r="H33" i="18" s="1"/>
  <c r="F28" i="18"/>
  <c r="G28" i="18" s="1"/>
  <c r="H28" i="18" s="1"/>
  <c r="F197" i="18"/>
  <c r="G197" i="18" s="1"/>
  <c r="H197" i="18" s="1"/>
  <c r="F193" i="18"/>
  <c r="G193" i="18" s="1"/>
  <c r="H193" i="18" s="1"/>
  <c r="F96" i="18"/>
  <c r="G96" i="18" s="1"/>
  <c r="H96" i="18" s="1"/>
  <c r="F36" i="18"/>
  <c r="G36" i="18" s="1"/>
  <c r="H36" i="18" s="1"/>
  <c r="F214" i="18"/>
  <c r="G214" i="18" s="1"/>
  <c r="H214" i="18" s="1"/>
  <c r="F126" i="18"/>
  <c r="G126" i="18" s="1"/>
  <c r="H126" i="18" s="1"/>
  <c r="F116" i="18"/>
  <c r="G116" i="18" s="1"/>
  <c r="H116" i="18" s="1"/>
  <c r="F99" i="18"/>
  <c r="G99" i="18" s="1"/>
  <c r="H99" i="18" s="1"/>
  <c r="F87" i="18"/>
  <c r="G87" i="18" s="1"/>
  <c r="H87" i="18" s="1"/>
  <c r="F82" i="18"/>
  <c r="G82" i="18" s="1"/>
  <c r="H82" i="18" s="1"/>
  <c r="F78" i="18"/>
  <c r="G78" i="18" s="1"/>
  <c r="H78" i="18" s="1"/>
  <c r="F72" i="18"/>
  <c r="G72" i="18" s="1"/>
  <c r="H72" i="18" s="1"/>
  <c r="F69" i="18"/>
  <c r="G69" i="18" s="1"/>
  <c r="H69" i="18" s="1"/>
  <c r="F65" i="18"/>
  <c r="G65" i="18" s="1"/>
  <c r="H65" i="18" s="1"/>
  <c r="F61" i="18"/>
  <c r="G61" i="18" s="1"/>
  <c r="H61" i="18" s="1"/>
  <c r="F59" i="18"/>
  <c r="G59" i="18" s="1"/>
  <c r="H59" i="18" s="1"/>
  <c r="F55" i="18"/>
  <c r="G55" i="18" s="1"/>
  <c r="F51" i="18"/>
  <c r="G51" i="18" s="1"/>
  <c r="H51" i="18" s="1"/>
  <c r="F47" i="18"/>
  <c r="G47" i="18" s="1"/>
  <c r="H47" i="18" s="1"/>
  <c r="F27" i="18"/>
  <c r="G27" i="18" s="1"/>
  <c r="H27" i="18" s="1"/>
  <c r="F22" i="18"/>
  <c r="G22" i="18" s="1"/>
  <c r="H22" i="18" s="1"/>
  <c r="F18" i="18"/>
  <c r="G18" i="18" s="1"/>
  <c r="H18" i="18" s="1"/>
  <c r="F12" i="18"/>
  <c r="G12" i="18" s="1"/>
  <c r="H12" i="18" s="1"/>
  <c r="F93" i="18"/>
  <c r="G93" i="18" s="1"/>
  <c r="H93" i="18" s="1"/>
  <c r="F64" i="18"/>
  <c r="G64" i="18" s="1"/>
  <c r="H64" i="18" s="1"/>
  <c r="F50" i="18"/>
  <c r="G50" i="18" s="1"/>
  <c r="H50" i="18" s="1"/>
  <c r="F43" i="18"/>
  <c r="G43" i="18" s="1"/>
  <c r="H43" i="18" s="1"/>
  <c r="F37" i="18"/>
  <c r="G37" i="18" s="1"/>
  <c r="H37" i="18" s="1"/>
  <c r="F112" i="18"/>
  <c r="G112" i="18" s="1"/>
  <c r="H112" i="18" s="1"/>
  <c r="F109" i="18"/>
  <c r="G109" i="18" s="1"/>
  <c r="H109" i="18" s="1"/>
  <c r="F92" i="18"/>
  <c r="G92" i="18" s="1"/>
  <c r="H92" i="18" s="1"/>
  <c r="F44" i="18"/>
  <c r="G44" i="18" s="1"/>
  <c r="H44" i="18" s="1"/>
  <c r="F40" i="18"/>
  <c r="G40" i="18" s="1"/>
  <c r="F32" i="18"/>
  <c r="G32" i="18" s="1"/>
  <c r="H32" i="18" s="1"/>
  <c r="E55" i="18"/>
  <c r="V55" i="18" s="1"/>
  <c r="Z55" i="18"/>
  <c r="Q40" i="18"/>
  <c r="V44" i="18" s="1"/>
  <c r="Y44" i="18"/>
  <c r="Q146" i="18"/>
  <c r="V150" i="18" s="1"/>
  <c r="AF150" i="18"/>
  <c r="Q251" i="18"/>
  <c r="V255" i="18" s="1"/>
  <c r="AM255" i="18"/>
  <c r="AB85" i="18"/>
  <c r="E85" i="18"/>
  <c r="V85" i="18" s="1"/>
  <c r="E130" i="18"/>
  <c r="V130" i="18" s="1"/>
  <c r="AE130" i="18"/>
  <c r="E206" i="18"/>
  <c r="V206" i="18" s="1"/>
  <c r="AJ206" i="18"/>
  <c r="AH176" i="18"/>
  <c r="E176" i="18"/>
  <c r="V176" i="18" s="1"/>
  <c r="E236" i="18"/>
  <c r="V236" i="18" s="1"/>
  <c r="AL236" i="18"/>
  <c r="AJ208" i="18"/>
  <c r="K206" i="18"/>
  <c r="V208" i="18" s="1"/>
  <c r="N115" i="18"/>
  <c r="V118" i="18" s="1"/>
  <c r="AD118" i="18"/>
  <c r="AH180" i="18"/>
  <c r="Q176" i="18"/>
  <c r="V180" i="18" s="1"/>
  <c r="AI195" i="18"/>
  <c r="Q191" i="18"/>
  <c r="V195" i="18" s="1"/>
  <c r="AL240" i="18"/>
  <c r="Q236" i="18"/>
  <c r="V240" i="18" s="1"/>
  <c r="E100" i="18"/>
  <c r="V100" i="18" s="1"/>
  <c r="AC100" i="18"/>
  <c r="N10" i="18"/>
  <c r="V13" i="18" s="1"/>
  <c r="W13" i="18"/>
  <c r="AF149" i="18"/>
  <c r="N146" i="18"/>
  <c r="V149" i="18" s="1"/>
  <c r="AE134" i="18"/>
  <c r="N131" i="18"/>
  <c r="N40" i="18"/>
  <c r="V43" i="18" s="1"/>
  <c r="Y43" i="18"/>
  <c r="K70" i="18"/>
  <c r="V72" i="18" s="1"/>
  <c r="AA72" i="18"/>
  <c r="AC102" i="18"/>
  <c r="K100" i="18"/>
  <c r="V102" i="18" s="1"/>
  <c r="AE133" i="18"/>
  <c r="K131" i="18"/>
  <c r="AA74" i="18"/>
  <c r="Q70" i="18"/>
  <c r="V74" i="18" s="1"/>
  <c r="Y42" i="18"/>
  <c r="K40" i="18"/>
  <c r="V42" i="18" s="1"/>
  <c r="AK225" i="18"/>
  <c r="Q221" i="18"/>
  <c r="V225" i="18" s="1"/>
  <c r="Z58" i="18"/>
  <c r="N55" i="18"/>
  <c r="V58" i="18" s="1"/>
  <c r="AM254" i="18"/>
  <c r="N251" i="18"/>
  <c r="V254" i="18" s="1"/>
  <c r="AC103" i="18"/>
  <c r="N100" i="18"/>
  <c r="V103" i="18" s="1"/>
  <c r="K176" i="18"/>
  <c r="V178" i="18" s="1"/>
  <c r="AH178" i="18"/>
  <c r="Q206" i="18"/>
  <c r="V210" i="18" s="1"/>
  <c r="AJ210" i="18"/>
  <c r="N176" i="18"/>
  <c r="V179" i="18" s="1"/>
  <c r="AH179" i="18"/>
  <c r="N221" i="18"/>
  <c r="V224" i="18" s="1"/>
  <c r="AK224" i="18"/>
  <c r="AD117" i="18"/>
  <c r="K115" i="18"/>
  <c r="V117" i="18" s="1"/>
  <c r="E146" i="18"/>
  <c r="V146" i="18" s="1"/>
  <c r="AF146" i="18"/>
  <c r="AD115" i="18"/>
  <c r="E115" i="18"/>
  <c r="V115" i="18" s="1"/>
  <c r="E40" i="18"/>
  <c r="V40" i="18" s="1"/>
  <c r="Y40" i="18"/>
  <c r="K10" i="18"/>
  <c r="V12" i="18" s="1"/>
  <c r="W12" i="18"/>
  <c r="K161" i="18"/>
  <c r="V163" i="18" s="1"/>
  <c r="AG163" i="18"/>
  <c r="K221" i="18"/>
  <c r="V223" i="18" s="1"/>
  <c r="AK223" i="18"/>
  <c r="K251" i="18"/>
  <c r="V253" i="18" s="1"/>
  <c r="AM253" i="18"/>
  <c r="K236" i="18"/>
  <c r="V238" i="18" s="1"/>
  <c r="AL238" i="18"/>
  <c r="N85" i="18"/>
  <c r="V88" i="18" s="1"/>
  <c r="AB88" i="18"/>
  <c r="AA70" i="18"/>
  <c r="E70" i="18"/>
  <c r="V70" i="18" s="1"/>
  <c r="N25" i="18"/>
  <c r="V28" i="18" s="1"/>
  <c r="X28" i="18"/>
  <c r="W10" i="18"/>
  <c r="E10" i="18"/>
  <c r="V10" i="18" s="1"/>
  <c r="N70" i="18"/>
  <c r="V73" i="18" s="1"/>
  <c r="AA73" i="18"/>
  <c r="K25" i="18"/>
  <c r="V27" i="18" s="1"/>
  <c r="X27" i="18"/>
  <c r="AB89" i="18"/>
  <c r="Q85" i="18"/>
  <c r="V89" i="18" s="1"/>
  <c r="AE135" i="18"/>
  <c r="Q131" i="18"/>
  <c r="AG165" i="18"/>
  <c r="Q161" i="18"/>
  <c r="V165" i="18" s="1"/>
  <c r="AI194" i="18"/>
  <c r="N191" i="18"/>
  <c r="V194" i="18" s="1"/>
  <c r="N161" i="18"/>
  <c r="V164" i="18" s="1"/>
  <c r="AG164" i="18"/>
  <c r="N236" i="18"/>
  <c r="V239" i="18" s="1"/>
  <c r="AL239" i="18"/>
  <c r="W14" i="17"/>
  <c r="Q10" i="17"/>
  <c r="V14" i="17" s="1"/>
  <c r="Q85" i="17"/>
  <c r="V89" i="17" s="1"/>
  <c r="AB89" i="17"/>
  <c r="Y41" i="17"/>
  <c r="H40" i="17"/>
  <c r="V41" i="17" s="1"/>
  <c r="E40" i="17"/>
  <c r="V40" i="17" s="1"/>
  <c r="Y40" i="17"/>
  <c r="N146" i="17"/>
  <c r="V149" i="17" s="1"/>
  <c r="AF149" i="17"/>
  <c r="AE132" i="17"/>
  <c r="H131" i="17"/>
  <c r="E176" i="17"/>
  <c r="V176" i="17" s="1"/>
  <c r="AH176" i="17"/>
  <c r="AI193" i="17"/>
  <c r="K191" i="17"/>
  <c r="V193" i="17" s="1"/>
  <c r="AL240" i="17"/>
  <c r="Q236" i="17"/>
  <c r="V240" i="17" s="1"/>
  <c r="K40" i="17"/>
  <c r="V42" i="17" s="1"/>
  <c r="Y42" i="17"/>
  <c r="E191" i="17"/>
  <c r="V191" i="17" s="1"/>
  <c r="AI191" i="17"/>
  <c r="X27" i="17"/>
  <c r="K25" i="17"/>
  <c r="V27" i="17" s="1"/>
  <c r="E85" i="17"/>
  <c r="V85" i="17" s="1"/>
  <c r="AB85" i="17"/>
  <c r="W13" i="17"/>
  <c r="N10" i="17"/>
  <c r="V13" i="17" s="1"/>
  <c r="K55" i="17"/>
  <c r="V57" i="17" s="1"/>
  <c r="Z57" i="17"/>
  <c r="Q131" i="17"/>
  <c r="AE135" i="17"/>
  <c r="E236" i="17"/>
  <c r="V236" i="17" s="1"/>
  <c r="AL236" i="17"/>
  <c r="Y43" i="17"/>
  <c r="N40" i="17"/>
  <c r="V43" i="17" s="1"/>
  <c r="E115" i="17"/>
  <c r="V115" i="17" s="1"/>
  <c r="AD115" i="17"/>
  <c r="E146" i="17"/>
  <c r="V146" i="17" s="1"/>
  <c r="AF146" i="17"/>
  <c r="N131" i="17"/>
  <c r="AE134" i="17"/>
  <c r="AH180" i="17"/>
  <c r="Q176" i="17"/>
  <c r="V180" i="17" s="1"/>
  <c r="W11" i="17"/>
  <c r="H11" i="17"/>
  <c r="Z58" i="17"/>
  <c r="N55" i="17"/>
  <c r="V58" i="17" s="1"/>
  <c r="K85" i="17"/>
  <c r="V87" i="17" s="1"/>
  <c r="AB87" i="17"/>
  <c r="AD119" i="17"/>
  <c r="Q115" i="17"/>
  <c r="V119" i="17" s="1"/>
  <c r="K146" i="17"/>
  <c r="V148" i="17" s="1"/>
  <c r="AF148" i="17"/>
  <c r="AE131" i="17"/>
  <c r="E131" i="17"/>
  <c r="Q206" i="17"/>
  <c r="V210" i="17" s="1"/>
  <c r="AJ210" i="17"/>
  <c r="AJ207" i="17"/>
  <c r="H206" i="17"/>
  <c r="V207" i="17" s="1"/>
  <c r="Q40" i="17"/>
  <c r="V44" i="17" s="1"/>
  <c r="Y44" i="17"/>
  <c r="Z58" i="19" l="1"/>
  <c r="AH179" i="19"/>
  <c r="AA73" i="19"/>
  <c r="AA71" i="18"/>
  <c r="H70" i="18"/>
  <c r="V71" i="18" s="1"/>
  <c r="H40" i="18"/>
  <c r="V41" i="18" s="1"/>
  <c r="Y41" i="18"/>
  <c r="H55" i="18"/>
  <c r="V56" i="18" s="1"/>
  <c r="Z56" i="18"/>
  <c r="X26" i="18"/>
  <c r="H25" i="18"/>
  <c r="V26" i="18" s="1"/>
  <c r="AC101" i="18"/>
  <c r="H100" i="18"/>
  <c r="V101" i="18" s="1"/>
  <c r="H115" i="18"/>
  <c r="V116" i="18" s="1"/>
  <c r="AD116" i="18"/>
  <c r="AG162" i="18"/>
  <c r="H161" i="18"/>
  <c r="V162" i="18" s="1"/>
  <c r="AJ207" i="18"/>
  <c r="H206" i="18"/>
  <c r="V207" i="18" s="1"/>
  <c r="AM252" i="18"/>
  <c r="H251" i="18"/>
  <c r="V252" i="18" s="1"/>
  <c r="AL237" i="18"/>
  <c r="H236" i="18"/>
  <c r="V237" i="18" s="1"/>
  <c r="H221" i="18"/>
  <c r="V222" i="18" s="1"/>
  <c r="AK222" i="18"/>
  <c r="AE132" i="18"/>
  <c r="H131" i="18"/>
  <c r="AI192" i="18"/>
  <c r="H191" i="18"/>
  <c r="V192" i="18" s="1"/>
  <c r="AH177" i="18"/>
  <c r="H176" i="18"/>
  <c r="V177" i="18" s="1"/>
  <c r="H11" i="18"/>
  <c r="W11" i="18"/>
  <c r="AF147" i="18"/>
  <c r="H146" i="18"/>
  <c r="V147" i="18" s="1"/>
  <c r="AB86" i="18"/>
  <c r="H85" i="18"/>
  <c r="V86" i="18" s="1"/>
  <c r="J13" i="14" l="1"/>
  <c r="J12" i="14"/>
  <c r="J11" i="14"/>
  <c r="J10" i="14"/>
  <c r="J9" i="14"/>
  <c r="J8" i="14"/>
  <c r="J7" i="14"/>
  <c r="J6" i="14"/>
  <c r="B5" i="14"/>
  <c r="J5" i="14"/>
  <c r="J4" i="14"/>
  <c r="B18" i="14"/>
  <c r="C18" i="14" s="1"/>
  <c r="J13" i="12"/>
  <c r="J12" i="12"/>
  <c r="J10" i="12"/>
  <c r="J9" i="12"/>
  <c r="J8" i="12"/>
  <c r="J7" i="12"/>
  <c r="J6" i="12"/>
  <c r="B5" i="12"/>
  <c r="J5" i="12"/>
  <c r="J4" i="12"/>
  <c r="B18" i="12"/>
  <c r="C18" i="12" s="1"/>
  <c r="G18" i="14" l="1"/>
  <c r="H18" i="14" s="1"/>
  <c r="G18" i="12"/>
  <c r="H18" i="12" s="1"/>
  <c r="D18" i="14"/>
  <c r="E18" i="14" s="1"/>
  <c r="F18" i="14" s="1"/>
  <c r="K18" i="14"/>
  <c r="L18" i="14" s="1"/>
  <c r="D18" i="12"/>
  <c r="E18" i="12" s="1"/>
  <c r="F18" i="12" s="1"/>
  <c r="K18" i="12"/>
  <c r="L18" i="12" s="1"/>
  <c r="J18" i="14" l="1"/>
  <c r="J19" i="14" s="1"/>
  <c r="J18" i="12"/>
  <c r="J20" i="12" s="1"/>
  <c r="B5" i="2"/>
  <c r="J11" i="2"/>
  <c r="J4" i="2"/>
  <c r="J10" i="2"/>
  <c r="J13" i="2"/>
  <c r="J12" i="2"/>
  <c r="J9" i="2"/>
  <c r="J8" i="2"/>
  <c r="J7" i="2"/>
  <c r="J6" i="2"/>
  <c r="J5" i="2"/>
  <c r="J3" i="2"/>
  <c r="J2" i="2"/>
  <c r="B18" i="2" l="1"/>
  <c r="C18" i="2" s="1"/>
  <c r="K18" i="2" s="1"/>
  <c r="L18" i="2" s="1"/>
  <c r="J20" i="14"/>
  <c r="J19" i="12"/>
  <c r="G18" i="2"/>
  <c r="H18" i="2" s="1"/>
  <c r="D18" i="2" l="1"/>
  <c r="E18" i="2" s="1"/>
  <c r="F18" i="2" s="1"/>
  <c r="J18" i="2" s="1"/>
  <c r="J19" i="2" l="1"/>
  <c r="J20" i="2"/>
</calcChain>
</file>

<file path=xl/comments1.xml><?xml version="1.0" encoding="utf-8"?>
<comments xmlns="http://schemas.openxmlformats.org/spreadsheetml/2006/main">
  <authors>
    <author>Estefania</author>
  </authors>
  <commentList>
    <comment ref="C5" authorId="0" shapeId="0">
      <text>
        <r>
          <rPr>
            <b/>
            <sz val="12"/>
            <color indexed="81"/>
            <rFont val="Tahoma"/>
            <family val="2"/>
          </rPr>
          <t xml:space="preserve">Criterio de signos: 
</t>
        </r>
        <r>
          <rPr>
            <sz val="12"/>
            <color indexed="81"/>
            <rFont val="Tahoma"/>
            <family val="2"/>
          </rPr>
          <t>&lt;0: hacia el Este
&gt;0: hacia el Oeste</t>
        </r>
      </text>
    </comment>
  </commentList>
</comments>
</file>

<file path=xl/comments2.xml><?xml version="1.0" encoding="utf-8"?>
<comments xmlns="http://schemas.openxmlformats.org/spreadsheetml/2006/main">
  <authors>
    <author>Estefania</author>
  </authors>
  <commentList>
    <comment ref="C5" authorId="0" shapeId="0">
      <text>
        <r>
          <rPr>
            <b/>
            <sz val="12"/>
            <color indexed="81"/>
            <rFont val="Tahoma"/>
            <family val="2"/>
          </rPr>
          <t xml:space="preserve">Criterio de signos: 
</t>
        </r>
        <r>
          <rPr>
            <sz val="12"/>
            <color indexed="81"/>
            <rFont val="Tahoma"/>
            <family val="2"/>
          </rPr>
          <t>&lt;0: hacia el Este
&gt;0: hacia el Oeste</t>
        </r>
      </text>
    </comment>
  </commentList>
</comments>
</file>

<file path=xl/comments3.xml><?xml version="1.0" encoding="utf-8"?>
<comments xmlns="http://schemas.openxmlformats.org/spreadsheetml/2006/main">
  <authors>
    <author>Estefania</author>
  </authors>
  <commentList>
    <comment ref="C5" authorId="0" shapeId="0">
      <text>
        <r>
          <rPr>
            <b/>
            <sz val="12"/>
            <color indexed="81"/>
            <rFont val="Tahoma"/>
            <family val="2"/>
          </rPr>
          <t xml:space="preserve">Criterio de signos: 
</t>
        </r>
        <r>
          <rPr>
            <sz val="12"/>
            <color indexed="81"/>
            <rFont val="Tahoma"/>
            <family val="2"/>
          </rPr>
          <t>&lt;0: hacia el Este
&gt;0: hacia el Oeste</t>
        </r>
      </text>
    </comment>
  </commentList>
</comments>
</file>

<file path=xl/comments4.xml><?xml version="1.0" encoding="utf-8"?>
<comments xmlns="http://schemas.openxmlformats.org/spreadsheetml/2006/main">
  <authors>
    <author>Estefania</author>
  </authors>
  <commentList>
    <comment ref="S3" authorId="0" shapeId="0">
      <text>
        <r>
          <rPr>
            <sz val="10"/>
            <color indexed="81"/>
            <rFont val="Arial Narrow"/>
            <family val="2"/>
          </rPr>
          <t>Introducir dato: día juliano a representar</t>
        </r>
      </text>
    </comment>
  </commentList>
</comments>
</file>

<file path=xl/comments5.xml><?xml version="1.0" encoding="utf-8"?>
<comments xmlns="http://schemas.openxmlformats.org/spreadsheetml/2006/main">
  <authors>
    <author>Estefania</author>
  </authors>
  <commentList>
    <comment ref="S3" authorId="0" shapeId="0">
      <text>
        <r>
          <rPr>
            <sz val="10"/>
            <color indexed="81"/>
            <rFont val="Arial Narrow"/>
            <family val="2"/>
          </rPr>
          <t>Introducir dato: día juliano a representar</t>
        </r>
      </text>
    </comment>
  </commentList>
</comments>
</file>

<file path=xl/comments6.xml><?xml version="1.0" encoding="utf-8"?>
<comments xmlns="http://schemas.openxmlformats.org/spreadsheetml/2006/main">
  <authors>
    <author>Estefania</author>
  </authors>
  <commentList>
    <comment ref="S3" authorId="0" shapeId="0">
      <text>
        <r>
          <rPr>
            <sz val="10"/>
            <color indexed="81"/>
            <rFont val="Arial Narrow"/>
            <family val="2"/>
          </rPr>
          <t>Introducir dato: día juliano a representar</t>
        </r>
      </text>
    </comment>
  </commentList>
</comments>
</file>

<file path=xl/comments7.xml><?xml version="1.0" encoding="utf-8"?>
<comments xmlns="http://schemas.openxmlformats.org/spreadsheetml/2006/main">
  <authors>
    <author>Estefania</author>
  </authors>
  <commentList>
    <comment ref="S3" authorId="0" shapeId="0">
      <text>
        <r>
          <rPr>
            <sz val="10"/>
            <color indexed="81"/>
            <rFont val="Arial Narrow"/>
            <family val="2"/>
          </rPr>
          <t>Introducir dato: día juliano a representar</t>
        </r>
      </text>
    </comment>
  </commentList>
</comments>
</file>

<file path=xl/sharedStrings.xml><?xml version="1.0" encoding="utf-8"?>
<sst xmlns="http://schemas.openxmlformats.org/spreadsheetml/2006/main" count="358" uniqueCount="68">
  <si>
    <t>SVER</t>
  </si>
  <si>
    <t>(rad)</t>
  </si>
  <si>
    <t>SINV</t>
  </si>
  <si>
    <t>EQUI</t>
  </si>
  <si>
    <t>Elevación</t>
  </si>
  <si>
    <t>Acimut</t>
  </si>
  <si>
    <t>Latitud (º):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</si>
  <si>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</si>
  <si>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</si>
  <si>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</si>
  <si>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</si>
  <si>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</si>
  <si>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</si>
  <si>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</si>
  <si>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</si>
  <si>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</si>
  <si>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</si>
  <si>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</si>
  <si>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</si>
  <si>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(º)</t>
  </si>
  <si>
    <t>Latitud</t>
  </si>
  <si>
    <t>Longitud</t>
  </si>
  <si>
    <t>(h)</t>
  </si>
  <si>
    <t>TO</t>
  </si>
  <si>
    <t>ET</t>
  </si>
  <si>
    <t>AO</t>
  </si>
  <si>
    <t>(min)</t>
  </si>
  <si>
    <t>Madrid</t>
  </si>
  <si>
    <r>
      <t xml:space="preserve">Declinación, </t>
    </r>
    <r>
      <rPr>
        <b/>
        <sz val="12"/>
        <rFont val="Symbol"/>
        <family val="1"/>
        <charset val="2"/>
      </rPr>
      <t>d</t>
    </r>
    <r>
      <rPr>
        <b/>
        <sz val="12"/>
        <rFont val="Arial"/>
        <family val="2"/>
      </rPr>
      <t xml:space="preserve"> (º)</t>
    </r>
  </si>
  <si>
    <t>Día</t>
  </si>
  <si>
    <t>juliano</t>
  </si>
  <si>
    <r>
      <t xml:space="preserve">Salida del sol, </t>
    </r>
    <r>
      <rPr>
        <b/>
        <sz val="12"/>
        <rFont val="Symbol"/>
        <family val="1"/>
        <charset val="2"/>
      </rPr>
      <t>w</t>
    </r>
    <r>
      <rPr>
        <b/>
        <vertAlign val="subscript"/>
        <sz val="12"/>
        <rFont val="Arial"/>
        <family val="2"/>
      </rPr>
      <t>s</t>
    </r>
  </si>
  <si>
    <r>
      <t xml:space="preserve">Máxima </t>
    </r>
    <r>
      <rPr>
        <b/>
        <sz val="12"/>
        <rFont val="Symbol"/>
        <family val="1"/>
        <charset val="2"/>
      </rPr>
      <t>g</t>
    </r>
    <r>
      <rPr>
        <b/>
        <vertAlign val="subscript"/>
        <sz val="12"/>
        <rFont val="Arial"/>
        <family val="2"/>
      </rPr>
      <t>s</t>
    </r>
  </si>
  <si>
    <t>Lugar:</t>
  </si>
  <si>
    <t>S.Junio</t>
  </si>
  <si>
    <t>S.Diciembre</t>
  </si>
  <si>
    <t>Mes</t>
  </si>
  <si>
    <t>Día Juliano</t>
  </si>
  <si>
    <t>w = 8</t>
  </si>
  <si>
    <t>w = 7</t>
  </si>
  <si>
    <t>w = 6</t>
  </si>
  <si>
    <t>w = 5</t>
  </si>
  <si>
    <t>w = 4</t>
  </si>
  <si>
    <t>w = 3</t>
  </si>
  <si>
    <t>w = 2</t>
  </si>
  <si>
    <t>w = 1</t>
  </si>
  <si>
    <t>w = 0</t>
  </si>
  <si>
    <t>w = -1</t>
  </si>
  <si>
    <t>w = -2</t>
  </si>
  <si>
    <t>w = -3</t>
  </si>
  <si>
    <t>w = -4</t>
  </si>
  <si>
    <t>w = -5</t>
  </si>
  <si>
    <t>w = -6</t>
  </si>
  <si>
    <t>w = -7</t>
  </si>
  <si>
    <t>w = -8</t>
  </si>
  <si>
    <r>
      <rPr>
        <sz val="10"/>
        <rFont val="Symbol"/>
        <family val="1"/>
        <charset val="2"/>
      </rPr>
      <t>y</t>
    </r>
    <r>
      <rPr>
        <vertAlign val="subscript"/>
        <sz val="10"/>
        <rFont val="Arial"/>
        <family val="2"/>
      </rPr>
      <t>S</t>
    </r>
  </si>
  <si>
    <r>
      <rPr>
        <sz val="10"/>
        <rFont val="Symbol"/>
        <family val="1"/>
        <charset val="2"/>
      </rPr>
      <t>y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(º)</t>
    </r>
  </si>
  <si>
    <r>
      <rPr>
        <sz val="10"/>
        <rFont val="Symbol"/>
        <family val="1"/>
        <charset val="2"/>
      </rPr>
      <t>g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(º)</t>
    </r>
  </si>
  <si>
    <r>
      <rPr>
        <sz val="10"/>
        <rFont val="Symbol"/>
        <family val="1"/>
        <charset val="2"/>
      </rPr>
      <t>J</t>
    </r>
    <r>
      <rPr>
        <vertAlign val="subscript"/>
        <sz val="10"/>
        <rFont val="Arial"/>
        <family val="2"/>
      </rPr>
      <t>ZS</t>
    </r>
    <r>
      <rPr>
        <sz val="10"/>
        <rFont val="Arial"/>
        <family val="2"/>
      </rPr>
      <t xml:space="preserve"> (º)</t>
    </r>
  </si>
  <si>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 xml:space="preserve"> (rad)</t>
    </r>
  </si>
  <si>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 xml:space="preserve"> (º)</t>
    </r>
  </si>
  <si>
    <t>Día, dn=</t>
  </si>
  <si>
    <t>Declinación (º):</t>
  </si>
  <si>
    <t>Equinocios</t>
  </si>
  <si>
    <t>nº días/mes</t>
  </si>
  <si>
    <t>Ciudad de México</t>
  </si>
  <si>
    <t>Múnich</t>
  </si>
  <si>
    <t>Declinación (º)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</si>
</sst>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"/>
    <numFmt numFmtId="166" formatCode="_-* #,##0.00\ [$€]_-;\-* #,##0.00\ [$€]_-;_-* &quot;-&quot;??\ [$€]_-;_-@_-"/>
    <numFmt numFmtId="167" formatCode="0.000"/>
  </numFmts>
  <fonts count="3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0"/>
      <name val="Symbol"/>
      <family val="1"/>
      <charset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10"/>
      <color rgb="FF0070C0"/>
      <name val="Arial"/>
      <family val="2"/>
    </font>
    <font>
      <b/>
      <sz val="12"/>
      <name val="Symbol"/>
      <family val="1"/>
      <charset val="2"/>
    </font>
    <font>
      <sz val="11"/>
      <name val="Arial"/>
      <family val="2"/>
    </font>
    <font>
      <sz val="11"/>
      <color rgb="FF0070C0"/>
      <name val="Arial"/>
      <family val="2"/>
    </font>
    <font>
      <b/>
      <vertAlign val="subscript"/>
      <sz val="12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1"/>
      <color rgb="FF0070C0"/>
      <name val="Arial"/>
      <family val="2"/>
    </font>
    <font>
      <sz val="10"/>
      <color rgb="FFCC0099"/>
      <name val="Arial"/>
      <family val="2"/>
    </font>
    <font>
      <vertAlign val="subscript"/>
      <sz val="10"/>
      <name val="Arial"/>
      <family val="2"/>
    </font>
    <font>
      <b/>
      <sz val="12"/>
      <color rgb="FFCC0099"/>
      <name val="Arial"/>
      <family val="2"/>
    </font>
    <font>
      <b/>
      <sz val="10"/>
      <color rgb="FFFF0000"/>
      <name val="Arial"/>
      <family val="2"/>
    </font>
    <font>
      <sz val="10"/>
      <color indexed="81"/>
      <name val="Arial Narrow"/>
      <family val="2"/>
    </font>
    <font>
      <b/>
      <i/>
      <sz val="12"/>
      <color rgb="FF0070C0"/>
      <name val="Arial"/>
      <family val="2"/>
    </font>
    <font>
      <b/>
      <i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4" fillId="0" borderId="0"/>
  </cellStyleXfs>
  <cellXfs count="141">
    <xf numFmtId="0" fontId="0" fillId="0" borderId="0" xfId="0"/>
    <xf numFmtId="2" fontId="4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5" xfId="0" applyBorder="1"/>
    <xf numFmtId="2" fontId="4" fillId="0" borderId="5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7" xfId="0" applyFont="1" applyBorder="1"/>
    <xf numFmtId="0" fontId="9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/>
    <xf numFmtId="165" fontId="11" fillId="0" borderId="0" xfId="0" applyNumberFormat="1" applyFont="1"/>
    <xf numFmtId="0" fontId="8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/>
    <xf numFmtId="0" fontId="13" fillId="0" borderId="0" xfId="0" applyFont="1"/>
    <xf numFmtId="2" fontId="16" fillId="0" borderId="7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2" fontId="15" fillId="2" borderId="0" xfId="0" applyNumberFormat="1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2" fontId="15" fillId="2" borderId="2" xfId="0" applyNumberFormat="1" applyFont="1" applyFill="1" applyBorder="1" applyAlignment="1">
      <alignment horizontal="center"/>
    </xf>
    <xf numFmtId="1" fontId="24" fillId="2" borderId="3" xfId="0" applyNumberFormat="1" applyFont="1" applyFill="1" applyBorder="1" applyAlignment="1">
      <alignment horizontal="center"/>
    </xf>
    <xf numFmtId="1" fontId="24" fillId="2" borderId="4" xfId="0" applyNumberFormat="1" applyFont="1" applyFill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0" fontId="4" fillId="0" borderId="0" xfId="2"/>
    <xf numFmtId="2" fontId="4" fillId="0" borderId="0" xfId="2" applyNumberFormat="1"/>
    <xf numFmtId="0" fontId="4" fillId="0" borderId="3" xfId="2" applyBorder="1"/>
    <xf numFmtId="0" fontId="4" fillId="0" borderId="1" xfId="2" applyBorder="1"/>
    <xf numFmtId="2" fontId="4" fillId="0" borderId="3" xfId="2" applyNumberFormat="1" applyBorder="1"/>
    <xf numFmtId="0" fontId="4" fillId="3" borderId="0" xfId="2" applyFill="1"/>
    <xf numFmtId="2" fontId="4" fillId="3" borderId="0" xfId="2" applyNumberFormat="1" applyFill="1"/>
    <xf numFmtId="2" fontId="4" fillId="3" borderId="3" xfId="2" applyNumberFormat="1" applyFill="1" applyBorder="1"/>
    <xf numFmtId="0" fontId="4" fillId="3" borderId="3" xfId="2" applyFill="1" applyBorder="1"/>
    <xf numFmtId="2" fontId="25" fillId="4" borderId="1" xfId="2" applyNumberFormat="1" applyFont="1" applyFill="1" applyBorder="1" applyAlignment="1">
      <alignment horizontal="center"/>
    </xf>
    <xf numFmtId="2" fontId="25" fillId="4" borderId="0" xfId="2" applyNumberFormat="1" applyFont="1" applyFill="1" applyAlignment="1">
      <alignment horizontal="center"/>
    </xf>
    <xf numFmtId="2" fontId="4" fillId="3" borderId="0" xfId="2" applyNumberFormat="1" applyFill="1" applyAlignment="1">
      <alignment horizontal="center"/>
    </xf>
    <xf numFmtId="2" fontId="4" fillId="3" borderId="1" xfId="2" applyNumberFormat="1" applyFill="1" applyBorder="1" applyAlignment="1">
      <alignment horizontal="center"/>
    </xf>
    <xf numFmtId="0" fontId="4" fillId="3" borderId="3" xfId="2" applyFill="1" applyBorder="1" applyAlignment="1">
      <alignment horizontal="center"/>
    </xf>
    <xf numFmtId="0" fontId="4" fillId="3" borderId="1" xfId="2" applyFill="1" applyBorder="1" applyAlignment="1">
      <alignment horizontal="center"/>
    </xf>
    <xf numFmtId="2" fontId="4" fillId="0" borderId="0" xfId="2" applyNumberFormat="1" applyAlignment="1">
      <alignment horizontal="center"/>
    </xf>
    <xf numFmtId="2" fontId="4" fillId="0" borderId="1" xfId="2" applyNumberFormat="1" applyBorder="1" applyAlignment="1">
      <alignment horizontal="center"/>
    </xf>
    <xf numFmtId="0" fontId="4" fillId="0" borderId="3" xfId="2" applyBorder="1" applyAlignment="1">
      <alignment horizontal="center"/>
    </xf>
    <xf numFmtId="0" fontId="4" fillId="0" borderId="1" xfId="2" applyBorder="1" applyAlignment="1">
      <alignment horizontal="center"/>
    </xf>
    <xf numFmtId="1" fontId="4" fillId="0" borderId="4" xfId="2" applyNumberFormat="1" applyBorder="1" applyAlignment="1">
      <alignment horizontal="center"/>
    </xf>
    <xf numFmtId="1" fontId="4" fillId="0" borderId="3" xfId="2" applyNumberFormat="1" applyBorder="1" applyAlignment="1">
      <alignment horizontal="center"/>
    </xf>
    <xf numFmtId="1" fontId="4" fillId="3" borderId="3" xfId="2" applyNumberFormat="1" applyFill="1" applyBorder="1" applyAlignment="1">
      <alignment horizontal="center"/>
    </xf>
    <xf numFmtId="2" fontId="4" fillId="3" borderId="1" xfId="2" applyNumberFormat="1" applyFill="1" applyBorder="1" applyAlignment="1">
      <alignment horizontal="right"/>
    </xf>
    <xf numFmtId="2" fontId="4" fillId="0" borderId="7" xfId="2" applyNumberFormat="1" applyBorder="1" applyAlignment="1">
      <alignment horizontal="center"/>
    </xf>
    <xf numFmtId="2" fontId="4" fillId="3" borderId="7" xfId="2" applyNumberFormat="1" applyFill="1" applyBorder="1" applyAlignment="1">
      <alignment horizontal="center"/>
    </xf>
    <xf numFmtId="1" fontId="4" fillId="0" borderId="0" xfId="2" applyNumberFormat="1"/>
    <xf numFmtId="0" fontId="4" fillId="0" borderId="7" xfId="2" applyBorder="1" applyAlignment="1">
      <alignment horizontal="center"/>
    </xf>
    <xf numFmtId="0" fontId="2" fillId="0" borderId="3" xfId="2" applyFont="1" applyBorder="1" applyAlignment="1">
      <alignment horizontal="center"/>
    </xf>
    <xf numFmtId="2" fontId="4" fillId="0" borderId="3" xfId="2" applyNumberFormat="1" applyBorder="1" applyAlignment="1">
      <alignment horizontal="center"/>
    </xf>
    <xf numFmtId="2" fontId="4" fillId="3" borderId="3" xfId="2" applyNumberFormat="1" applyFill="1" applyBorder="1" applyAlignment="1">
      <alignment horizontal="center"/>
    </xf>
    <xf numFmtId="0" fontId="2" fillId="3" borderId="3" xfId="2" applyFont="1" applyFill="1" applyBorder="1" applyAlignment="1">
      <alignment horizontal="center"/>
    </xf>
    <xf numFmtId="0" fontId="4" fillId="0" borderId="5" xfId="2" applyBorder="1"/>
    <xf numFmtId="0" fontId="12" fillId="0" borderId="11" xfId="2" applyFont="1" applyBorder="1" applyAlignment="1">
      <alignment horizontal="center"/>
    </xf>
    <xf numFmtId="0" fontId="4" fillId="0" borderId="6" xfId="2" applyBorder="1" applyAlignment="1">
      <alignment horizontal="center"/>
    </xf>
    <xf numFmtId="0" fontId="4" fillId="0" borderId="4" xfId="2" applyBorder="1" applyAlignment="1">
      <alignment horizontal="center"/>
    </xf>
    <xf numFmtId="0" fontId="27" fillId="4" borderId="5" xfId="2" applyFont="1" applyFill="1" applyBorder="1" applyAlignment="1">
      <alignment horizontal="center"/>
    </xf>
    <xf numFmtId="0" fontId="4" fillId="0" borderId="5" xfId="2" applyBorder="1" applyAlignment="1">
      <alignment horizontal="center"/>
    </xf>
    <xf numFmtId="0" fontId="4" fillId="0" borderId="7" xfId="2" applyBorder="1"/>
    <xf numFmtId="164" fontId="4" fillId="0" borderId="0" xfId="2" applyNumberFormat="1" applyAlignment="1">
      <alignment horizontal="center"/>
    </xf>
    <xf numFmtId="0" fontId="2" fillId="0" borderId="3" xfId="2" applyFont="1" applyBorder="1" applyAlignment="1">
      <alignment horizontal="right"/>
    </xf>
    <xf numFmtId="0" fontId="2" fillId="0" borderId="0" xfId="2" applyFont="1" applyAlignment="1">
      <alignment horizontal="center"/>
    </xf>
    <xf numFmtId="164" fontId="4" fillId="0" borderId="1" xfId="2" applyNumberFormat="1" applyBorder="1" applyAlignment="1">
      <alignment horizontal="center"/>
    </xf>
    <xf numFmtId="0" fontId="2" fillId="0" borderId="1" xfId="2" applyFont="1" applyBorder="1" applyAlignment="1">
      <alignment horizontal="right"/>
    </xf>
    <xf numFmtId="0" fontId="2" fillId="0" borderId="1" xfId="2" applyFont="1" applyBorder="1"/>
    <xf numFmtId="0" fontId="2" fillId="0" borderId="3" xfId="2" applyFont="1" applyBorder="1"/>
    <xf numFmtId="0" fontId="4" fillId="0" borderId="2" xfId="2" applyBorder="1"/>
    <xf numFmtId="0" fontId="4" fillId="0" borderId="0" xfId="2" applyAlignment="1">
      <alignment horizontal="right"/>
    </xf>
    <xf numFmtId="0" fontId="28" fillId="0" borderId="7" xfId="2" applyFont="1" applyBorder="1" applyAlignment="1">
      <alignment horizontal="right"/>
    </xf>
    <xf numFmtId="0" fontId="2" fillId="0" borderId="0" xfId="2" applyFont="1"/>
    <xf numFmtId="0" fontId="6" fillId="0" borderId="7" xfId="0" applyFont="1" applyBorder="1" applyAlignment="1">
      <alignment horizontal="left"/>
    </xf>
    <xf numFmtId="164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8" fillId="0" borderId="0" xfId="2" applyFont="1"/>
    <xf numFmtId="2" fontId="6" fillId="2" borderId="0" xfId="0" applyNumberFormat="1" applyFont="1" applyFill="1" applyAlignment="1">
      <alignment horizontal="left"/>
    </xf>
    <xf numFmtId="2" fontId="20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16" fillId="0" borderId="17" xfId="0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7" fontId="14" fillId="0" borderId="0" xfId="0" applyNumberFormat="1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0" fontId="8" fillId="0" borderId="0" xfId="0" applyFont="1"/>
    <xf numFmtId="0" fontId="3" fillId="0" borderId="15" xfId="0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0" fontId="31" fillId="5" borderId="0" xfId="2" applyFont="1" applyFill="1" applyAlignment="1" applyProtection="1">
      <alignment horizontal="center"/>
      <protection locked="0"/>
    </xf>
    <xf numFmtId="1" fontId="15" fillId="6" borderId="17" xfId="0" applyNumberFormat="1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0" borderId="0" xfId="2" applyFont="1" applyAlignment="1">
      <alignment horizontal="right"/>
    </xf>
    <xf numFmtId="1" fontId="15" fillId="0" borderId="17" xfId="0" applyNumberFormat="1" applyFont="1" applyBorder="1" applyAlignment="1">
      <alignment horizontal="center"/>
    </xf>
    <xf numFmtId="0" fontId="15" fillId="6" borderId="9" xfId="0" applyFont="1" applyFill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1" xfId="0" applyFont="1" applyBorder="1"/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8" fillId="2" borderId="7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6" fillId="5" borderId="0" xfId="2" applyNumberFormat="1" applyFont="1" applyFill="1" applyAlignment="1" applyProtection="1">
      <alignment horizontal="center"/>
      <protection locked="0"/>
    </xf>
  </cellXfs>
  <cellStyles count="3">
    <cellStyle name="Euro" xfId="1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</a:t>
            </a:r>
          </a:p>
        </c:rich>
      </c:tx>
      <c:layout>
        <c:manualLayout>
          <c:xMode val="edge"/>
          <c:yMode val="edge"/>
          <c:x val="6.1943276507912232E-2"/>
          <c:y val="3.6693317181506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4784697642E-2"/>
          <c:y val="0.10325059708788119"/>
          <c:w val="0.87085150599556327"/>
          <c:h val="0.722754020855137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'Ej-2a_TraySol_Mad'!$D$7</c:f>
              <c:strCache>
                <c:ptCount val="1"/>
                <c:pt idx="0">
                  <c:v>SVER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'Ej-2a_TraySol_Mad'!$E$10:$E$130</c:f>
              <c:numCache>
                <c:formatCode>0.00</c:formatCode>
                <c:ptCount val="121"/>
                <c:pt idx="0">
                  <c:v>-127.07950433003251</c:v>
                </c:pt>
                <c:pt idx="1">
                  <c:v>-126.39161598949117</c:v>
                </c:pt>
                <c:pt idx="2">
                  <c:v>-125.70917567718031</c:v>
                </c:pt>
                <c:pt idx="3">
                  <c:v>-125.03205968945294</c:v>
                </c:pt>
                <c:pt idx="4">
                  <c:v>-124.36014235199674</c:v>
                </c:pt>
                <c:pt idx="5">
                  <c:v>-123.69329614626908</c:v>
                </c:pt>
                <c:pt idx="6">
                  <c:v>-123.03139182355487</c:v>
                </c:pt>
                <c:pt idx="7">
                  <c:v>-122.37429850686038</c:v>
                </c:pt>
                <c:pt idx="8">
                  <c:v>-121.72188378086094</c:v>
                </c:pt>
                <c:pt idx="9">
                  <c:v>-121.07401377012177</c:v>
                </c:pt>
                <c:pt idx="10">
                  <c:v>-120.43055320580943</c:v>
                </c:pt>
                <c:pt idx="11">
                  <c:v>-119.79136548110462</c:v>
                </c:pt>
                <c:pt idx="12">
                  <c:v>-119.15631269551814</c:v>
                </c:pt>
                <c:pt idx="13">
                  <c:v>-118.52525568830031</c:v>
                </c:pt>
                <c:pt idx="14">
                  <c:v>-117.89805406111864</c:v>
                </c:pt>
                <c:pt idx="15">
                  <c:v>-117.27456619016218</c:v>
                </c:pt>
                <c:pt idx="16">
                  <c:v>-116.65464922781041</c:v>
                </c:pt>
                <c:pt idx="17">
                  <c:v>-116.03815909398328</c:v>
                </c:pt>
                <c:pt idx="18">
                  <c:v>-115.42495045726469</c:v>
                </c:pt>
                <c:pt idx="19">
                  <c:v>-114.81487670586623</c:v>
                </c:pt>
                <c:pt idx="20">
                  <c:v>-114.20778990846931</c:v>
                </c:pt>
                <c:pt idx="21">
                  <c:v>-113.60354076495409</c:v>
                </c:pt>
                <c:pt idx="22">
                  <c:v>-113.00197854699236</c:v>
                </c:pt>
                <c:pt idx="23">
                  <c:v>-112.40295102844676</c:v>
                </c:pt>
                <c:pt idx="24">
                  <c:v>-111.8063044054838</c:v>
                </c:pt>
                <c:pt idx="25">
                  <c:v>-111.21188320626956</c:v>
                </c:pt>
                <c:pt idx="26">
                  <c:v>-110.61953019007791</c:v>
                </c:pt>
                <c:pt idx="27">
                  <c:v>-110.02908623559742</c:v>
                </c:pt>
                <c:pt idx="28">
                  <c:v>-109.44039021818013</c:v>
                </c:pt>
                <c:pt idx="29">
                  <c:v>-108.8532788757267</c:v>
                </c:pt>
                <c:pt idx="30">
                  <c:v>-108.26758666285335</c:v>
                </c:pt>
                <c:pt idx="31">
                  <c:v>-107.68314559293212</c:v>
                </c:pt>
                <c:pt idx="32">
                  <c:v>-107.09978506754079</c:v>
                </c:pt>
                <c:pt idx="33">
                  <c:v>-106.51733169279753</c:v>
                </c:pt>
                <c:pt idx="34">
                  <c:v>-105.93560908199277</c:v>
                </c:pt>
                <c:pt idx="35">
                  <c:v>-105.35443764386193</c:v>
                </c:pt>
                <c:pt idx="36">
                  <c:v>-104.77363435577023</c:v>
                </c:pt>
                <c:pt idx="37">
                  <c:v>-104.19301252100308</c:v>
                </c:pt>
                <c:pt idx="38">
                  <c:v>-103.61238150927194</c:v>
                </c:pt>
                <c:pt idx="39">
                  <c:v>-103.03154647945588</c:v>
                </c:pt>
                <c:pt idx="40">
                  <c:v>-102.45030808350309</c:v>
                </c:pt>
                <c:pt idx="41">
                  <c:v>-101.86846215031299</c:v>
                </c:pt>
                <c:pt idx="42">
                  <c:v>-101.28579934830731</c:v>
                </c:pt>
                <c:pt idx="43">
                  <c:v>-100.70210482527884</c:v>
                </c:pt>
                <c:pt idx="44">
                  <c:v>-100.11715782397576</c:v>
                </c:pt>
                <c:pt idx="45">
                  <c:v>-99.530731271739242</c:v>
                </c:pt>
                <c:pt idx="46">
                  <c:v>-98.942591342359194</c:v>
                </c:pt>
                <c:pt idx="47">
                  <c:v>-98.352496988149085</c:v>
                </c:pt>
                <c:pt idx="48">
                  <c:v>-97.760199440061896</c:v>
                </c:pt>
                <c:pt idx="49">
                  <c:v>-97.165441673475613</c:v>
                </c:pt>
                <c:pt idx="50">
                  <c:v>-96.567957837067993</c:v>
                </c:pt>
                <c:pt idx="51">
                  <c:v>-95.967472641972577</c:v>
                </c:pt>
                <c:pt idx="52">
                  <c:v>-95.363700708161915</c:v>
                </c:pt>
                <c:pt idx="53">
                  <c:v>-94.756345864738122</c:v>
                </c:pt>
                <c:pt idx="54">
                  <c:v>-94.145100400520647</c:v>
                </c:pt>
                <c:pt idx="55">
                  <c:v>-93.529644261010446</c:v>
                </c:pt>
                <c:pt idx="56">
                  <c:v>-92.909644187470334</c:v>
                </c:pt>
                <c:pt idx="57">
                  <c:v>-92.284752793497262</c:v>
                </c:pt>
                <c:pt idx="58">
                  <c:v>-91.654607574068137</c:v>
                </c:pt>
                <c:pt idx="59">
                  <c:v>-91.018829841617659</c:v>
                </c:pt>
                <c:pt idx="60">
                  <c:v>-90.377023583250988</c:v>
                </c:pt>
                <c:pt idx="61">
                  <c:v>-89.728774232707508</c:v>
                </c:pt>
                <c:pt idx="62">
                  <c:v>-89.073647350170745</c:v>
                </c:pt>
                <c:pt idx="63">
                  <c:v>-88.411187202468184</c:v>
                </c:pt>
                <c:pt idx="64">
                  <c:v>-87.740915235618701</c:v>
                </c:pt>
                <c:pt idx="65">
                  <c:v>-87.062328431072615</c:v>
                </c:pt>
                <c:pt idx="66">
                  <c:v>-86.374897536349408</c:v>
                </c:pt>
                <c:pt idx="67">
                  <c:v>-85.678065160117939</c:v>
                </c:pt>
                <c:pt idx="68">
                  <c:v>-84.971243721094154</c:v>
                </c:pt>
                <c:pt idx="69">
                  <c:v>-84.253813239459788</c:v>
                </c:pt>
                <c:pt idx="70">
                  <c:v>-83.52511895885236</c:v>
                </c:pt>
                <c:pt idx="71">
                  <c:v>-82.78446878636214</c:v>
                </c:pt>
                <c:pt idx="72">
                  <c:v>-82.031130537426307</c:v>
                </c:pt>
                <c:pt idx="73">
                  <c:v>-81.264328972071112</c:v>
                </c:pt>
                <c:pt idx="74">
                  <c:v>-80.48324260867372</c:v>
                </c:pt>
                <c:pt idx="75">
                  <c:v>-79.687000301357344</c:v>
                </c:pt>
                <c:pt idx="76">
                  <c:v>-78.874677567385334</c:v>
                </c:pt>
                <c:pt idx="77">
                  <c:v>-78.045292651586038</c:v>
                </c:pt>
                <c:pt idx="78">
                  <c:v>-77.19780231606012</c:v>
                </c:pt>
                <c:pt idx="79">
                  <c:v>-76.331097345368562</c:v>
                </c:pt>
                <c:pt idx="80">
                  <c:v>-75.443997760291168</c:v>
                </c:pt>
                <c:pt idx="81">
                  <c:v>-74.535247737357906</c:v>
                </c:pt>
                <c:pt idx="82">
                  <c:v>-73.603510237032765</c:v>
                </c:pt>
                <c:pt idx="83">
                  <c:v>-72.647361351095554</c:v>
                </c:pt>
                <c:pt idx="84">
                  <c:v>-71.665284389952888</c:v>
                </c:pt>
                <c:pt idx="85">
                  <c:v>-70.655663743959181</c:v>
                </c:pt>
                <c:pt idx="86">
                  <c:v>-69.61677857013305</c:v>
                </c:pt>
                <c:pt idx="87">
                  <c:v>-68.546796377868276</c:v>
                </c:pt>
                <c:pt idx="88">
                  <c:v>-67.443766615499143</c:v>
                </c:pt>
                <c:pt idx="89">
                  <c:v>-66.305614395240937</c:v>
                </c:pt>
                <c:pt idx="90">
                  <c:v>-65.13013453864275</c:v>
                </c:pt>
                <c:pt idx="91">
                  <c:v>-63.914986180046505</c:v>
                </c:pt>
                <c:pt idx="92">
                  <c:v>-62.65768823360041</c:v>
                </c:pt>
                <c:pt idx="93">
                  <c:v>-61.355616112198412</c:v>
                </c:pt>
                <c:pt idx="94">
                  <c:v>-60.006000186366123</c:v>
                </c:pt>
                <c:pt idx="95">
                  <c:v>-58.605926589384609</c:v>
                </c:pt>
                <c:pt idx="96">
                  <c:v>-57.152341113033863</c:v>
                </c:pt>
                <c:pt idx="97">
                  <c:v>-55.642057096282635</c:v>
                </c:pt>
                <c:pt idx="98">
                  <c:v>-54.071768385162081</c:v>
                </c:pt>
                <c:pt idx="99">
                  <c:v>-52.438068631019092</c:v>
                </c:pt>
                <c:pt idx="100">
                  <c:v>-50.737478387006291</c:v>
                </c:pt>
                <c:pt idx="101">
                  <c:v>-48.966481643407519</c:v>
                </c:pt>
                <c:pt idx="102">
                  <c:v>-47.12157358728912</c:v>
                </c:pt>
                <c:pt idx="103">
                  <c:v>-45.199321446446717</c:v>
                </c:pt>
                <c:pt idx="104">
                  <c:v>-43.196440234664735</c:v>
                </c:pt>
                <c:pt idx="105">
                  <c:v>-41.109884994402513</c:v>
                </c:pt>
                <c:pt idx="106">
                  <c:v>-38.936960661463367</c:v>
                </c:pt>
                <c:pt idx="107">
                  <c:v>-36.675449873929125</c:v>
                </c:pt>
                <c:pt idx="108">
                  <c:v>-34.323757837776064</c:v>
                </c:pt>
                <c:pt idx="109">
                  <c:v>-31.881071688261308</c:v>
                </c:pt>
                <c:pt idx="110">
                  <c:v>-29.347529640723778</c:v>
                </c:pt>
                <c:pt idx="111">
                  <c:v>-26.724392678511297</c:v>
                </c:pt>
                <c:pt idx="112">
                  <c:v>-24.01420876635963</c:v>
                </c:pt>
                <c:pt idx="113">
                  <c:v>-21.220956933774321</c:v>
                </c:pt>
                <c:pt idx="114">
                  <c:v>-18.350156518646141</c:v>
                </c:pt>
                <c:pt idx="115">
                  <c:v>-15.40892597593769</c:v>
                </c:pt>
                <c:pt idx="116">
                  <c:v>-12.40597653030861</c:v>
                </c:pt>
                <c:pt idx="117">
                  <c:v>-9.3515290370814697</c:v>
                </c:pt>
                <c:pt idx="118">
                  <c:v>-6.257147848211539</c:v>
                </c:pt>
                <c:pt idx="119">
                  <c:v>-3.13549292226784</c:v>
                </c:pt>
                <c:pt idx="120">
                  <c:v>-3.1378138733201516E-3</c:v>
                </c:pt>
              </c:numCache>
            </c:numRef>
          </c:xVal>
          <c:yVal>
            <c:numRef>
              <c:f>'Ej-2a_TraySol_Mad'!$D$10:$D$130</c:f>
              <c:numCache>
                <c:formatCode>0.00</c:formatCode>
                <c:ptCount val="121"/>
                <c:pt idx="0">
                  <c:v>-5.2141306275678403</c:v>
                </c:pt>
                <c:pt idx="1">
                  <c:v>-4.6042838564919464</c:v>
                </c:pt>
                <c:pt idx="2">
                  <c:v>-3.989038020649275</c:v>
                </c:pt>
                <c:pt idx="3">
                  <c:v>-3.3685225065867854</c:v>
                </c:pt>
                <c:pt idx="4">
                  <c:v>-2.7428644326159741</c:v>
                </c:pt>
                <c:pt idx="5">
                  <c:v>-2.1121886681613375</c:v>
                </c:pt>
                <c:pt idx="6">
                  <c:v>-1.4766178567556807</c:v>
                </c:pt>
                <c:pt idx="7">
                  <c:v>-0.83627244240523169</c:v>
                </c:pt>
                <c:pt idx="8">
                  <c:v>-0.19127069906508609</c:v>
                </c:pt>
                <c:pt idx="9">
                  <c:v>0.45827123701879202</c:v>
                </c:pt>
                <c:pt idx="10">
                  <c:v>1.1122393323278743</c:v>
                </c:pt>
                <c:pt idx="11">
                  <c:v>1.7705216186599841</c:v>
                </c:pt>
                <c:pt idx="12">
                  <c:v>2.4330081534840104</c:v>
                </c:pt>
                <c:pt idx="13">
                  <c:v>3.0995909782386946</c:v>
                </c:pt>
                <c:pt idx="14">
                  <c:v>3.7701640747393554</c:v>
                </c:pt>
                <c:pt idx="15">
                  <c:v>4.444623319840403</c:v>
                </c:pt>
                <c:pt idx="16">
                  <c:v>5.1228664384874918</c:v>
                </c:pt>
                <c:pt idx="17">
                  <c:v>5.8047929552779323</c:v>
                </c:pt>
                <c:pt idx="18">
                  <c:v>6.4903041446345497</c:v>
                </c:pt>
                <c:pt idx="19">
                  <c:v>7.179302979683797</c:v>
                </c:pt>
                <c:pt idx="20">
                  <c:v>7.8716940799156419</c:v>
                </c:pt>
                <c:pt idx="21">
                  <c:v>8.5673836576896036</c:v>
                </c:pt>
                <c:pt idx="22">
                  <c:v>9.2662794636380994</c:v>
                </c:pt>
                <c:pt idx="23">
                  <c:v>9.9682907310052542</c:v>
                </c:pt>
                <c:pt idx="24">
                  <c:v>10.673328118947481</c:v>
                </c:pt>
                <c:pt idx="25">
                  <c:v>11.381303654808576</c:v>
                </c:pt>
                <c:pt idx="26">
                  <c:v>12.092130675370186</c:v>
                </c:pt>
                <c:pt idx="27">
                  <c:v>12.80572376706624</c:v>
                </c:pt>
                <c:pt idx="28">
                  <c:v>13.521998705136923</c:v>
                </c:pt>
                <c:pt idx="29">
                  <c:v>14.2408723916855</c:v>
                </c:pt>
                <c:pt idx="30">
                  <c:v>14.962262792588504</c:v>
                </c:pt>
                <c:pt idx="31">
                  <c:v>15.686088873196823</c:v>
                </c:pt>
                <c:pt idx="32">
                  <c:v>16.412270532751563</c:v>
                </c:pt>
                <c:pt idx="33">
                  <c:v>17.140728537425304</c:v>
                </c:pt>
                <c:pt idx="34">
                  <c:v>17.871384451884524</c:v>
                </c:pt>
                <c:pt idx="35">
                  <c:v>18.604160569254631</c:v>
                </c:pt>
                <c:pt idx="36">
                  <c:v>19.338979839352987</c:v>
                </c:pt>
                <c:pt idx="37">
                  <c:v>20.075765795038805</c:v>
                </c:pt>
                <c:pt idx="38">
                  <c:v>20.814442476512085</c:v>
                </c:pt>
                <c:pt idx="39">
                  <c:v>21.554934353374108</c:v>
                </c:pt>
                <c:pt idx="40">
                  <c:v>22.297166244243073</c:v>
                </c:pt>
                <c:pt idx="41">
                  <c:v>23.041063233696789</c:v>
                </c:pt>
                <c:pt idx="42">
                  <c:v>23.786550586291412</c:v>
                </c:pt>
                <c:pt idx="43">
                  <c:v>24.533553657380722</c:v>
                </c:pt>
                <c:pt idx="44">
                  <c:v>25.281997800433359</c:v>
                </c:pt>
                <c:pt idx="45">
                  <c:v>26.031808270516386</c:v>
                </c:pt>
                <c:pt idx="46">
                  <c:v>26.782910123582177</c:v>
                </c:pt>
                <c:pt idx="47">
                  <c:v>27.535228111160286</c:v>
                </c:pt>
                <c:pt idx="48">
                  <c:v>28.288686570018896</c:v>
                </c:pt>
                <c:pt idx="49">
                  <c:v>29.04320930631841</c:v>
                </c:pt>
                <c:pt idx="50">
                  <c:v>29.798719473734465</c:v>
                </c:pt>
                <c:pt idx="51">
                  <c:v>30.555139444977662</c:v>
                </c:pt>
                <c:pt idx="52">
                  <c:v>31.312390676082131</c:v>
                </c:pt>
                <c:pt idx="53">
                  <c:v>32.070393562774335</c:v>
                </c:pt>
                <c:pt idx="54">
                  <c:v>32.82906728816711</c:v>
                </c:pt>
                <c:pt idx="55">
                  <c:v>33.588329660949263</c:v>
                </c:pt>
                <c:pt idx="56">
                  <c:v>34.348096943160314</c:v>
                </c:pt>
                <c:pt idx="57">
                  <c:v>35.108283666549099</c:v>
                </c:pt>
                <c:pt idx="58">
                  <c:v>35.868802436415365</c:v>
                </c:pt>
                <c:pt idx="59">
                  <c:v>36.629563721722946</c:v>
                </c:pt>
                <c:pt idx="60">
                  <c:v>37.390475630150441</c:v>
                </c:pt>
                <c:pt idx="61">
                  <c:v>38.151443666609623</c:v>
                </c:pt>
                <c:pt idx="62">
                  <c:v>38.912370473611482</c:v>
                </c:pt>
                <c:pt idx="63">
                  <c:v>39.673155551692474</c:v>
                </c:pt>
                <c:pt idx="64">
                  <c:v>40.43369495792885</c:v>
                </c:pt>
                <c:pt idx="65">
                  <c:v>41.193880980361769</c:v>
                </c:pt>
                <c:pt idx="66">
                  <c:v>41.953601785927432</c:v>
                </c:pt>
                <c:pt idx="67">
                  <c:v>42.712741039235873</c:v>
                </c:pt>
                <c:pt idx="68">
                  <c:v>43.471177489260761</c:v>
                </c:pt>
                <c:pt idx="69">
                  <c:v>44.228784520695029</c:v>
                </c:pt>
                <c:pt idx="70">
                  <c:v>44.98542966638378</c:v>
                </c:pt>
                <c:pt idx="71">
                  <c:v>45.740974076869669</c:v>
                </c:pt>
                <c:pt idx="72">
                  <c:v>46.495271942668708</c:v>
                </c:pt>
                <c:pt idx="73">
                  <c:v>47.248169864437365</c:v>
                </c:pt>
                <c:pt idx="74">
                  <c:v>47.999506165689652</c:v>
                </c:pt>
                <c:pt idx="75">
                  <c:v>48.749110142173883</c:v>
                </c:pt>
                <c:pt idx="76">
                  <c:v>49.496801241421842</c:v>
                </c:pt>
                <c:pt idx="77">
                  <c:v>50.242388165336067</c:v>
                </c:pt>
                <c:pt idx="78">
                  <c:v>50.985667887985556</c:v>
                </c:pt>
                <c:pt idx="79">
                  <c:v>51.726424580038426</c:v>
                </c:pt>
                <c:pt idx="80">
                  <c:v>52.464428430478058</c:v>
                </c:pt>
                <c:pt idx="81">
                  <c:v>53.19943435543555</c:v>
                </c:pt>
                <c:pt idx="82">
                  <c:v>53.931180583142002</c:v>
                </c:pt>
                <c:pt idx="83">
                  <c:v>54.659387103181146</c:v>
                </c:pt>
                <c:pt idx="84">
                  <c:v>55.383753967437343</c:v>
                </c:pt>
                <c:pt idx="85">
                  <c:v>56.103959429432564</c:v>
                </c:pt>
                <c:pt idx="86">
                  <c:v>56.819657908188425</c:v>
                </c:pt>
                <c:pt idx="87">
                  <c:v>57.530477762419785</c:v>
                </c:pt>
                <c:pt idx="88">
                  <c:v>58.2360188608763</c:v>
                </c:pt>
                <c:pt idx="89">
                  <c:v>58.9358499351424</c:v>
                </c:pt>
                <c:pt idx="90">
                  <c:v>59.629505702376541</c:v>
                </c:pt>
                <c:pt idx="91">
                  <c:v>60.316483747562017</c:v>
                </c:pt>
                <c:pt idx="92">
                  <c:v>60.996241158164715</c:v>
                </c:pt>
                <c:pt idx="93">
                  <c:v>61.668190909043432</c:v>
                </c:pt>
                <c:pt idx="94">
                  <c:v>62.331698002516966</c:v>
                </c:pt>
                <c:pt idx="95">
                  <c:v>62.986075378252323</c:v>
                </c:pt>
                <c:pt idx="96">
                  <c:v>63.630579620800368</c:v>
                </c:pt>
                <c:pt idx="97">
                  <c:v>64.264406509984042</c:v>
                </c:pt>
                <c:pt idx="98">
                  <c:v>64.886686481846823</c:v>
                </c:pt>
                <c:pt idx="99">
                  <c:v>65.496480096458143</c:v>
                </c:pt>
                <c:pt idx="100">
                  <c:v>66.092773644480275</c:v>
                </c:pt>
                <c:pt idx="101">
                  <c:v>66.674475067810377</c:v>
                </c:pt>
                <c:pt idx="102">
                  <c:v>67.240410421222862</c:v>
                </c:pt>
                <c:pt idx="103">
                  <c:v>67.789321161505086</c:v>
                </c:pt>
                <c:pt idx="104">
                  <c:v>68.319862616757675</c:v>
                </c:pt>
                <c:pt idx="105">
                  <c:v>68.830604058393178</c:v>
                </c:pt>
                <c:pt idx="106">
                  <c:v>69.320030866760547</c:v>
                </c:pt>
                <c:pt idx="107">
                  <c:v>69.78654934027243</c:v>
                </c:pt>
                <c:pt idx="108">
                  <c:v>70.22849473611609</c:v>
                </c:pt>
                <c:pt idx="109">
                  <c:v>70.644143133345494</c:v>
                </c:pt>
                <c:pt idx="110">
                  <c:v>71.031727658781108</c:v>
                </c:pt>
                <c:pt idx="111">
                  <c:v>71.389459493909868</c:v>
                </c:pt>
                <c:pt idx="112">
                  <c:v>71.715553870047017</c:v>
                </c:pt>
                <c:pt idx="113">
                  <c:v>72.00826094919627</c:v>
                </c:pt>
                <c:pt idx="114">
                  <c:v>72.265901081663372</c:v>
                </c:pt>
                <c:pt idx="115">
                  <c:v>72.486903449432646</c:v>
                </c:pt>
                <c:pt idx="116">
                  <c:v>72.669846590265536</c:v>
                </c:pt>
                <c:pt idx="117">
                  <c:v>72.813498817786282</c:v>
                </c:pt>
                <c:pt idx="118">
                  <c:v>72.916856189892371</c:v>
                </c:pt>
                <c:pt idx="119">
                  <c:v>72.979175516053232</c:v>
                </c:pt>
                <c:pt idx="12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D9-4DC7-9AA1-66791E1E45C3}"/>
            </c:ext>
          </c:extLst>
        </c:ser>
        <c:ser>
          <c:idx val="2"/>
          <c:order val="1"/>
          <c:tx>
            <c:strRef>
              <c:f>'Ej-2a_TraySol_Mad'!$J$7</c:f>
              <c:strCache>
                <c:ptCount val="1"/>
                <c:pt idx="0">
                  <c:v>EQUI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'Ej-2a_TraySol_Mad'!$K$10:$K$130</c:f>
              <c:numCache>
                <c:formatCode>0.00</c:formatCode>
                <c:ptCount val="121"/>
                <c:pt idx="0">
                  <c:v>-110.5347311092675</c:v>
                </c:pt>
                <c:pt idx="1">
                  <c:v>-109.77995303395922</c:v>
                </c:pt>
                <c:pt idx="2">
                  <c:v>-109.03262639979074</c:v>
                </c:pt>
                <c:pt idx="3">
                  <c:v>-108.29244332013069</c:v>
                </c:pt>
                <c:pt idx="4">
                  <c:v>-107.55910084728458</c:v>
                </c:pt>
                <c:pt idx="5">
                  <c:v>-106.83230089801437</c:v>
                </c:pt>
                <c:pt idx="6">
                  <c:v>-106.11175016072789</c:v>
                </c:pt>
                <c:pt idx="7">
                  <c:v>-105.397159986521</c:v>
                </c:pt>
                <c:pt idx="8">
                  <c:v>-104.68824626604145</c:v>
                </c:pt>
                <c:pt idx="9">
                  <c:v>-103.98472929394615</c:v>
                </c:pt>
                <c:pt idx="10">
                  <c:v>-103.28633362254061</c:v>
                </c:pt>
                <c:pt idx="11">
                  <c:v>-102.59278790602195</c:v>
                </c:pt>
                <c:pt idx="12">
                  <c:v>-101.90382473659277</c:v>
                </c:pt>
                <c:pt idx="13">
                  <c:v>-101.21918047357285</c:v>
                </c:pt>
                <c:pt idx="14">
                  <c:v>-100.53859506650633</c:v>
                </c:pt>
                <c:pt idx="15">
                  <c:v>-99.861811873146223</c:v>
                </c:pt>
                <c:pt idx="16">
                  <c:v>-99.188577473090547</c:v>
                </c:pt>
                <c:pt idx="17">
                  <c:v>-98.518641477749568</c:v>
                </c:pt>
                <c:pt idx="18">
                  <c:v>-97.851756337235074</c:v>
                </c:pt>
                <c:pt idx="19">
                  <c:v>-97.187677144685907</c:v>
                </c:pt>
                <c:pt idx="20">
                  <c:v>-96.526161438472258</c:v>
                </c:pt>
                <c:pt idx="21">
                  <c:v>-95.866969002659062</c:v>
                </c:pt>
                <c:pt idx="22">
                  <c:v>-95.209861666052589</c:v>
                </c:pt>
                <c:pt idx="23">
                  <c:v>-94.55460310010433</c:v>
                </c:pt>
                <c:pt idx="24">
                  <c:v>-93.900958615902852</c:v>
                </c:pt>
                <c:pt idx="25">
                  <c:v>-93.248694960445661</c:v>
                </c:pt>
                <c:pt idx="26">
                  <c:v>-92.597580112350315</c:v>
                </c:pt>
                <c:pt idx="27">
                  <c:v>-91.947383077135214</c:v>
                </c:pt>
                <c:pt idx="28">
                  <c:v>-91.29787368217724</c:v>
                </c:pt>
                <c:pt idx="29">
                  <c:v>-90.648822371433553</c:v>
                </c:pt>
                <c:pt idx="30">
                  <c:v>-90</c:v>
                </c:pt>
                <c:pt idx="31">
                  <c:v>-89.351177628566433</c:v>
                </c:pt>
                <c:pt idx="32">
                  <c:v>-88.70212631782276</c:v>
                </c:pt>
                <c:pt idx="33">
                  <c:v>-88.052616922864786</c:v>
                </c:pt>
                <c:pt idx="34">
                  <c:v>-87.402419887649685</c:v>
                </c:pt>
                <c:pt idx="35">
                  <c:v>-86.751305039554367</c:v>
                </c:pt>
                <c:pt idx="36">
                  <c:v>-86.099041384097163</c:v>
                </c:pt>
                <c:pt idx="37">
                  <c:v>-85.44539689989567</c:v>
                </c:pt>
                <c:pt idx="38">
                  <c:v>-84.790138333947411</c:v>
                </c:pt>
                <c:pt idx="39">
                  <c:v>-84.133030997340924</c:v>
                </c:pt>
                <c:pt idx="40">
                  <c:v>-83.473838561527728</c:v>
                </c:pt>
                <c:pt idx="41">
                  <c:v>-82.812322855314093</c:v>
                </c:pt>
                <c:pt idx="42">
                  <c:v>-82.148243662764926</c:v>
                </c:pt>
                <c:pt idx="43">
                  <c:v>-81.481358522250432</c:v>
                </c:pt>
                <c:pt idx="44">
                  <c:v>-80.811422526909467</c:v>
                </c:pt>
                <c:pt idx="45">
                  <c:v>-80.138188126853791</c:v>
                </c:pt>
                <c:pt idx="46">
                  <c:v>-79.461404933493668</c:v>
                </c:pt>
                <c:pt idx="47">
                  <c:v>-78.780819526427152</c:v>
                </c:pt>
                <c:pt idx="48">
                  <c:v>-78.096175263407233</c:v>
                </c:pt>
                <c:pt idx="49">
                  <c:v>-77.407212093978046</c:v>
                </c:pt>
                <c:pt idx="50">
                  <c:v>-76.71366637745939</c:v>
                </c:pt>
                <c:pt idx="51">
                  <c:v>-76.01527070605384</c:v>
                </c:pt>
                <c:pt idx="52">
                  <c:v>-75.311753733958568</c:v>
                </c:pt>
                <c:pt idx="53">
                  <c:v>-74.602840013478996</c:v>
                </c:pt>
                <c:pt idx="54">
                  <c:v>-73.888249839272106</c:v>
                </c:pt>
                <c:pt idx="55">
                  <c:v>-73.167699101985633</c:v>
                </c:pt>
                <c:pt idx="56">
                  <c:v>-72.440899152715417</c:v>
                </c:pt>
                <c:pt idx="57">
                  <c:v>-71.707556679869313</c:v>
                </c:pt>
                <c:pt idx="58">
                  <c:v>-70.967373600209257</c:v>
                </c:pt>
                <c:pt idx="59">
                  <c:v>-70.220046966040769</c:v>
                </c:pt>
                <c:pt idx="60">
                  <c:v>-69.465268890732489</c:v>
                </c:pt>
                <c:pt idx="61">
                  <c:v>-68.702726494979316</c:v>
                </c:pt>
                <c:pt idx="62">
                  <c:v>-67.932101876469645</c:v>
                </c:pt>
                <c:pt idx="63">
                  <c:v>-67.153072105881947</c:v>
                </c:pt>
                <c:pt idx="64">
                  <c:v>-66.365309252417248</c:v>
                </c:pt>
                <c:pt idx="65">
                  <c:v>-65.568480442373186</c:v>
                </c:pt>
                <c:pt idx="66">
                  <c:v>-64.762247954579621</c:v>
                </c:pt>
                <c:pt idx="67">
                  <c:v>-63.946269356844923</c:v>
                </c:pt>
                <c:pt idx="68">
                  <c:v>-63.120197687905922</c:v>
                </c:pt>
                <c:pt idx="69">
                  <c:v>-62.283681689726301</c:v>
                </c:pt>
                <c:pt idx="70">
                  <c:v>-61.436366095350223</c:v>
                </c:pt>
                <c:pt idx="71">
                  <c:v>-60.577891977881563</c:v>
                </c:pt>
                <c:pt idx="72">
                  <c:v>-59.707897166520169</c:v>
                </c:pt>
                <c:pt idx="73">
                  <c:v>-58.826016735940712</c:v>
                </c:pt>
                <c:pt idx="74">
                  <c:v>-57.931883575634238</c:v>
                </c:pt>
                <c:pt idx="75">
                  <c:v>-57.025129046143419</c:v>
                </c:pt>
                <c:pt idx="76">
                  <c:v>-56.105383729391718</c:v>
                </c:pt>
                <c:pt idx="77">
                  <c:v>-55.172278280527308</c:v>
                </c:pt>
                <c:pt idx="78">
                  <c:v>-54.225444388853411</c:v>
                </c:pt>
                <c:pt idx="79">
                  <c:v>-53.264515855481719</c:v>
                </c:pt>
                <c:pt idx="80">
                  <c:v>-52.289129795306422</c:v>
                </c:pt>
                <c:pt idx="81">
                  <c:v>-51.298927970723433</c:v>
                </c:pt>
                <c:pt idx="82">
                  <c:v>-50.293558264197195</c:v>
                </c:pt>
                <c:pt idx="83">
                  <c:v>-49.272676296266461</c:v>
                </c:pt>
                <c:pt idx="84">
                  <c:v>-48.235947194862078</c:v>
                </c:pt>
                <c:pt idx="85">
                  <c:v>-47.183047520843807</c:v>
                </c:pt>
                <c:pt idx="86">
                  <c:v>-46.113667353422798</c:v>
                </c:pt>
                <c:pt idx="87">
                  <c:v>-45.027512537588109</c:v>
                </c:pt>
                <c:pt idx="88">
                  <c:v>-43.92430709376525</c:v>
                </c:pt>
                <c:pt idx="89">
                  <c:v>-42.803795787680201</c:v>
                </c:pt>
                <c:pt idx="90">
                  <c:v>-41.665746855752879</c:v>
                </c:pt>
                <c:pt idx="91">
                  <c:v>-40.509954878287154</c:v>
                </c:pt>
                <c:pt idx="92">
                  <c:v>-39.336243789250901</c:v>
                </c:pt>
                <c:pt idx="93">
                  <c:v>-38.144470007550417</c:v>
                </c:pt>
                <c:pt idx="94">
                  <c:v>-36.934525670421507</c:v>
                </c:pt>
                <c:pt idx="95">
                  <c:v>-35.706341944918158</c:v>
                </c:pt>
                <c:pt idx="96">
                  <c:v>-34.459892388536041</c:v>
                </c:pt>
                <c:pt idx="97">
                  <c:v>-33.195196324846698</c:v>
                </c:pt>
                <c:pt idx="98">
                  <c:v>-31.912322194741147</c:v>
                </c:pt>
                <c:pt idx="99">
                  <c:v>-30.61139083862939</c:v>
                </c:pt>
                <c:pt idx="100">
                  <c:v>-29.292578659872721</c:v>
                </c:pt>
                <c:pt idx="101">
                  <c:v>-27.95612061503272</c:v>
                </c:pt>
                <c:pt idx="102">
                  <c:v>-26.602312972414374</c:v>
                </c:pt>
                <c:pt idx="103">
                  <c:v>-25.231515777097272</c:v>
                </c:pt>
                <c:pt idx="104">
                  <c:v>-23.844154958431638</c:v>
                </c:pt>
                <c:pt idx="105">
                  <c:v>-22.440724015068746</c:v>
                </c:pt>
                <c:pt idx="106">
                  <c:v>-21.021785213241433</c:v>
                </c:pt>
                <c:pt idx="107">
                  <c:v>-19.587970236412133</c:v>
                </c:pt>
                <c:pt idx="108">
                  <c:v>-18.139980228747671</c:v>
                </c:pt>
                <c:pt idx="109">
                  <c:v>-16.678585181266207</c:v>
                </c:pt>
                <c:pt idx="110">
                  <c:v>-15.20462261798572</c:v>
                </c:pt>
                <c:pt idx="111">
                  <c:v>-13.718995549944374</c:v>
                </c:pt>
                <c:pt idx="112">
                  <c:v>-12.222669677417878</c:v>
                </c:pt>
                <c:pt idx="113">
                  <c:v>-10.716669834794835</c:v>
                </c:pt>
                <c:pt idx="114">
                  <c:v>-9.2020756880470653</c:v>
                </c:pt>
                <c:pt idx="115">
                  <c:v>-7.6800167111045026</c:v>
                </c:pt>
                <c:pt idx="116">
                  <c:v>-6.1516664841947666</c:v>
                </c:pt>
                <c:pt idx="117">
                  <c:v>-4.6182363737591707</c:v>
                </c:pt>
                <c:pt idx="118">
                  <c:v>-3.0809686692833047</c:v>
                </c:pt>
                <c:pt idx="119">
                  <c:v>-1.5411292666668182</c:v>
                </c:pt>
                <c:pt idx="120">
                  <c:v>-1.5413447353594351E-3</c:v>
                </c:pt>
              </c:numCache>
            </c:numRef>
          </c:xVal>
          <c:yVal>
            <c:numRef>
              <c:f>'Ej-2a_TraySol_Mad'!$J$10:$J$130</c:f>
              <c:numCache>
                <c:formatCode>0.00</c:formatCode>
                <c:ptCount val="121"/>
                <c:pt idx="0">
                  <c:v>-22.363803067532629</c:v>
                </c:pt>
                <c:pt idx="1">
                  <c:v>-21.649442584715388</c:v>
                </c:pt>
                <c:pt idx="2">
                  <c:v>-20.931706306595743</c:v>
                </c:pt>
                <c:pt idx="3">
                  <c:v>-20.210748560203385</c:v>
                </c:pt>
                <c:pt idx="4">
                  <c:v>-19.486719399456817</c:v>
                </c:pt>
                <c:pt idx="5">
                  <c:v>-18.759764805345668</c:v>
                </c:pt>
                <c:pt idx="6">
                  <c:v>-18.030026881780515</c:v>
                </c:pt>
                <c:pt idx="7">
                  <c:v>-17.297644047051435</c:v>
                </c:pt>
                <c:pt idx="8">
                  <c:v>-16.562751220879179</c:v>
                </c:pt>
                <c:pt idx="9">
                  <c:v>-15.825480007079051</c:v>
                </c:pt>
                <c:pt idx="10">
                  <c:v>-15.085958871889858</c:v>
                </c:pt>
                <c:pt idx="11">
                  <c:v>-14.344313318047384</c:v>
                </c:pt>
                <c:pt idx="12">
                  <c:v>-13.600666054705769</c:v>
                </c:pt>
                <c:pt idx="13">
                  <c:v>-12.855137163330497</c:v>
                </c:pt>
                <c:pt idx="14">
                  <c:v>-12.107844259703327</c:v>
                </c:pt>
                <c:pt idx="15">
                  <c:v>-11.358902652195312</c:v>
                </c:pt>
                <c:pt idx="16">
                  <c:v>-10.608425496474908</c:v>
                </c:pt>
                <c:pt idx="17">
                  <c:v>-9.8565239468300518</c:v>
                </c:pt>
                <c:pt idx="18">
                  <c:v>-9.1033073042901833</c:v>
                </c:pt>
                <c:pt idx="19">
                  <c:v>-8.3488831617426484</c:v>
                </c:pt>
                <c:pt idx="20">
                  <c:v>-7.5933575462427427</c:v>
                </c:pt>
                <c:pt idx="21">
                  <c:v>-6.83683505872186</c:v>
                </c:pt>
                <c:pt idx="22">
                  <c:v>-6.0794190113021926</c:v>
                </c:pt>
                <c:pt idx="23">
                  <c:v>-5.3212115624287577</c:v>
                </c:pt>
                <c:pt idx="24">
                  <c:v>-4.5623138500328935</c:v>
                </c:pt>
                <c:pt idx="25">
                  <c:v>-3.8028261229422071</c:v>
                </c:pt>
                <c:pt idx="26">
                  <c:v>-3.0428478707544002</c:v>
                </c:pt>
                <c:pt idx="27">
                  <c:v>-2.2824779523925116</c:v>
                </c:pt>
                <c:pt idx="28">
                  <c:v>-1.5218147235605954</c:v>
                </c:pt>
                <c:pt idx="29">
                  <c:v>-0.76095616331913618</c:v>
                </c:pt>
                <c:pt idx="30">
                  <c:v>0</c:v>
                </c:pt>
                <c:pt idx="31">
                  <c:v>0.76095616331915039</c:v>
                </c:pt>
                <c:pt idx="32">
                  <c:v>1.5218147235605954</c:v>
                </c:pt>
                <c:pt idx="33">
                  <c:v>2.2824779523925116</c:v>
                </c:pt>
                <c:pt idx="34">
                  <c:v>3.0428478707544002</c:v>
                </c:pt>
                <c:pt idx="35">
                  <c:v>3.8028261229421929</c:v>
                </c:pt>
                <c:pt idx="36">
                  <c:v>4.5623138500328793</c:v>
                </c:pt>
                <c:pt idx="37">
                  <c:v>5.3212115624287577</c:v>
                </c:pt>
                <c:pt idx="38">
                  <c:v>6.0794190113021926</c:v>
                </c:pt>
                <c:pt idx="39">
                  <c:v>6.8368350587218742</c:v>
                </c:pt>
                <c:pt idx="40">
                  <c:v>7.5933575462427569</c:v>
                </c:pt>
                <c:pt idx="41">
                  <c:v>8.3488831617426627</c:v>
                </c:pt>
                <c:pt idx="42">
                  <c:v>9.1033073042901833</c:v>
                </c:pt>
                <c:pt idx="43">
                  <c:v>9.8565239468300518</c:v>
                </c:pt>
                <c:pt idx="44">
                  <c:v>10.608425496474894</c:v>
                </c:pt>
                <c:pt idx="45">
                  <c:v>11.358902652195297</c:v>
                </c:pt>
                <c:pt idx="46">
                  <c:v>12.107844259703342</c:v>
                </c:pt>
                <c:pt idx="47">
                  <c:v>12.855137163330497</c:v>
                </c:pt>
                <c:pt idx="48">
                  <c:v>13.600666054705769</c:v>
                </c:pt>
                <c:pt idx="49">
                  <c:v>14.344313318047384</c:v>
                </c:pt>
                <c:pt idx="50">
                  <c:v>15.085958871889858</c:v>
                </c:pt>
                <c:pt idx="51">
                  <c:v>15.825480007079065</c:v>
                </c:pt>
                <c:pt idx="52">
                  <c:v>16.562751220879164</c:v>
                </c:pt>
                <c:pt idx="53">
                  <c:v>17.297644047051435</c:v>
                </c:pt>
                <c:pt idx="54">
                  <c:v>18.030026881780515</c:v>
                </c:pt>
                <c:pt idx="55">
                  <c:v>18.759764805345668</c:v>
                </c:pt>
                <c:pt idx="56">
                  <c:v>19.486719399456817</c:v>
                </c:pt>
                <c:pt idx="57">
                  <c:v>20.210748560203385</c:v>
                </c:pt>
                <c:pt idx="58">
                  <c:v>20.931706306595743</c:v>
                </c:pt>
                <c:pt idx="59">
                  <c:v>21.649442584715388</c:v>
                </c:pt>
                <c:pt idx="60">
                  <c:v>22.363803067532643</c:v>
                </c:pt>
                <c:pt idx="61">
                  <c:v>23.074628950498337</c:v>
                </c:pt>
                <c:pt idx="62">
                  <c:v>23.781756743071426</c:v>
                </c:pt>
                <c:pt idx="63">
                  <c:v>24.485018056406304</c:v>
                </c:pt>
                <c:pt idx="64">
                  <c:v>25.184239387495126</c:v>
                </c:pt>
                <c:pt idx="65">
                  <c:v>25.879241900139206</c:v>
                </c:pt>
                <c:pt idx="66">
                  <c:v>26.569841203213969</c:v>
                </c:pt>
                <c:pt idx="67">
                  <c:v>27.255847126792254</c:v>
                </c:pt>
                <c:pt idx="68">
                  <c:v>27.937063496802381</c:v>
                </c:pt>
                <c:pt idx="69">
                  <c:v>28.613287909023093</c:v>
                </c:pt>
                <c:pt idx="70">
                  <c:v>29.284311503354871</c:v>
                </c:pt>
                <c:pt idx="71">
                  <c:v>29.949918739460188</c:v>
                </c:pt>
                <c:pt idx="72">
                  <c:v>30.609887175033165</c:v>
                </c:pt>
                <c:pt idx="73">
                  <c:v>31.263987248142172</c:v>
                </c:pt>
                <c:pt idx="74">
                  <c:v>31.911982065289664</c:v>
                </c:pt>
                <c:pt idx="75">
                  <c:v>32.553627197049394</c:v>
                </c:pt>
                <c:pt idx="76">
                  <c:v>33.188670483375894</c:v>
                </c:pt>
                <c:pt idx="77">
                  <c:v>33.816851850930227</c:v>
                </c:pt>
                <c:pt idx="78">
                  <c:v>34.43790314503287</c:v>
                </c:pt>
                <c:pt idx="79">
                  <c:v>35.051547979135727</c:v>
                </c:pt>
                <c:pt idx="80">
                  <c:v>35.657501604998821</c:v>
                </c:pt>
                <c:pt idx="81">
                  <c:v>36.255470807063197</c:v>
                </c:pt>
                <c:pt idx="82">
                  <c:v>36.845153824822546</c:v>
                </c:pt>
                <c:pt idx="83">
                  <c:v>37.426240307313002</c:v>
                </c:pt>
                <c:pt idx="84">
                  <c:v>37.998411304152661</c:v>
                </c:pt>
                <c:pt idx="85">
                  <c:v>38.561339297868315</c:v>
                </c:pt>
                <c:pt idx="86">
                  <c:v>39.114688282534487</c:v>
                </c:pt>
                <c:pt idx="87">
                  <c:v>39.658113894012601</c:v>
                </c:pt>
                <c:pt idx="88">
                  <c:v>40.191263597304768</c:v>
                </c:pt>
                <c:pt idx="89">
                  <c:v>40.713776936713202</c:v>
                </c:pt>
                <c:pt idx="90">
                  <c:v>41.225285854611791</c:v>
                </c:pt>
                <c:pt idx="91">
                  <c:v>41.725415084673031</c:v>
                </c:pt>
                <c:pt idx="92">
                  <c:v>42.213782625336002</c:v>
                </c:pt>
                <c:pt idx="93">
                  <c:v>42.690000299132713</c:v>
                </c:pt>
                <c:pt idx="94">
                  <c:v>43.153674403191005</c:v>
                </c:pt>
                <c:pt idx="95">
                  <c:v>43.604406455786012</c:v>
                </c:pt>
                <c:pt idx="96">
                  <c:v>44.041794043201243</c:v>
                </c:pt>
                <c:pt idx="97">
                  <c:v>44.465431770367623</c:v>
                </c:pt>
                <c:pt idx="98">
                  <c:v>44.874912317763396</c:v>
                </c:pt>
                <c:pt idx="99">
                  <c:v>45.269827605867107</c:v>
                </c:pt>
                <c:pt idx="100">
                  <c:v>45.649770067057382</c:v>
                </c:pt>
                <c:pt idx="101">
                  <c:v>46.014334023247052</c:v>
                </c:pt>
                <c:pt idx="102">
                  <c:v>46.363117165734288</c:v>
                </c:pt>
                <c:pt idx="103">
                  <c:v>46.695722131766949</c:v>
                </c:pt>
                <c:pt idx="104">
                  <c:v>47.011758170175227</c:v>
                </c:pt>
                <c:pt idx="105">
                  <c:v>47.310842886169894</c:v>
                </c:pt>
                <c:pt idx="106">
                  <c:v>47.592604053074794</c:v>
                </c:pt>
                <c:pt idx="107">
                  <c:v>47.856681476423809</c:v>
                </c:pt>
                <c:pt idx="108">
                  <c:v>48.102728893569015</c:v>
                </c:pt>
                <c:pt idx="109">
                  <c:v>48.330415889796676</c:v>
                </c:pt>
                <c:pt idx="110">
                  <c:v>48.539429810009942</c:v>
                </c:pt>
                <c:pt idx="111">
                  <c:v>48.729477643397075</c:v>
                </c:pt>
                <c:pt idx="112">
                  <c:v>48.900287857244422</c:v>
                </c:pt>
                <c:pt idx="113">
                  <c:v>49.051612155250567</c:v>
                </c:pt>
                <c:pt idx="114">
                  <c:v>49.183227135421028</c:v>
                </c:pt>
                <c:pt idx="115">
                  <c:v>49.294935822924373</c:v>
                </c:pt>
                <c:pt idx="116">
                  <c:v>49.386569054205779</c:v>
                </c:pt>
                <c:pt idx="117">
                  <c:v>49.457986690195796</c:v>
                </c:pt>
                <c:pt idx="118">
                  <c:v>49.509078638609118</c:v>
                </c:pt>
                <c:pt idx="119">
                  <c:v>49.539765668063559</c:v>
                </c:pt>
                <c:pt idx="12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D9-4DC7-9AA1-66791E1E45C3}"/>
            </c:ext>
          </c:extLst>
        </c:ser>
        <c:ser>
          <c:idx val="4"/>
          <c:order val="2"/>
          <c:tx>
            <c:strRef>
              <c:f>'Ej-2a_TraySol_Mad'!$P$7</c:f>
              <c:strCache>
                <c:ptCount val="1"/>
                <c:pt idx="0">
                  <c:v>SINV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'Ej-2a_TraySol_Mad'!$Q$10:$Q$130</c:f>
              <c:numCache>
                <c:formatCode>0.00</c:formatCode>
                <c:ptCount val="121"/>
                <c:pt idx="0">
                  <c:v>-89.622976416748969</c:v>
                </c:pt>
                <c:pt idx="1">
                  <c:v>-88.981170158382341</c:v>
                </c:pt>
                <c:pt idx="2">
                  <c:v>-88.345392425931863</c:v>
                </c:pt>
                <c:pt idx="3">
                  <c:v>-87.715247206502724</c:v>
                </c:pt>
                <c:pt idx="4">
                  <c:v>-87.090355812529666</c:v>
                </c:pt>
                <c:pt idx="5">
                  <c:v>-86.470355738989568</c:v>
                </c:pt>
                <c:pt idx="6">
                  <c:v>-85.854899599479353</c:v>
                </c:pt>
                <c:pt idx="7">
                  <c:v>-85.243654135261863</c:v>
                </c:pt>
                <c:pt idx="8">
                  <c:v>-84.636299291838085</c:v>
                </c:pt>
                <c:pt idx="9">
                  <c:v>-84.032527358027437</c:v>
                </c:pt>
                <c:pt idx="10">
                  <c:v>-83.432042162932007</c:v>
                </c:pt>
                <c:pt idx="11">
                  <c:v>-82.834558326524387</c:v>
                </c:pt>
                <c:pt idx="12">
                  <c:v>-82.239800559938104</c:v>
                </c:pt>
                <c:pt idx="13">
                  <c:v>-81.647503011850915</c:v>
                </c:pt>
                <c:pt idx="14">
                  <c:v>-81.057408657640792</c:v>
                </c:pt>
                <c:pt idx="15">
                  <c:v>-80.469268728260758</c:v>
                </c:pt>
                <c:pt idx="16">
                  <c:v>-79.882842176024226</c:v>
                </c:pt>
                <c:pt idx="17">
                  <c:v>-79.297895174721162</c:v>
                </c:pt>
                <c:pt idx="18">
                  <c:v>-78.714200651692693</c:v>
                </c:pt>
                <c:pt idx="19">
                  <c:v>-78.131537849686993</c:v>
                </c:pt>
                <c:pt idx="20">
                  <c:v>-77.549691916496897</c:v>
                </c:pt>
                <c:pt idx="21">
                  <c:v>-76.968453520544116</c:v>
                </c:pt>
                <c:pt idx="22">
                  <c:v>-76.387618490728045</c:v>
                </c:pt>
                <c:pt idx="23">
                  <c:v>-75.806987478996916</c:v>
                </c:pt>
                <c:pt idx="24">
                  <c:v>-75.226365644229773</c:v>
                </c:pt>
                <c:pt idx="25">
                  <c:v>-74.645562356138072</c:v>
                </c:pt>
                <c:pt idx="26">
                  <c:v>-74.064390918007234</c:v>
                </c:pt>
                <c:pt idx="27">
                  <c:v>-73.482668307202459</c:v>
                </c:pt>
                <c:pt idx="28">
                  <c:v>-72.900214932459207</c:v>
                </c:pt>
                <c:pt idx="29">
                  <c:v>-72.316854407067865</c:v>
                </c:pt>
                <c:pt idx="30">
                  <c:v>-71.732413337146653</c:v>
                </c:pt>
                <c:pt idx="31">
                  <c:v>-71.146721124273284</c:v>
                </c:pt>
                <c:pt idx="32">
                  <c:v>-70.559609781819873</c:v>
                </c:pt>
                <c:pt idx="33">
                  <c:v>-69.970913764402567</c:v>
                </c:pt>
                <c:pt idx="34">
                  <c:v>-69.38046980992209</c:v>
                </c:pt>
                <c:pt idx="35">
                  <c:v>-68.788116793730438</c:v>
                </c:pt>
                <c:pt idx="36">
                  <c:v>-68.193695594516214</c:v>
                </c:pt>
                <c:pt idx="37">
                  <c:v>-67.597048971553235</c:v>
                </c:pt>
                <c:pt idx="38">
                  <c:v>-66.998021453007624</c:v>
                </c:pt>
                <c:pt idx="39">
                  <c:v>-66.396459235045896</c:v>
                </c:pt>
                <c:pt idx="40">
                  <c:v>-65.792210091530677</c:v>
                </c:pt>
                <c:pt idx="41">
                  <c:v>-65.185123294133774</c:v>
                </c:pt>
                <c:pt idx="42">
                  <c:v>-64.575049542735314</c:v>
                </c:pt>
                <c:pt idx="43">
                  <c:v>-63.961840906016711</c:v>
                </c:pt>
                <c:pt idx="44">
                  <c:v>-63.345350772189569</c:v>
                </c:pt>
                <c:pt idx="45">
                  <c:v>-62.725433809837817</c:v>
                </c:pt>
                <c:pt idx="46">
                  <c:v>-62.101945938881371</c:v>
                </c:pt>
                <c:pt idx="47">
                  <c:v>-61.474744311699702</c:v>
                </c:pt>
                <c:pt idx="48">
                  <c:v>-60.843687304481833</c:v>
                </c:pt>
                <c:pt idx="49">
                  <c:v>-60.208634518895373</c:v>
                </c:pt>
                <c:pt idx="50">
                  <c:v>-59.569446794190583</c:v>
                </c:pt>
                <c:pt idx="51">
                  <c:v>-58.925986229878234</c:v>
                </c:pt>
                <c:pt idx="52">
                  <c:v>-58.278116219139051</c:v>
                </c:pt>
                <c:pt idx="53">
                  <c:v>-57.625701493139601</c:v>
                </c:pt>
                <c:pt idx="54">
                  <c:v>-56.968608176445123</c:v>
                </c:pt>
                <c:pt idx="55">
                  <c:v>-56.306703853730937</c:v>
                </c:pt>
                <c:pt idx="56">
                  <c:v>-55.639857648003279</c:v>
                </c:pt>
                <c:pt idx="57">
                  <c:v>-54.967940310547071</c:v>
                </c:pt>
                <c:pt idx="58">
                  <c:v>-54.290824322819688</c:v>
                </c:pt>
                <c:pt idx="59">
                  <c:v>-53.608384010508821</c:v>
                </c:pt>
                <c:pt idx="60">
                  <c:v>-52.92049566996748</c:v>
                </c:pt>
                <c:pt idx="61">
                  <c:v>-52.227037707229478</c:v>
                </c:pt>
                <c:pt idx="62">
                  <c:v>-51.527890789793538</c:v>
                </c:pt>
                <c:pt idx="63">
                  <c:v>-50.822938011345904</c:v>
                </c:pt>
                <c:pt idx="64">
                  <c:v>-50.112065069565197</c:v>
                </c:pt>
                <c:pt idx="65">
                  <c:v>-49.395160457122799</c:v>
                </c:pt>
                <c:pt idx="66">
                  <c:v>-48.672115665955133</c:v>
                </c:pt>
                <c:pt idx="67">
                  <c:v>-47.942825404839517</c:v>
                </c:pt>
                <c:pt idx="68">
                  <c:v>-47.207187830255577</c:v>
                </c:pt>
                <c:pt idx="69">
                  <c:v>-46.465104790454376</c:v>
                </c:pt>
                <c:pt idx="70">
                  <c:v>-45.716482082593124</c:v>
                </c:pt>
                <c:pt idx="71">
                  <c:v>-44.961229722717434</c:v>
                </c:pt>
                <c:pt idx="72">
                  <c:v>-44.199262228292064</c:v>
                </c:pt>
                <c:pt idx="73">
                  <c:v>-43.430498912889846</c:v>
                </c:pt>
                <c:pt idx="74">
                  <c:v>-42.654864192548267</c:v>
                </c:pt>
                <c:pt idx="75">
                  <c:v>-41.872287903197325</c:v>
                </c:pt>
                <c:pt idx="76">
                  <c:v>-41.08270562844271</c:v>
                </c:pt>
                <c:pt idx="77">
                  <c:v>-40.286059036866874</c:v>
                </c:pt>
                <c:pt idx="78">
                  <c:v>-39.482296227875871</c:v>
                </c:pt>
                <c:pt idx="79">
                  <c:v>-38.671372084980504</c:v>
                </c:pt>
                <c:pt idx="80">
                  <c:v>-37.853248635254126</c:v>
                </c:pt>
                <c:pt idx="81">
                  <c:v>-37.027895413556443</c:v>
                </c:pt>
                <c:pt idx="82">
                  <c:v>-36.195289829956778</c:v>
                </c:pt>
                <c:pt idx="83">
                  <c:v>-35.355417538628167</c:v>
                </c:pt>
                <c:pt idx="84">
                  <c:v>-34.50827280632393</c:v>
                </c:pt>
                <c:pt idx="85">
                  <c:v>-33.653858878383978</c:v>
                </c:pt>
                <c:pt idx="86">
                  <c:v>-32.792188340060179</c:v>
                </c:pt>
                <c:pt idx="87">
                  <c:v>-31.923283470792565</c:v>
                </c:pt>
                <c:pt idx="88">
                  <c:v>-31.047176588920873</c:v>
                </c:pt>
                <c:pt idx="89">
                  <c:v>-30.163910384174883</c:v>
                </c:pt>
                <c:pt idx="90">
                  <c:v>-29.273538235161276</c:v>
                </c:pt>
                <c:pt idx="91">
                  <c:v>-28.37612450895233</c:v>
                </c:pt>
                <c:pt idx="92">
                  <c:v>-27.471744839787981</c:v>
                </c:pt>
                <c:pt idx="93">
                  <c:v>-26.560486383833311</c:v>
                </c:pt>
                <c:pt idx="94">
                  <c:v>-25.642448046884358</c:v>
                </c:pt>
                <c:pt idx="95">
                  <c:v>-24.717740681899052</c:v>
                </c:pt>
                <c:pt idx="96">
                  <c:v>-23.786487253242122</c:v>
                </c:pt>
                <c:pt idx="97">
                  <c:v>-22.848822964579785</c:v>
                </c:pt>
                <c:pt idx="98">
                  <c:v>-21.904895347443631</c:v>
                </c:pt>
                <c:pt idx="99">
                  <c:v>-20.954864307605071</c:v>
                </c:pt>
                <c:pt idx="100">
                  <c:v>-19.998902126566726</c:v>
                </c:pt>
                <c:pt idx="101">
                  <c:v>-19.037193415676953</c:v>
                </c:pt>
                <c:pt idx="102">
                  <c:v>-18.069935020626488</c:v>
                </c:pt>
                <c:pt idx="103">
                  <c:v>-17.097335874369328</c:v>
                </c:pt>
                <c:pt idx="104">
                  <c:v>-16.119616796843101</c:v>
                </c:pt>
                <c:pt idx="105">
                  <c:v>-15.137010240230827</c:v>
                </c:pt>
                <c:pt idx="106">
                  <c:v>-14.149759978911742</c:v>
                </c:pt>
                <c:pt idx="107">
                  <c:v>-13.158120743689055</c:v>
                </c:pt>
                <c:pt idx="108">
                  <c:v>-12.162357800344591</c:v>
                </c:pt>
                <c:pt idx="109">
                  <c:v>-11.162746473064507</c:v>
                </c:pt>
                <c:pt idx="110">
                  <c:v>-10.159571613785886</c:v>
                </c:pt>
                <c:pt idx="111">
                  <c:v>-9.153127019028803</c:v>
                </c:pt>
                <c:pt idx="112">
                  <c:v>-8.1437147963056979</c:v>
                </c:pt>
                <c:pt idx="113">
                  <c:v>-7.1316446827073863</c:v>
                </c:pt>
                <c:pt idx="114">
                  <c:v>-6.1172333187750887</c:v>
                </c:pt>
                <c:pt idx="115">
                  <c:v>-5.1008034812478664</c:v>
                </c:pt>
                <c:pt idx="116">
                  <c:v>-4.0826832787299825</c:v>
                </c:pt>
                <c:pt idx="117">
                  <c:v>-3.063205314733775</c:v>
                </c:pt>
                <c:pt idx="118">
                  <c:v>-2.0427058229372999</c:v>
                </c:pt>
                <c:pt idx="119">
                  <c:v>-1.0215237798052461</c:v>
                </c:pt>
                <c:pt idx="120">
                  <c:v>-1.0215814641510717E-3</c:v>
                </c:pt>
              </c:numCache>
            </c:numRef>
          </c:xVal>
          <c:yVal>
            <c:numRef>
              <c:f>'Ej-2a_TraySol_Mad'!$P$10:$P$130</c:f>
              <c:numCache>
                <c:formatCode>0.00</c:formatCode>
                <c:ptCount val="121"/>
                <c:pt idx="0">
                  <c:v>-37.390475630150405</c:v>
                </c:pt>
                <c:pt idx="1">
                  <c:v>-36.629563721722931</c:v>
                </c:pt>
                <c:pt idx="2">
                  <c:v>-35.868802436415365</c:v>
                </c:pt>
                <c:pt idx="3">
                  <c:v>-35.108283666549085</c:v>
                </c:pt>
                <c:pt idx="4">
                  <c:v>-34.348096943160314</c:v>
                </c:pt>
                <c:pt idx="5">
                  <c:v>-33.58832966094927</c:v>
                </c:pt>
                <c:pt idx="6">
                  <c:v>-32.829067288167096</c:v>
                </c:pt>
                <c:pt idx="7">
                  <c:v>-32.070393562774328</c:v>
                </c:pt>
                <c:pt idx="8">
                  <c:v>-31.312390676082131</c:v>
                </c:pt>
                <c:pt idx="9">
                  <c:v>-30.555139444977669</c:v>
                </c:pt>
                <c:pt idx="10">
                  <c:v>-29.798719473734465</c:v>
                </c:pt>
                <c:pt idx="11">
                  <c:v>-29.043209306318403</c:v>
                </c:pt>
                <c:pt idx="12">
                  <c:v>-28.288686570018896</c:v>
                </c:pt>
                <c:pt idx="13">
                  <c:v>-27.535228111160293</c:v>
                </c:pt>
                <c:pt idx="14">
                  <c:v>-26.78291012358217</c:v>
                </c:pt>
                <c:pt idx="15">
                  <c:v>-26.031808270516393</c:v>
                </c:pt>
                <c:pt idx="16">
                  <c:v>-25.281997800433345</c:v>
                </c:pt>
                <c:pt idx="17">
                  <c:v>-24.533553657380722</c:v>
                </c:pt>
                <c:pt idx="18">
                  <c:v>-23.786550586291412</c:v>
                </c:pt>
                <c:pt idx="19">
                  <c:v>-23.041063233696775</c:v>
                </c:pt>
                <c:pt idx="20">
                  <c:v>-22.297166244243058</c:v>
                </c:pt>
                <c:pt idx="21">
                  <c:v>-21.554934353374108</c:v>
                </c:pt>
                <c:pt idx="22">
                  <c:v>-20.814442476512085</c:v>
                </c:pt>
                <c:pt idx="23">
                  <c:v>-20.075765795038791</c:v>
                </c:pt>
                <c:pt idx="24">
                  <c:v>-19.338979839352987</c:v>
                </c:pt>
                <c:pt idx="25">
                  <c:v>-18.604160569254645</c:v>
                </c:pt>
                <c:pt idx="26">
                  <c:v>-17.871384451884524</c:v>
                </c:pt>
                <c:pt idx="27">
                  <c:v>-17.140728537425289</c:v>
                </c:pt>
                <c:pt idx="28">
                  <c:v>-16.412270532751563</c:v>
                </c:pt>
                <c:pt idx="29">
                  <c:v>-15.686088873196809</c:v>
                </c:pt>
                <c:pt idx="30">
                  <c:v>-14.962262792588504</c:v>
                </c:pt>
                <c:pt idx="31">
                  <c:v>-14.240872391685485</c:v>
                </c:pt>
                <c:pt idx="32">
                  <c:v>-13.521998705136923</c:v>
                </c:pt>
                <c:pt idx="33">
                  <c:v>-12.805723767066226</c:v>
                </c:pt>
                <c:pt idx="34">
                  <c:v>-12.092130675370186</c:v>
                </c:pt>
                <c:pt idx="35">
                  <c:v>-11.381303654808576</c:v>
                </c:pt>
                <c:pt idx="36">
                  <c:v>-10.673328118947495</c:v>
                </c:pt>
                <c:pt idx="37">
                  <c:v>-9.9682907310052542</c:v>
                </c:pt>
                <c:pt idx="38">
                  <c:v>-9.2662794636380852</c:v>
                </c:pt>
                <c:pt idx="39">
                  <c:v>-8.5673836576896036</c:v>
                </c:pt>
                <c:pt idx="40">
                  <c:v>-7.8716940799156276</c:v>
                </c:pt>
                <c:pt idx="41">
                  <c:v>-7.179302979683797</c:v>
                </c:pt>
                <c:pt idx="42">
                  <c:v>-6.4903041446345497</c:v>
                </c:pt>
                <c:pt idx="43">
                  <c:v>-5.8047929552779323</c:v>
                </c:pt>
                <c:pt idx="44">
                  <c:v>-5.1228664384874918</c:v>
                </c:pt>
                <c:pt idx="45">
                  <c:v>-4.444623319840403</c:v>
                </c:pt>
                <c:pt idx="46">
                  <c:v>-3.7701640747393554</c:v>
                </c:pt>
                <c:pt idx="47">
                  <c:v>-3.0995909782386946</c:v>
                </c:pt>
                <c:pt idx="48">
                  <c:v>-2.4330081534839962</c:v>
                </c:pt>
                <c:pt idx="49">
                  <c:v>-1.7705216186599841</c:v>
                </c:pt>
                <c:pt idx="50">
                  <c:v>-1.1122393323278743</c:v>
                </c:pt>
                <c:pt idx="51">
                  <c:v>-0.45827123701879202</c:v>
                </c:pt>
                <c:pt idx="52">
                  <c:v>0.19127069906508609</c:v>
                </c:pt>
                <c:pt idx="53">
                  <c:v>0.83627244240523169</c:v>
                </c:pt>
                <c:pt idx="54">
                  <c:v>1.4766178567556807</c:v>
                </c:pt>
                <c:pt idx="55">
                  <c:v>2.1121886681613375</c:v>
                </c:pt>
                <c:pt idx="56">
                  <c:v>2.7428644326159599</c:v>
                </c:pt>
                <c:pt idx="57">
                  <c:v>3.3685225065867854</c:v>
                </c:pt>
                <c:pt idx="58">
                  <c:v>3.989038020649275</c:v>
                </c:pt>
                <c:pt idx="59">
                  <c:v>4.6042838564919464</c:v>
                </c:pt>
                <c:pt idx="60">
                  <c:v>5.2141306275678545</c:v>
                </c:pt>
                <c:pt idx="61">
                  <c:v>5.8184466636858474</c:v>
                </c:pt>
                <c:pt idx="62">
                  <c:v>6.4170979998515492</c:v>
                </c:pt>
                <c:pt idx="63">
                  <c:v>7.0099483696835563</c:v>
                </c:pt>
                <c:pt idx="64">
                  <c:v>7.5968592037467317</c:v>
                </c:pt>
                <c:pt idx="65">
                  <c:v>8.1776896331593036</c:v>
                </c:pt>
                <c:pt idx="66">
                  <c:v>8.7522964988450838</c:v>
                </c:pt>
                <c:pt idx="67">
                  <c:v>9.3205343668156218</c:v>
                </c:pt>
                <c:pt idx="68">
                  <c:v>9.8822555498793463</c:v>
                </c:pt>
                <c:pt idx="69">
                  <c:v>10.437310136186113</c:v>
                </c:pt>
                <c:pt idx="70">
                  <c:v>10.985546025023979</c:v>
                </c:pt>
                <c:pt idx="71">
                  <c:v>11.526808970293615</c:v>
                </c:pt>
                <c:pt idx="72">
                  <c:v>12.060942632089777</c:v>
                </c:pt>
                <c:pt idx="73">
                  <c:v>12.587788636822182</c:v>
                </c:pt>
                <c:pt idx="74">
                  <c:v>13.107186646308477</c:v>
                </c:pt>
                <c:pt idx="75">
                  <c:v>13.618974436266711</c:v>
                </c:pt>
                <c:pt idx="76">
                  <c:v>14.122987984629759</c:v>
                </c:pt>
                <c:pt idx="77">
                  <c:v>14.619061570090977</c:v>
                </c:pt>
                <c:pt idx="78">
                  <c:v>15.107027881276025</c:v>
                </c:pt>
                <c:pt idx="79">
                  <c:v>15.586718136915522</c:v>
                </c:pt>
                <c:pt idx="80">
                  <c:v>16.057962217367219</c:v>
                </c:pt>
                <c:pt idx="81">
                  <c:v>16.520588807806803</c:v>
                </c:pt>
                <c:pt idx="82">
                  <c:v>16.974425553368818</c:v>
                </c:pt>
                <c:pt idx="83">
                  <c:v>17.419299226477975</c:v>
                </c:pt>
                <c:pt idx="84">
                  <c:v>17.855035906561582</c:v>
                </c:pt>
                <c:pt idx="85">
                  <c:v>18.281461172279094</c:v>
                </c:pt>
                <c:pt idx="86">
                  <c:v>18.69840030634299</c:v>
                </c:pt>
                <c:pt idx="87">
                  <c:v>19.105678512936919</c:v>
                </c:pt>
                <c:pt idx="88">
                  <c:v>19.503121147661915</c:v>
                </c:pt>
                <c:pt idx="89">
                  <c:v>19.890553959860227</c:v>
                </c:pt>
                <c:pt idx="90">
                  <c:v>20.267803347078484</c:v>
                </c:pt>
                <c:pt idx="91">
                  <c:v>20.634696621338165</c:v>
                </c:pt>
                <c:pt idx="92">
                  <c:v>20.991062286782707</c:v>
                </c:pt>
                <c:pt idx="93">
                  <c:v>21.3367303281658</c:v>
                </c:pt>
                <c:pt idx="94">
                  <c:v>21.671532509538594</c:v>
                </c:pt>
                <c:pt idx="95">
                  <c:v>21.995302682381151</c:v>
                </c:pt>
                <c:pt idx="96">
                  <c:v>22.307877102310755</c:v>
                </c:pt>
                <c:pt idx="97">
                  <c:v>22.609094753385008</c:v>
                </c:pt>
                <c:pt idx="98">
                  <c:v>22.898797678903492</c:v>
                </c:pt>
                <c:pt idx="99">
                  <c:v>23.176831317499548</c:v>
                </c:pt>
                <c:pt idx="100">
                  <c:v>23.44304484320368</c:v>
                </c:pt>
                <c:pt idx="101">
                  <c:v>23.697291508057063</c:v>
                </c:pt>
                <c:pt idx="102">
                  <c:v>23.939428985754262</c:v>
                </c:pt>
                <c:pt idx="103">
                  <c:v>24.169319714705679</c:v>
                </c:pt>
                <c:pt idx="104">
                  <c:v>24.386831238830112</c:v>
                </c:pt>
                <c:pt idx="105">
                  <c:v>24.591836544320088</c:v>
                </c:pt>
                <c:pt idx="106">
                  <c:v>24.784214390567854</c:v>
                </c:pt>
                <c:pt idx="107">
                  <c:v>24.963849633399988</c:v>
                </c:pt>
                <c:pt idx="108">
                  <c:v>25.130633538745585</c:v>
                </c:pt>
                <c:pt idx="109">
                  <c:v>25.284464084856637</c:v>
                </c:pt>
                <c:pt idx="110">
                  <c:v>25.425246251211618</c:v>
                </c:pt>
                <c:pt idx="111">
                  <c:v>25.552892292265781</c:v>
                </c:pt>
                <c:pt idx="112">
                  <c:v>25.667321994262224</c:v>
                </c:pt>
                <c:pt idx="113">
                  <c:v>25.768462913390351</c:v>
                </c:pt>
                <c:pt idx="114">
                  <c:v>25.856250593668761</c:v>
                </c:pt>
                <c:pt idx="115">
                  <c:v>25.930628763040346</c:v>
                </c:pt>
                <c:pt idx="116">
                  <c:v>25.991549506296309</c:v>
                </c:pt>
                <c:pt idx="117">
                  <c:v>26.038973413591947</c:v>
                </c:pt>
                <c:pt idx="118">
                  <c:v>26.07286970347846</c:v>
                </c:pt>
                <c:pt idx="119">
                  <c:v>26.093216319550955</c:v>
                </c:pt>
                <c:pt idx="12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D9-4DC7-9AA1-66791E1E45C3}"/>
            </c:ext>
          </c:extLst>
        </c:ser>
        <c:ser>
          <c:idx val="5"/>
          <c:order val="3"/>
          <c:tx>
            <c:strRef>
              <c:f>'Ej-2a_TraySol_Mad'!$W$9</c:f>
              <c:strCache>
                <c:ptCount val="1"/>
                <c:pt idx="0">
                  <c:v>w = -8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'Ej-2a_TraySol_Mad'!$V$10:$V$14</c:f>
              <c:numCache>
                <c:formatCode>0.00</c:formatCode>
                <c:ptCount val="5"/>
                <c:pt idx="0">
                  <c:v>-127.07950433003251</c:v>
                </c:pt>
                <c:pt idx="1">
                  <c:v>-119.1153872926478</c:v>
                </c:pt>
                <c:pt idx="2">
                  <c:v>-110.5347311092675</c:v>
                </c:pt>
                <c:pt idx="3">
                  <c:v>-100.87995353609496</c:v>
                </c:pt>
                <c:pt idx="4">
                  <c:v>-89.622976416748969</c:v>
                </c:pt>
              </c:numCache>
            </c:numRef>
          </c:xVal>
          <c:yVal>
            <c:numRef>
              <c:f>'Ej-2a_TraySol_Mad'!$W$10:$W$14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-13.260950732261179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9-4DC7-9AA1-66791E1E45C3}"/>
            </c:ext>
          </c:extLst>
        </c:ser>
        <c:ser>
          <c:idx val="6"/>
          <c:order val="4"/>
          <c:tx>
            <c:strRef>
              <c:f>'Ej-2a_TraySol_Mad'!$X$9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'Ej-2a_TraySol_Mad'!$V$25:$V$29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'Ej-2a_TraySol_Mad'!$X$25:$X$29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D9-4DC7-9AA1-66791E1E45C3}"/>
            </c:ext>
          </c:extLst>
        </c:ser>
        <c:ser>
          <c:idx val="7"/>
          <c:order val="5"/>
          <c:tx>
            <c:strRef>
              <c:f>'Ej-2a_TraySol_Mad'!$Y$9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'Ej-2a_TraySol_Mad'!$V$40:$V$44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'Ej-2a_TraySol_Mad'!$Y$40:$Y$44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D9-4DC7-9AA1-66791E1E45C3}"/>
            </c:ext>
          </c:extLst>
        </c:ser>
        <c:ser>
          <c:idx val="8"/>
          <c:order val="6"/>
          <c:tx>
            <c:strRef>
              <c:f>'Ej-2a_TraySol_Mad'!$Z$9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'Ej-2a_TraySol_Mad'!$V$55:$V$59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'Ej-2a_TraySol_Mad'!$Z$55:$Z$59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D9-4DC7-9AA1-66791E1E45C3}"/>
            </c:ext>
          </c:extLst>
        </c:ser>
        <c:ser>
          <c:idx val="9"/>
          <c:order val="7"/>
          <c:tx>
            <c:strRef>
              <c:f>'Ej-2a_TraySol_Mad'!$AA$9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'Ej-2a_TraySol_Mad'!$V$70:$V$74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'Ej-2a_TraySol_Mad'!$AA$70:$AA$74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D9-4DC7-9AA1-66791E1E45C3}"/>
            </c:ext>
          </c:extLst>
        </c:ser>
        <c:ser>
          <c:idx val="10"/>
          <c:order val="8"/>
          <c:tx>
            <c:strRef>
              <c:f>'Ej-2a_TraySol_Mad'!$AB$9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'Ej-2a_TraySol_Mad'!$V$85:$V$89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'Ej-2a_TraySol_Mad'!$AB$85:$AB$89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D9-4DC7-9AA1-66791E1E45C3}"/>
            </c:ext>
          </c:extLst>
        </c:ser>
        <c:ser>
          <c:idx val="11"/>
          <c:order val="9"/>
          <c:tx>
            <c:strRef>
              <c:f>'Ej-2a_TraySol_Mad'!$AC$9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'Ej-2a_TraySol_Mad'!$V$100:$V$104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'Ej-2a_TraySol_Mad'!$AC$100:$AC$104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D9-4DC7-9AA1-66791E1E45C3}"/>
            </c:ext>
          </c:extLst>
        </c:ser>
        <c:ser>
          <c:idx val="12"/>
          <c:order val="10"/>
          <c:tx>
            <c:strRef>
              <c:f>'Ej-2a_TraySol_Mad'!$AD$9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'Ej-2a_TraySol_Mad'!$V$115:$V$119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'Ej-2a_TraySol_Mad'!$AD$115:$AD$119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D9-4DC7-9AA1-66791E1E45C3}"/>
            </c:ext>
          </c:extLst>
        </c:ser>
        <c:ser>
          <c:idx val="13"/>
          <c:order val="11"/>
          <c:tx>
            <c:strRef>
              <c:f>'Ej-2a_TraySol_Mad'!$AE$9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'Ej-2a_TraySol_Mad'!$V$131:$V$135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'Ej-2a_TraySol_Mad'!$AE$131:$AE$135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0D9-4DC7-9AA1-66791E1E45C3}"/>
            </c:ext>
          </c:extLst>
        </c:ser>
        <c:ser>
          <c:idx val="14"/>
          <c:order val="12"/>
          <c:tx>
            <c:strRef>
              <c:f>'Ej-2a_TraySol_Mad'!$AF$9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'Ej-2a_TraySol_Mad'!$V$146:$V$150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'Ej-2a_TraySol_Mad'!$AF$146:$AF$150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0D9-4DC7-9AA1-66791E1E45C3}"/>
            </c:ext>
          </c:extLst>
        </c:ser>
        <c:ser>
          <c:idx val="15"/>
          <c:order val="13"/>
          <c:tx>
            <c:strRef>
              <c:f>'Ej-2a_TraySol_Mad'!$AG$9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'Ej-2a_TraySol_Mad'!$V$161:$V$165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'Ej-2a_TraySol_Mad'!$AG$161:$AG$165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0D9-4DC7-9AA1-66791E1E45C3}"/>
            </c:ext>
          </c:extLst>
        </c:ser>
        <c:ser>
          <c:idx val="16"/>
          <c:order val="14"/>
          <c:tx>
            <c:strRef>
              <c:f>'Ej-2a_TraySol_Mad'!$AH$9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'Ej-2a_TraySol_Mad'!$V$176:$V$180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'Ej-2a_TraySol_Mad'!$AH$176:$AH$180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0D9-4DC7-9AA1-66791E1E45C3}"/>
            </c:ext>
          </c:extLst>
        </c:ser>
        <c:ser>
          <c:idx val="17"/>
          <c:order val="15"/>
          <c:tx>
            <c:strRef>
              <c:f>'Ej-2a_TraySol_Mad'!$AI$9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'Ej-2a_TraySol_Mad'!$V$191:$V$195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'Ej-2a_TraySol_Mad'!$AI$191:$AI$195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0D9-4DC7-9AA1-66791E1E45C3}"/>
            </c:ext>
          </c:extLst>
        </c:ser>
        <c:ser>
          <c:idx val="18"/>
          <c:order val="16"/>
          <c:tx>
            <c:strRef>
              <c:f>'Ej-2a_TraySol_Mad'!$AJ$9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'Ej-2a_TraySol_Mad'!$V$206:$V$210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'Ej-2a_TraySol_Mad'!$AJ$206:$AJ$210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0D9-4DC7-9AA1-66791E1E45C3}"/>
            </c:ext>
          </c:extLst>
        </c:ser>
        <c:ser>
          <c:idx val="19"/>
          <c:order val="17"/>
          <c:tx>
            <c:strRef>
              <c:f>'Ej-2a_TraySol_Mad'!$AK$9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'Ej-2a_TraySol_Mad'!$V$221:$V$225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'Ej-2a_TraySol_Mad'!$AK$221:$AK$225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0D9-4DC7-9AA1-66791E1E45C3}"/>
            </c:ext>
          </c:extLst>
        </c:ser>
        <c:ser>
          <c:idx val="20"/>
          <c:order val="18"/>
          <c:tx>
            <c:strRef>
              <c:f>'Ej-2a_TraySol_Mad'!$AL$9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'Ej-2a_TraySol_Mad'!$V$236:$V$240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'Ej-2a_TraySol_Mad'!$AL$236:$AL$240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0D9-4DC7-9AA1-66791E1E45C3}"/>
            </c:ext>
          </c:extLst>
        </c:ser>
        <c:ser>
          <c:idx val="21"/>
          <c:order val="19"/>
          <c:tx>
            <c:strRef>
              <c:f>'Ej-2a_TraySol_Mad'!$AM$9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'Ej-2a_TraySol_Mad'!$V$251:$V$255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'Ej-2a_TraySol_Mad'!$AM$251:$AM$255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0D9-4DC7-9AA1-66791E1E45C3}"/>
            </c:ext>
          </c:extLst>
        </c:ser>
        <c:ser>
          <c:idx val="28"/>
          <c:order val="24"/>
          <c:tx>
            <c:strRef>
              <c:f>'Ej-2a_TraySol_Mad'!$R$3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'Ej-2a_TraySol_Mad'!$T$131:$T$251</c:f>
              <c:numCache>
                <c:formatCode>0.00</c:formatCode>
                <c:ptCount val="121"/>
                <c:pt idx="0">
                  <c:v>1.2173213510347086E-3</c:v>
                </c:pt>
                <c:pt idx="1">
                  <c:v>1.2172227529110393</c:v>
                </c:pt>
                <c:pt idx="2">
                  <c:v>2.4338548365214643</c:v>
                </c:pt>
                <c:pt idx="3">
                  <c:v>3.64930783211544</c:v>
                </c:pt>
                <c:pt idx="4">
                  <c:v>4.862997801707186</c:v>
                </c:pt>
                <c:pt idx="5">
                  <c:v>6.0743474776270938</c:v>
                </c:pt>
                <c:pt idx="6">
                  <c:v>7.2827883921549104</c:v>
                </c:pt>
                <c:pt idx="7">
                  <c:v>8.4877629287769771</c:v>
                </c:pt>
                <c:pt idx="8">
                  <c:v>9.6887262779695966</c:v>
                </c:pt>
                <c:pt idx="9">
                  <c:v>10.885148281954375</c:v>
                </c:pt>
                <c:pt idx="10">
                  <c:v>12.076515154652014</c:v>
                </c:pt>
                <c:pt idx="11">
                  <c:v>13.262331065011283</c:v>
                </c:pt>
                <c:pt idx="12">
                  <c:v>14.442119573967148</c:v>
                </c:pt>
                <c:pt idx="13">
                  <c:v>15.61542491743015</c:v>
                </c:pt>
                <c:pt idx="14">
                  <c:v>16.781813129898325</c:v>
                </c:pt>
                <c:pt idx="15">
                  <c:v>17.94087300543962</c:v>
                </c:pt>
                <c:pt idx="16">
                  <c:v>19.092216894900346</c:v>
                </c:pt>
                <c:pt idx="17">
                  <c:v>20.235481340194031</c:v>
                </c:pt>
                <c:pt idx="18">
                  <c:v>21.370327548396659</c:v>
                </c:pt>
                <c:pt idx="19">
                  <c:v>22.49644171007678</c:v>
                </c:pt>
                <c:pt idx="20">
                  <c:v>23.613535167816259</c:v>
                </c:pt>
                <c:pt idx="21">
                  <c:v>24.721344442197758</c:v>
                </c:pt>
                <c:pt idx="22">
                  <c:v>25.819631123653032</c:v>
                </c:pt>
                <c:pt idx="23">
                  <c:v>26.908181639470914</c:v>
                </c:pt>
                <c:pt idx="24">
                  <c:v>27.986806905957167</c:v>
                </c:pt>
                <c:pt idx="25">
                  <c:v>29.055341876230536</c:v>
                </c:pt>
                <c:pt idx="26">
                  <c:v>30.113644994441199</c:v>
                </c:pt>
                <c:pt idx="27">
                  <c:v>31.161597567313578</c:v>
                </c:pt>
                <c:pt idx="28">
                  <c:v>32.199103063878383</c:v>
                </c:pt>
                <c:pt idx="29">
                  <c:v>33.226086354068826</c:v>
                </c:pt>
                <c:pt idx="30">
                  <c:v>34.242492896546118</c:v>
                </c:pt>
                <c:pt idx="31">
                  <c:v>35.248287885699675</c:v>
                </c:pt>
                <c:pt idx="32">
                  <c:v>36.243455367261774</c:v>
                </c:pt>
                <c:pt idx="33">
                  <c:v>37.227997331404744</c:v>
                </c:pt>
                <c:pt idx="34">
                  <c:v>38.201932791561028</c:v>
                </c:pt>
                <c:pt idx="35">
                  <c:v>39.165296856548089</c:v>
                </c:pt>
                <c:pt idx="36">
                  <c:v>40.118139802902661</c:v>
                </c:pt>
                <c:pt idx="37">
                  <c:v>41.060526153638328</c:v>
                </c:pt>
                <c:pt idx="38">
                  <c:v>41.992533768963625</c:v>
                </c:pt>
                <c:pt idx="39">
                  <c:v>42.914252953827159</c:v>
                </c:pt>
                <c:pt idx="40">
                  <c:v>43.825785586514058</c:v>
                </c:pt>
                <c:pt idx="41">
                  <c:v>44.727244271900723</c:v>
                </c:pt>
                <c:pt idx="42">
                  <c:v>45.618751522395215</c:v>
                </c:pt>
                <c:pt idx="43">
                  <c:v>46.500438969044716</c:v>
                </c:pt>
                <c:pt idx="44">
                  <c:v>47.372446604790625</c:v>
                </c:pt>
                <c:pt idx="45">
                  <c:v>48.234922061387287</c:v>
                </c:pt>
                <c:pt idx="46">
                  <c:v>49.088019921082811</c:v>
                </c:pt>
                <c:pt idx="47">
                  <c:v>49.931901063781652</c:v>
                </c:pt>
                <c:pt idx="48">
                  <c:v>50.766732050072108</c:v>
                </c:pt>
                <c:pt idx="49">
                  <c:v>51.5926845402049</c:v>
                </c:pt>
                <c:pt idx="50">
                  <c:v>52.40993474884894</c:v>
                </c:pt>
                <c:pt idx="51">
                  <c:v>53.218662935227869</c:v>
                </c:pt>
                <c:pt idx="52">
                  <c:v>54.019052928049192</c:v>
                </c:pt>
                <c:pt idx="53">
                  <c:v>54.811291684478974</c:v>
                </c:pt>
                <c:pt idx="54">
                  <c:v>55.595568882284219</c:v>
                </c:pt>
                <c:pt idx="55">
                  <c:v>56.372076544158723</c:v>
                </c:pt>
                <c:pt idx="56">
                  <c:v>57.141008693167635</c:v>
                </c:pt>
                <c:pt idx="57">
                  <c:v>57.902561038183407</c:v>
                </c:pt>
                <c:pt idx="58">
                  <c:v>58.656930688144904</c:v>
                </c:pt>
                <c:pt idx="59">
                  <c:v>59.404315893944876</c:v>
                </c:pt>
                <c:pt idx="60">
                  <c:v>60.144915816739442</c:v>
                </c:pt>
                <c:pt idx="61">
                  <c:v>60.878930321475195</c:v>
                </c:pt>
                <c:pt idx="62">
                  <c:v>61.606559794440237</c:v>
                </c:pt>
                <c:pt idx="63">
                  <c:v>62.328004983667462</c:v>
                </c:pt>
                <c:pt idx="64">
                  <c:v>63.043466861047094</c:v>
                </c:pt>
                <c:pt idx="65">
                  <c:v>63.753146505039844</c:v>
                </c:pt>
                <c:pt idx="66">
                  <c:v>64.457245002923557</c:v>
                </c:pt>
                <c:pt idx="67">
                  <c:v>65.155963371550371</c:v>
                </c:pt>
                <c:pt idx="68">
                  <c:v>65.849502495639001</c:v>
                </c:pt>
                <c:pt idx="69">
                  <c:v>66.538063082677809</c:v>
                </c:pt>
                <c:pt idx="70">
                  <c:v>67.221845633566559</c:v>
                </c:pt>
                <c:pt idx="71">
                  <c:v>67.901050428176859</c:v>
                </c:pt>
                <c:pt idx="72">
                  <c:v>68.575877525067725</c:v>
                </c:pt>
                <c:pt idx="73">
                  <c:v>69.246526774644821</c:v>
                </c:pt>
                <c:pt idx="74">
                  <c:v>69.913197845107646</c:v>
                </c:pt>
                <c:pt idx="75">
                  <c:v>70.576090260582163</c:v>
                </c:pt>
                <c:pt idx="76">
                  <c:v>71.235403450890203</c:v>
                </c:pt>
                <c:pt idx="77">
                  <c:v>71.891336812458903</c:v>
                </c:pt>
                <c:pt idx="78">
                  <c:v>72.544089779925429</c:v>
                </c:pt>
                <c:pt idx="79">
                  <c:v>73.193861908042948</c:v>
                </c:pt>
                <c:pt idx="80">
                  <c:v>73.84085296354236</c:v>
                </c:pt>
                <c:pt idx="81">
                  <c:v>74.485263026653826</c:v>
                </c:pt>
                <c:pt idx="82">
                  <c:v>75.127292602038438</c:v>
                </c:pt>
                <c:pt idx="83">
                  <c:v>75.767142738926438</c:v>
                </c:pt>
                <c:pt idx="84">
                  <c:v>76.405015160303606</c:v>
                </c:pt>
                <c:pt idx="85">
                  <c:v>77.041112401030801</c:v>
                </c:pt>
                <c:pt idx="86">
                  <c:v>77.675637954824452</c:v>
                </c:pt>
                <c:pt idx="87">
                  <c:v>78.30879643006746</c:v>
                </c:pt>
                <c:pt idx="88">
                  <c:v>78.94079371446054</c:v>
                </c:pt>
                <c:pt idx="89">
                  <c:v>79.571837148563787</c:v>
                </c:pt>
                <c:pt idx="90">
                  <c:v>80.202135708317059</c:v>
                </c:pt>
                <c:pt idx="91">
                  <c:v>80.831900196665941</c:v>
                </c:pt>
                <c:pt idx="92">
                  <c:v>81.461343444456872</c:v>
                </c:pt>
                <c:pt idx="93">
                  <c:v>82.090680520801925</c:v>
                </c:pt>
                <c:pt idx="94">
                  <c:v>82.72012895314883</c:v>
                </c:pt>
                <c:pt idx="95">
                  <c:v>83.349908957327102</c:v>
                </c:pt>
                <c:pt idx="96">
                  <c:v>83.980243677874526</c:v>
                </c:pt>
                <c:pt idx="97">
                  <c:v>84.611359438982404</c:v>
                </c:pt>
                <c:pt idx="98">
                  <c:v>85.243486006428995</c:v>
                </c:pt>
                <c:pt idx="99">
                  <c:v>85.876856860902194</c:v>
                </c:pt>
                <c:pt idx="100">
                  <c:v>86.511709483142724</c:v>
                </c:pt>
                <c:pt idx="101">
                  <c:v>87.148285651366322</c:v>
                </c:pt>
                <c:pt idx="102">
                  <c:v>87.786831751451643</c:v>
                </c:pt>
                <c:pt idx="103">
                  <c:v>88.42759910040337</c:v>
                </c:pt>
                <c:pt idx="104">
                  <c:v>89.070844283624126</c:v>
                </c:pt>
                <c:pt idx="105">
                  <c:v>89.716829506545764</c:v>
                </c:pt>
                <c:pt idx="106">
                  <c:v>90.365822961188528</c:v>
                </c:pt>
                <c:pt idx="107">
                  <c:v>91.018099208225976</c:v>
                </c:pt>
                <c:pt idx="108">
                  <c:v>91.673939575140892</c:v>
                </c:pt>
                <c:pt idx="109">
                  <c:v>92.333632571057095</c:v>
                </c:pt>
                <c:pt idx="110">
                  <c:v>92.997474318825311</c:v>
                </c:pt>
                <c:pt idx="111">
                  <c:v>93.665769004924584</c:v>
                </c:pt>
                <c:pt idx="112">
                  <c:v>94.338829347715333</c:v>
                </c:pt>
                <c:pt idx="113">
                  <c:v>95.016977084540954</c:v>
                </c:pt>
                <c:pt idx="114">
                  <c:v>95.70054347812264</c:v>
                </c:pt>
                <c:pt idx="115">
                  <c:v>96.389869842621323</c:v>
                </c:pt>
                <c:pt idx="116">
                  <c:v>97.085308089651377</c:v>
                </c:pt>
                <c:pt idx="117">
                  <c:v>97.787221294416369</c:v>
                </c:pt>
                <c:pt idx="118">
                  <c:v>98.495984281996712</c:v>
                </c:pt>
                <c:pt idx="119">
                  <c:v>99.211984233645367</c:v>
                </c:pt>
                <c:pt idx="120">
                  <c:v>99.935621312737311</c:v>
                </c:pt>
              </c:numCache>
            </c:numRef>
          </c:xVal>
          <c:yVal>
            <c:numRef>
              <c:f>'Ej-2a_TraySol_Mad'!$S$131:$S$251</c:f>
              <c:numCache>
                <c:formatCode>0.00</c:formatCode>
                <c:ptCount val="121"/>
                <c:pt idx="0">
                  <c:v>36.764111708137833</c:v>
                </c:pt>
                <c:pt idx="1">
                  <c:v>36.756028436768858</c:v>
                </c:pt>
                <c:pt idx="2">
                  <c:v>36.73178616801934</c:v>
                </c:pt>
                <c:pt idx="3">
                  <c:v>36.691407584531113</c:v>
                </c:pt>
                <c:pt idx="4">
                  <c:v>36.634930363367438</c:v>
                </c:pt>
                <c:pt idx="5">
                  <c:v>36.562407014569558</c:v>
                </c:pt>
                <c:pt idx="6">
                  <c:v>36.4739046463378</c:v>
                </c:pt>
                <c:pt idx="7">
                  <c:v>36.369504667383779</c:v>
                </c:pt>
                <c:pt idx="8">
                  <c:v>36.249302429538879</c:v>
                </c:pt>
                <c:pt idx="9">
                  <c:v>36.11340681427108</c:v>
                </c:pt>
                <c:pt idx="10">
                  <c:v>35.961939767262244</c:v>
                </c:pt>
                <c:pt idx="11">
                  <c:v>35.795035785625274</c:v>
                </c:pt>
                <c:pt idx="12">
                  <c:v>35.612841362688236</c:v>
                </c:pt>
                <c:pt idx="13">
                  <c:v>35.415514395539603</c:v>
                </c:pt>
                <c:pt idx="14">
                  <c:v>35.203223560710803</c:v>
                </c:pt>
                <c:pt idx="15">
                  <c:v>34.976147663473697</c:v>
                </c:pt>
                <c:pt idx="16">
                  <c:v>34.734474966250588</c:v>
                </c:pt>
                <c:pt idx="17">
                  <c:v>34.478402501580028</c:v>
                </c:pt>
                <c:pt idx="18">
                  <c:v>34.208135374956065</c:v>
                </c:pt>
                <c:pt idx="19">
                  <c:v>33.923886062671123</c:v>
                </c:pt>
                <c:pt idx="20">
                  <c:v>33.62587370954855</c:v>
                </c:pt>
                <c:pt idx="21">
                  <c:v>33.314323431160425</c:v>
                </c:pt>
                <c:pt idx="22">
                  <c:v>32.989465624796473</c:v>
                </c:pt>
                <c:pt idx="23">
                  <c:v>32.651535293090426</c:v>
                </c:pt>
                <c:pt idx="24">
                  <c:v>32.300771383829257</c:v>
                </c:pt>
                <c:pt idx="25">
                  <c:v>31.93741614907654</c:v>
                </c:pt>
                <c:pt idx="26">
                  <c:v>31.561714526339998</c:v>
                </c:pt>
                <c:pt idx="27">
                  <c:v>31.173913544115543</c:v>
                </c:pt>
                <c:pt idx="28">
                  <c:v>30.774261753746927</c:v>
                </c:pt>
                <c:pt idx="29">
                  <c:v>30.363008689161688</c:v>
                </c:pt>
                <c:pt idx="30">
                  <c:v>29.940404355681167</c:v>
                </c:pt>
                <c:pt idx="31">
                  <c:v>29.506698748761544</c:v>
                </c:pt>
                <c:pt idx="32">
                  <c:v>29.062141403204585</c:v>
                </c:pt>
                <c:pt idx="33">
                  <c:v>28.606980973084056</c:v>
                </c:pt>
                <c:pt idx="34">
                  <c:v>28.141464842369416</c:v>
                </c:pt>
                <c:pt idx="35">
                  <c:v>27.665838765989868</c:v>
                </c:pt>
                <c:pt idx="36">
                  <c:v>27.180346540871604</c:v>
                </c:pt>
                <c:pt idx="37">
                  <c:v>26.685229706299552</c:v>
                </c:pt>
                <c:pt idx="38">
                  <c:v>26.180727272797284</c:v>
                </c:pt>
                <c:pt idx="39">
                  <c:v>25.66707547858887</c:v>
                </c:pt>
                <c:pt idx="40">
                  <c:v>25.144507572599238</c:v>
                </c:pt>
                <c:pt idx="41">
                  <c:v>24.61325362286513</c:v>
                </c:pt>
                <c:pt idx="42">
                  <c:v>24.073540349164475</c:v>
                </c:pt>
                <c:pt idx="43">
                  <c:v>23.525590978627491</c:v>
                </c:pt>
                <c:pt idx="44">
                  <c:v>22.969625123063537</c:v>
                </c:pt>
                <c:pt idx="45">
                  <c:v>22.405858676725487</c:v>
                </c:pt>
                <c:pt idx="46">
                  <c:v>21.83450373323295</c:v>
                </c:pt>
                <c:pt idx="47">
                  <c:v>21.255768520387079</c:v>
                </c:pt>
                <c:pt idx="48">
                  <c:v>20.669857351631592</c:v>
                </c:pt>
                <c:pt idx="49">
                  <c:v>20.076970592943951</c:v>
                </c:pt>
                <c:pt idx="50">
                  <c:v>19.477304643977703</c:v>
                </c:pt>
                <c:pt idx="51">
                  <c:v>18.871051932318778</c:v>
                </c:pt>
                <c:pt idx="52">
                  <c:v>18.258400919765435</c:v>
                </c:pt>
                <c:pt idx="53">
                  <c:v>17.639536119591753</c:v>
                </c:pt>
                <c:pt idx="54">
                  <c:v>17.014638123805952</c:v>
                </c:pt>
                <c:pt idx="55">
                  <c:v>16.383883639469929</c:v>
                </c:pt>
                <c:pt idx="56">
                  <c:v>15.747445533199837</c:v>
                </c:pt>
                <c:pt idx="57">
                  <c:v>15.105492883023416</c:v>
                </c:pt>
                <c:pt idx="58">
                  <c:v>14.458191036823393</c:v>
                </c:pt>
                <c:pt idx="59">
                  <c:v>13.805701676650514</c:v>
                </c:pt>
                <c:pt idx="60">
                  <c:v>13.14818288824226</c:v>
                </c:pt>
                <c:pt idx="61">
                  <c:v>12.485789235133907</c:v>
                </c:pt>
                <c:pt idx="62">
                  <c:v>11.818671836798757</c:v>
                </c:pt>
                <c:pt idx="63">
                  <c:v>11.14697845030129</c:v>
                </c:pt>
                <c:pt idx="64">
                  <c:v>10.470853554992601</c:v>
                </c:pt>
                <c:pt idx="65">
                  <c:v>9.7904384398215285</c:v>
                </c:pt>
                <c:pt idx="66">
                  <c:v>9.1058712928756194</c:v>
                </c:pt>
                <c:pt idx="67">
                  <c:v>8.4172872928055824</c:v>
                </c:pt>
                <c:pt idx="68">
                  <c:v>7.7248187018243328</c:v>
                </c:pt>
                <c:pt idx="69">
                  <c:v>7.028594960006231</c:v>
                </c:pt>
                <c:pt idx="70">
                  <c:v>6.3287427806456833</c:v>
                </c:pt>
                <c:pt idx="71">
                  <c:v>5.6253862464652826</c:v>
                </c:pt>
                <c:pt idx="72">
                  <c:v>4.9186469064925973</c:v>
                </c:pt>
                <c:pt idx="73">
                  <c:v>4.2086438734525444</c:v>
                </c:pt>
                <c:pt idx="74">
                  <c:v>3.4954939215478475</c:v>
                </c:pt>
                <c:pt idx="75">
                  <c:v>2.7793115845245069</c:v>
                </c:pt>
                <c:pt idx="76">
                  <c:v>2.0602092539413945</c:v>
                </c:pt>
                <c:pt idx="77">
                  <c:v>1.3382972775851272</c:v>
                </c:pt>
                <c:pt idx="78">
                  <c:v>0.6136840579909375</c:v>
                </c:pt>
                <c:pt idx="79">
                  <c:v>-0.11352384895080547</c:v>
                </c:pt>
                <c:pt idx="80">
                  <c:v>-0.84322163530440264</c:v>
                </c:pt>
                <c:pt idx="81">
                  <c:v>-1.5753061423005761</c:v>
                </c:pt>
                <c:pt idx="82">
                  <c:v>-2.3096757614195553</c:v>
                </c:pt>
                <c:pt idx="83">
                  <c:v>-3.0462303352990574</c:v>
                </c:pt>
                <c:pt idx="84">
                  <c:v>-3.7848710584065515</c:v>
                </c:pt>
                <c:pt idx="85">
                  <c:v>-4.5255003774007889</c:v>
                </c:pt>
                <c:pt idx="86">
                  <c:v>-5.2680218910934684</c:v>
                </c:pt>
                <c:pt idx="87">
                  <c:v>-6.0123402499090446</c:v>
                </c:pt>
                <c:pt idx="88">
                  <c:v>-6.7583610547269899</c:v>
                </c:pt>
                <c:pt idx="89">
                  <c:v>-7.5059907549779012</c:v>
                </c:pt>
                <c:pt idx="90">
                  <c:v>-8.255136545852011</c:v>
                </c:pt>
                <c:pt idx="91">
                  <c:v>-9.0057062644654593</c:v>
                </c:pt>
                <c:pt idx="92">
                  <c:v>-9.7576082848165129</c:v>
                </c:pt>
                <c:pt idx="93">
                  <c:v>-10.510751411350796</c:v>
                </c:pt>
                <c:pt idx="94">
                  <c:v>-11.26504477094079</c:v>
                </c:pt>
                <c:pt idx="95">
                  <c:v>-12.020397703070941</c:v>
                </c:pt>
                <c:pt idx="96">
                  <c:v>-12.776719648005184</c:v>
                </c:pt>
                <c:pt idx="97">
                  <c:v>-13.533920032698944</c:v>
                </c:pt>
                <c:pt idx="98">
                  <c:v>-14.29190815420182</c:v>
                </c:pt>
                <c:pt idx="99">
                  <c:v>-15.05059306028096</c:v>
                </c:pt>
                <c:pt idx="100">
                  <c:v>-15.809883426978189</c:v>
                </c:pt>
                <c:pt idx="101">
                  <c:v>-16.569687432795689</c:v>
                </c:pt>
                <c:pt idx="102">
                  <c:v>-17.32991262918668</c:v>
                </c:pt>
                <c:pt idx="103">
                  <c:v>-18.090465807006879</c:v>
                </c:pt>
                <c:pt idx="104">
                  <c:v>-18.851252858562532</c:v>
                </c:pt>
                <c:pt idx="105">
                  <c:v>-19.612178634867448</c:v>
                </c:pt>
                <c:pt idx="106">
                  <c:v>-20.373146797699405</c:v>
                </c:pt>
                <c:pt idx="107">
                  <c:v>-21.134059666020363</c:v>
                </c:pt>
                <c:pt idx="108">
                  <c:v>-21.894818056299755</c:v>
                </c:pt>
                <c:pt idx="109">
                  <c:v>-22.65532111625221</c:v>
                </c:pt>
                <c:pt idx="110">
                  <c:v>-23.415466151472543</c:v>
                </c:pt>
                <c:pt idx="111">
                  <c:v>-24.175148444420245</c:v>
                </c:pt>
                <c:pt idx="112">
                  <c:v>-24.934261065174098</c:v>
                </c:pt>
                <c:pt idx="113">
                  <c:v>-25.692694673344462</c:v>
                </c:pt>
                <c:pt idx="114">
                  <c:v>-26.450337310496224</c:v>
                </c:pt>
                <c:pt idx="115">
                  <c:v>-27.207074182399509</c:v>
                </c:pt>
                <c:pt idx="116">
                  <c:v>-27.962787430389071</c:v>
                </c:pt>
                <c:pt idx="117">
                  <c:v>-28.71735589107422</c:v>
                </c:pt>
                <c:pt idx="118">
                  <c:v>-29.470654843604763</c:v>
                </c:pt>
                <c:pt idx="119">
                  <c:v>-30.222555743657779</c:v>
                </c:pt>
                <c:pt idx="120">
                  <c:v>-30.972925943273452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0D9-4DC7-9AA1-66791E1E4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8208"/>
        <c:axId val="39520128"/>
      </c:scatterChart>
      <c:scatterChart>
        <c:scatterStyle val="lineMarker"/>
        <c:varyColors val="0"/>
        <c:ser>
          <c:idx val="22"/>
          <c:order val="20"/>
          <c:tx>
            <c:strRef>
              <c:f>'Ej-2a_TraySol_Mad'!$C$3</c:f>
              <c:strCache>
                <c:ptCount val="1"/>
                <c:pt idx="0">
                  <c:v>S.Junio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'Ej-2a_TraySol_Mad'!$E$131:$E$251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'Ej-2a_TraySol_Mad'!$D$131:$D$251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0D9-4DC7-9AA1-66791E1E45C3}"/>
            </c:ext>
          </c:extLst>
        </c:ser>
        <c:ser>
          <c:idx val="24"/>
          <c:order val="21"/>
          <c:tx>
            <c:strRef>
              <c:f>'Ej-2a_TraySol_Mad'!$J$7</c:f>
              <c:strCache>
                <c:ptCount val="1"/>
                <c:pt idx="0">
                  <c:v>EQUI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'Ej-2a_TraySol_Mad'!$K$131:$K$251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'Ej-2a_TraySol_Mad'!$J$131:$J$251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0D9-4DC7-9AA1-66791E1E45C3}"/>
            </c:ext>
          </c:extLst>
        </c:ser>
        <c:ser>
          <c:idx val="26"/>
          <c:order val="22"/>
          <c:tx>
            <c:strRef>
              <c:f>'Ej-2a_TraySol_Mad'!$P$7</c:f>
              <c:strCache>
                <c:ptCount val="1"/>
                <c:pt idx="0">
                  <c:v>SINV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'Ej-2a_TraySol_Mad'!$Q$131:$Q$251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'Ej-2a_TraySol_Mad'!$P$131:$P$251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0D9-4DC7-9AA1-66791E1E45C3}"/>
            </c:ext>
          </c:extLst>
        </c:ser>
        <c:ser>
          <c:idx val="27"/>
          <c:order val="23"/>
          <c:tx>
            <c:strRef>
              <c:f>'Ej-2a_TraySol_Mad'!$R$3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'Ej-2a_TraySol_Mad'!$T$10:$T$130</c:f>
              <c:numCache>
                <c:formatCode>0.00</c:formatCode>
                <c:ptCount val="121"/>
                <c:pt idx="0">
                  <c:v>-99.935621312737311</c:v>
                </c:pt>
                <c:pt idx="1">
                  <c:v>-99.211984233645367</c:v>
                </c:pt>
                <c:pt idx="2">
                  <c:v>-98.495984281996712</c:v>
                </c:pt>
                <c:pt idx="3">
                  <c:v>-97.787221294416369</c:v>
                </c:pt>
                <c:pt idx="4">
                  <c:v>-97.085308089651377</c:v>
                </c:pt>
                <c:pt idx="5">
                  <c:v>-96.389869842621323</c:v>
                </c:pt>
                <c:pt idx="6">
                  <c:v>-95.70054347812264</c:v>
                </c:pt>
                <c:pt idx="7">
                  <c:v>-95.016977084540954</c:v>
                </c:pt>
                <c:pt idx="8">
                  <c:v>-94.338829347715333</c:v>
                </c:pt>
                <c:pt idx="9">
                  <c:v>-93.665769004924584</c:v>
                </c:pt>
                <c:pt idx="10">
                  <c:v>-92.997474318825311</c:v>
                </c:pt>
                <c:pt idx="11">
                  <c:v>-92.333632571057095</c:v>
                </c:pt>
                <c:pt idx="12">
                  <c:v>-91.673939575140892</c:v>
                </c:pt>
                <c:pt idx="13">
                  <c:v>-91.018099208225976</c:v>
                </c:pt>
                <c:pt idx="14">
                  <c:v>-90.365822961188528</c:v>
                </c:pt>
                <c:pt idx="15">
                  <c:v>-89.716829506545764</c:v>
                </c:pt>
                <c:pt idx="16">
                  <c:v>-89.070844283624126</c:v>
                </c:pt>
                <c:pt idx="17">
                  <c:v>-88.42759910040337</c:v>
                </c:pt>
                <c:pt idx="18">
                  <c:v>-87.786831751451643</c:v>
                </c:pt>
                <c:pt idx="19">
                  <c:v>-87.148285651366322</c:v>
                </c:pt>
                <c:pt idx="20">
                  <c:v>-86.511709483142724</c:v>
                </c:pt>
                <c:pt idx="21">
                  <c:v>-85.876856860902194</c:v>
                </c:pt>
                <c:pt idx="22">
                  <c:v>-85.243486006428995</c:v>
                </c:pt>
                <c:pt idx="23">
                  <c:v>-84.611359438982404</c:v>
                </c:pt>
                <c:pt idx="24">
                  <c:v>-83.980243677874526</c:v>
                </c:pt>
                <c:pt idx="25">
                  <c:v>-83.349908957327102</c:v>
                </c:pt>
                <c:pt idx="26">
                  <c:v>-82.72012895314883</c:v>
                </c:pt>
                <c:pt idx="27">
                  <c:v>-82.090680520801925</c:v>
                </c:pt>
                <c:pt idx="28">
                  <c:v>-81.461343444456872</c:v>
                </c:pt>
                <c:pt idx="29">
                  <c:v>-80.831900196665941</c:v>
                </c:pt>
                <c:pt idx="30">
                  <c:v>-80.202135708317059</c:v>
                </c:pt>
                <c:pt idx="31">
                  <c:v>-79.571837148563787</c:v>
                </c:pt>
                <c:pt idx="32">
                  <c:v>-78.94079371446054</c:v>
                </c:pt>
                <c:pt idx="33">
                  <c:v>-78.30879643006746</c:v>
                </c:pt>
                <c:pt idx="34">
                  <c:v>-77.675637954824452</c:v>
                </c:pt>
                <c:pt idx="35">
                  <c:v>-77.041112401030801</c:v>
                </c:pt>
                <c:pt idx="36">
                  <c:v>-76.405015160303606</c:v>
                </c:pt>
                <c:pt idx="37">
                  <c:v>-75.767142738926438</c:v>
                </c:pt>
                <c:pt idx="38">
                  <c:v>-75.127292602038438</c:v>
                </c:pt>
                <c:pt idx="39">
                  <c:v>-74.485263026653826</c:v>
                </c:pt>
                <c:pt idx="40">
                  <c:v>-73.84085296354236</c:v>
                </c:pt>
                <c:pt idx="41">
                  <c:v>-73.193861908042948</c:v>
                </c:pt>
                <c:pt idx="42">
                  <c:v>-72.544089779925429</c:v>
                </c:pt>
                <c:pt idx="43">
                  <c:v>-71.891336812458903</c:v>
                </c:pt>
                <c:pt idx="44">
                  <c:v>-71.235403450890203</c:v>
                </c:pt>
                <c:pt idx="45">
                  <c:v>-70.576090260582163</c:v>
                </c:pt>
                <c:pt idx="46">
                  <c:v>-69.913197845107646</c:v>
                </c:pt>
                <c:pt idx="47">
                  <c:v>-69.246526774644821</c:v>
                </c:pt>
                <c:pt idx="48">
                  <c:v>-68.575877525067725</c:v>
                </c:pt>
                <c:pt idx="49">
                  <c:v>-67.901050428176859</c:v>
                </c:pt>
                <c:pt idx="50">
                  <c:v>-67.221845633566559</c:v>
                </c:pt>
                <c:pt idx="51">
                  <c:v>-66.538063082677809</c:v>
                </c:pt>
                <c:pt idx="52">
                  <c:v>-65.849502495639001</c:v>
                </c:pt>
                <c:pt idx="53">
                  <c:v>-65.155963371550371</c:v>
                </c:pt>
                <c:pt idx="54">
                  <c:v>-64.457245002923557</c:v>
                </c:pt>
                <c:pt idx="55">
                  <c:v>-63.753146505039844</c:v>
                </c:pt>
                <c:pt idx="56">
                  <c:v>-63.043466861047094</c:v>
                </c:pt>
                <c:pt idx="57">
                  <c:v>-62.328004983667462</c:v>
                </c:pt>
                <c:pt idx="58">
                  <c:v>-61.606559794440237</c:v>
                </c:pt>
                <c:pt idx="59">
                  <c:v>-60.878930321475195</c:v>
                </c:pt>
                <c:pt idx="60">
                  <c:v>-60.144915816739442</c:v>
                </c:pt>
                <c:pt idx="61">
                  <c:v>-59.404315893944876</c:v>
                </c:pt>
                <c:pt idx="62">
                  <c:v>-58.656930688144904</c:v>
                </c:pt>
                <c:pt idx="63">
                  <c:v>-57.902561038183407</c:v>
                </c:pt>
                <c:pt idx="64">
                  <c:v>-57.141008693167635</c:v>
                </c:pt>
                <c:pt idx="65">
                  <c:v>-56.372076544158723</c:v>
                </c:pt>
                <c:pt idx="66">
                  <c:v>-55.595568882284219</c:v>
                </c:pt>
                <c:pt idx="67">
                  <c:v>-54.811291684478974</c:v>
                </c:pt>
                <c:pt idx="68">
                  <c:v>-54.019052928049192</c:v>
                </c:pt>
                <c:pt idx="69">
                  <c:v>-53.218662935227869</c:v>
                </c:pt>
                <c:pt idx="70">
                  <c:v>-52.40993474884894</c:v>
                </c:pt>
                <c:pt idx="71">
                  <c:v>-51.5926845402049</c:v>
                </c:pt>
                <c:pt idx="72">
                  <c:v>-50.766732050072108</c:v>
                </c:pt>
                <c:pt idx="73">
                  <c:v>-49.931901063781652</c:v>
                </c:pt>
                <c:pt idx="74">
                  <c:v>-49.088019921082811</c:v>
                </c:pt>
                <c:pt idx="75">
                  <c:v>-48.234922061387287</c:v>
                </c:pt>
                <c:pt idx="76">
                  <c:v>-47.372446604790625</c:v>
                </c:pt>
                <c:pt idx="77">
                  <c:v>-46.500438969044716</c:v>
                </c:pt>
                <c:pt idx="78">
                  <c:v>-45.618751522395215</c:v>
                </c:pt>
                <c:pt idx="79">
                  <c:v>-44.727244271900723</c:v>
                </c:pt>
                <c:pt idx="80">
                  <c:v>-43.825785586514058</c:v>
                </c:pt>
                <c:pt idx="81">
                  <c:v>-42.914252953827159</c:v>
                </c:pt>
                <c:pt idx="82">
                  <c:v>-41.992533768963625</c:v>
                </c:pt>
                <c:pt idx="83">
                  <c:v>-41.060526153638328</c:v>
                </c:pt>
                <c:pt idx="84">
                  <c:v>-40.118139802902661</c:v>
                </c:pt>
                <c:pt idx="85">
                  <c:v>-39.165296856548089</c:v>
                </c:pt>
                <c:pt idx="86">
                  <c:v>-38.201932791561028</c:v>
                </c:pt>
                <c:pt idx="87">
                  <c:v>-37.227997331404744</c:v>
                </c:pt>
                <c:pt idx="88">
                  <c:v>-36.243455367261774</c:v>
                </c:pt>
                <c:pt idx="89">
                  <c:v>-35.248287885699675</c:v>
                </c:pt>
                <c:pt idx="90">
                  <c:v>-34.242492896546118</c:v>
                </c:pt>
                <c:pt idx="91">
                  <c:v>-33.226086354068826</c:v>
                </c:pt>
                <c:pt idx="92">
                  <c:v>-32.199103063878383</c:v>
                </c:pt>
                <c:pt idx="93">
                  <c:v>-31.161597567313578</c:v>
                </c:pt>
                <c:pt idx="94">
                  <c:v>-30.113644994441199</c:v>
                </c:pt>
                <c:pt idx="95">
                  <c:v>-29.055341876230536</c:v>
                </c:pt>
                <c:pt idx="96">
                  <c:v>-27.986806905957167</c:v>
                </c:pt>
                <c:pt idx="97">
                  <c:v>-26.908181639470914</c:v>
                </c:pt>
                <c:pt idx="98">
                  <c:v>-25.819631123653032</c:v>
                </c:pt>
                <c:pt idx="99">
                  <c:v>-24.721344442197758</c:v>
                </c:pt>
                <c:pt idx="100">
                  <c:v>-23.613535167816259</c:v>
                </c:pt>
                <c:pt idx="101">
                  <c:v>-22.49644171007678</c:v>
                </c:pt>
                <c:pt idx="102">
                  <c:v>-21.370327548396659</c:v>
                </c:pt>
                <c:pt idx="103">
                  <c:v>-20.235481340194031</c:v>
                </c:pt>
                <c:pt idx="104">
                  <c:v>-19.092216894900346</c:v>
                </c:pt>
                <c:pt idx="105">
                  <c:v>-17.94087300543962</c:v>
                </c:pt>
                <c:pt idx="106">
                  <c:v>-16.781813129898325</c:v>
                </c:pt>
                <c:pt idx="107">
                  <c:v>-15.61542491743015</c:v>
                </c:pt>
                <c:pt idx="108">
                  <c:v>-14.442119573967148</c:v>
                </c:pt>
                <c:pt idx="109">
                  <c:v>-13.262331065011283</c:v>
                </c:pt>
                <c:pt idx="110">
                  <c:v>-12.076515154652014</c:v>
                </c:pt>
                <c:pt idx="111">
                  <c:v>-10.885148281954375</c:v>
                </c:pt>
                <c:pt idx="112">
                  <c:v>-9.6887262779695966</c:v>
                </c:pt>
                <c:pt idx="113">
                  <c:v>-8.4877629287769771</c:v>
                </c:pt>
                <c:pt idx="114">
                  <c:v>-7.2827883921549104</c:v>
                </c:pt>
                <c:pt idx="115">
                  <c:v>-6.0743474776270938</c:v>
                </c:pt>
                <c:pt idx="116">
                  <c:v>-4.862997801707186</c:v>
                </c:pt>
                <c:pt idx="117">
                  <c:v>-3.64930783211544</c:v>
                </c:pt>
                <c:pt idx="118">
                  <c:v>-2.4338548365214643</c:v>
                </c:pt>
                <c:pt idx="119">
                  <c:v>-1.2172227529110393</c:v>
                </c:pt>
                <c:pt idx="120">
                  <c:v>-1.2173213510347086E-3</c:v>
                </c:pt>
              </c:numCache>
            </c:numRef>
          </c:xVal>
          <c:yVal>
            <c:numRef>
              <c:f>'Ej-2a_TraySol_Mad'!$S$10:$S$130</c:f>
              <c:numCache>
                <c:formatCode>0.00</c:formatCode>
                <c:ptCount val="121"/>
                <c:pt idx="0">
                  <c:v>-30.972925943273452</c:v>
                </c:pt>
                <c:pt idx="1">
                  <c:v>-30.222555743657779</c:v>
                </c:pt>
                <c:pt idx="2">
                  <c:v>-29.470654843604763</c:v>
                </c:pt>
                <c:pt idx="3">
                  <c:v>-28.71735589107422</c:v>
                </c:pt>
                <c:pt idx="4">
                  <c:v>-27.962787430389071</c:v>
                </c:pt>
                <c:pt idx="5">
                  <c:v>-27.207074182399509</c:v>
                </c:pt>
                <c:pt idx="6">
                  <c:v>-26.450337310496224</c:v>
                </c:pt>
                <c:pt idx="7">
                  <c:v>-25.692694673344462</c:v>
                </c:pt>
                <c:pt idx="8">
                  <c:v>-24.934261065174098</c:v>
                </c:pt>
                <c:pt idx="9">
                  <c:v>-24.175148444420245</c:v>
                </c:pt>
                <c:pt idx="10">
                  <c:v>-23.415466151472543</c:v>
                </c:pt>
                <c:pt idx="11">
                  <c:v>-22.65532111625221</c:v>
                </c:pt>
                <c:pt idx="12">
                  <c:v>-21.894818056299755</c:v>
                </c:pt>
                <c:pt idx="13">
                  <c:v>-21.134059666020363</c:v>
                </c:pt>
                <c:pt idx="14">
                  <c:v>-20.373146797699405</c:v>
                </c:pt>
                <c:pt idx="15">
                  <c:v>-19.612178634867448</c:v>
                </c:pt>
                <c:pt idx="16">
                  <c:v>-18.851252858562532</c:v>
                </c:pt>
                <c:pt idx="17">
                  <c:v>-18.090465807006879</c:v>
                </c:pt>
                <c:pt idx="18">
                  <c:v>-17.32991262918668</c:v>
                </c:pt>
                <c:pt idx="19">
                  <c:v>-16.569687432795689</c:v>
                </c:pt>
                <c:pt idx="20">
                  <c:v>-15.809883426978189</c:v>
                </c:pt>
                <c:pt idx="21">
                  <c:v>-15.05059306028096</c:v>
                </c:pt>
                <c:pt idx="22">
                  <c:v>-14.29190815420182</c:v>
                </c:pt>
                <c:pt idx="23">
                  <c:v>-13.533920032698944</c:v>
                </c:pt>
                <c:pt idx="24">
                  <c:v>-12.776719648005184</c:v>
                </c:pt>
                <c:pt idx="25">
                  <c:v>-12.020397703070941</c:v>
                </c:pt>
                <c:pt idx="26">
                  <c:v>-11.26504477094079</c:v>
                </c:pt>
                <c:pt idx="27">
                  <c:v>-10.510751411350796</c:v>
                </c:pt>
                <c:pt idx="28">
                  <c:v>-9.7576082848165129</c:v>
                </c:pt>
                <c:pt idx="29">
                  <c:v>-9.0057062644654593</c:v>
                </c:pt>
                <c:pt idx="30">
                  <c:v>-8.255136545852011</c:v>
                </c:pt>
                <c:pt idx="31">
                  <c:v>-7.5059907549779012</c:v>
                </c:pt>
                <c:pt idx="32">
                  <c:v>-6.7583610547269899</c:v>
                </c:pt>
                <c:pt idx="33">
                  <c:v>-6.0123402499090446</c:v>
                </c:pt>
                <c:pt idx="34">
                  <c:v>-5.2680218910934684</c:v>
                </c:pt>
                <c:pt idx="35">
                  <c:v>-4.5255003774007889</c:v>
                </c:pt>
                <c:pt idx="36">
                  <c:v>-3.7848710584065515</c:v>
                </c:pt>
                <c:pt idx="37">
                  <c:v>-3.0462303352990574</c:v>
                </c:pt>
                <c:pt idx="38">
                  <c:v>-2.3096757614195553</c:v>
                </c:pt>
                <c:pt idx="39">
                  <c:v>-1.5753061423005761</c:v>
                </c:pt>
                <c:pt idx="40">
                  <c:v>-0.84322163530440264</c:v>
                </c:pt>
                <c:pt idx="41">
                  <c:v>-0.11352384895080547</c:v>
                </c:pt>
                <c:pt idx="42">
                  <c:v>0.6136840579909375</c:v>
                </c:pt>
                <c:pt idx="43">
                  <c:v>1.3382972775851272</c:v>
                </c:pt>
                <c:pt idx="44">
                  <c:v>2.0602092539413945</c:v>
                </c:pt>
                <c:pt idx="45">
                  <c:v>2.7793115845245069</c:v>
                </c:pt>
                <c:pt idx="46">
                  <c:v>3.4954939215478475</c:v>
                </c:pt>
                <c:pt idx="47">
                  <c:v>4.2086438734525444</c:v>
                </c:pt>
                <c:pt idx="48">
                  <c:v>4.9186469064925973</c:v>
                </c:pt>
                <c:pt idx="49">
                  <c:v>5.6253862464652826</c:v>
                </c:pt>
                <c:pt idx="50">
                  <c:v>6.3287427806456833</c:v>
                </c:pt>
                <c:pt idx="51">
                  <c:v>7.028594960006231</c:v>
                </c:pt>
                <c:pt idx="52">
                  <c:v>7.7248187018243328</c:v>
                </c:pt>
                <c:pt idx="53">
                  <c:v>8.4172872928055824</c:v>
                </c:pt>
                <c:pt idx="54">
                  <c:v>9.1058712928756194</c:v>
                </c:pt>
                <c:pt idx="55">
                  <c:v>9.7904384398215285</c:v>
                </c:pt>
                <c:pt idx="56">
                  <c:v>10.470853554992601</c:v>
                </c:pt>
                <c:pt idx="57">
                  <c:v>11.14697845030129</c:v>
                </c:pt>
                <c:pt idx="58">
                  <c:v>11.818671836798757</c:v>
                </c:pt>
                <c:pt idx="59">
                  <c:v>12.485789235133907</c:v>
                </c:pt>
                <c:pt idx="60">
                  <c:v>13.14818288824226</c:v>
                </c:pt>
                <c:pt idx="61">
                  <c:v>13.805701676650514</c:v>
                </c:pt>
                <c:pt idx="62">
                  <c:v>14.458191036823393</c:v>
                </c:pt>
                <c:pt idx="63">
                  <c:v>15.105492883023416</c:v>
                </c:pt>
                <c:pt idx="64">
                  <c:v>15.747445533199837</c:v>
                </c:pt>
                <c:pt idx="65">
                  <c:v>16.383883639469929</c:v>
                </c:pt>
                <c:pt idx="66">
                  <c:v>17.014638123805952</c:v>
                </c:pt>
                <c:pt idx="67">
                  <c:v>17.639536119591753</c:v>
                </c:pt>
                <c:pt idx="68">
                  <c:v>18.258400919765435</c:v>
                </c:pt>
                <c:pt idx="69">
                  <c:v>18.871051932318778</c:v>
                </c:pt>
                <c:pt idx="70">
                  <c:v>19.477304643977703</c:v>
                </c:pt>
                <c:pt idx="71">
                  <c:v>20.076970592943951</c:v>
                </c:pt>
                <c:pt idx="72">
                  <c:v>20.669857351631592</c:v>
                </c:pt>
                <c:pt idx="73">
                  <c:v>21.255768520387079</c:v>
                </c:pt>
                <c:pt idx="74">
                  <c:v>21.83450373323295</c:v>
                </c:pt>
                <c:pt idx="75">
                  <c:v>22.405858676725487</c:v>
                </c:pt>
                <c:pt idx="76">
                  <c:v>22.969625123063537</c:v>
                </c:pt>
                <c:pt idx="77">
                  <c:v>23.525590978627491</c:v>
                </c:pt>
                <c:pt idx="78">
                  <c:v>24.073540349164475</c:v>
                </c:pt>
                <c:pt idx="79">
                  <c:v>24.61325362286513</c:v>
                </c:pt>
                <c:pt idx="80">
                  <c:v>25.144507572599238</c:v>
                </c:pt>
                <c:pt idx="81">
                  <c:v>25.66707547858887</c:v>
                </c:pt>
                <c:pt idx="82">
                  <c:v>26.180727272797284</c:v>
                </c:pt>
                <c:pt idx="83">
                  <c:v>26.685229706299552</c:v>
                </c:pt>
                <c:pt idx="84">
                  <c:v>27.180346540871604</c:v>
                </c:pt>
                <c:pt idx="85">
                  <c:v>27.665838765989868</c:v>
                </c:pt>
                <c:pt idx="86">
                  <c:v>28.141464842369416</c:v>
                </c:pt>
                <c:pt idx="87">
                  <c:v>28.606980973084056</c:v>
                </c:pt>
                <c:pt idx="88">
                  <c:v>29.062141403204585</c:v>
                </c:pt>
                <c:pt idx="89">
                  <c:v>29.506698748761544</c:v>
                </c:pt>
                <c:pt idx="90">
                  <c:v>29.940404355681167</c:v>
                </c:pt>
                <c:pt idx="91">
                  <c:v>30.363008689161688</c:v>
                </c:pt>
                <c:pt idx="92">
                  <c:v>30.774261753746927</c:v>
                </c:pt>
                <c:pt idx="93">
                  <c:v>31.173913544115543</c:v>
                </c:pt>
                <c:pt idx="94">
                  <c:v>31.561714526339998</c:v>
                </c:pt>
                <c:pt idx="95">
                  <c:v>31.93741614907654</c:v>
                </c:pt>
                <c:pt idx="96">
                  <c:v>32.300771383829257</c:v>
                </c:pt>
                <c:pt idx="97">
                  <c:v>32.651535293090426</c:v>
                </c:pt>
                <c:pt idx="98">
                  <c:v>32.989465624796473</c:v>
                </c:pt>
                <c:pt idx="99">
                  <c:v>33.314323431160425</c:v>
                </c:pt>
                <c:pt idx="100">
                  <c:v>33.62587370954855</c:v>
                </c:pt>
                <c:pt idx="101">
                  <c:v>33.923886062671123</c:v>
                </c:pt>
                <c:pt idx="102">
                  <c:v>34.208135374956065</c:v>
                </c:pt>
                <c:pt idx="103">
                  <c:v>34.478402501580028</c:v>
                </c:pt>
                <c:pt idx="104">
                  <c:v>34.734474966250588</c:v>
                </c:pt>
                <c:pt idx="105">
                  <c:v>34.976147663473697</c:v>
                </c:pt>
                <c:pt idx="106">
                  <c:v>35.203223560710803</c:v>
                </c:pt>
                <c:pt idx="107">
                  <c:v>35.415514395539603</c:v>
                </c:pt>
                <c:pt idx="108">
                  <c:v>35.612841362688236</c:v>
                </c:pt>
                <c:pt idx="109">
                  <c:v>35.795035785625274</c:v>
                </c:pt>
                <c:pt idx="110">
                  <c:v>35.961939767262244</c:v>
                </c:pt>
                <c:pt idx="111">
                  <c:v>36.11340681427108</c:v>
                </c:pt>
                <c:pt idx="112">
                  <c:v>36.249302429538879</c:v>
                </c:pt>
                <c:pt idx="113">
                  <c:v>36.369504667383779</c:v>
                </c:pt>
                <c:pt idx="114">
                  <c:v>36.4739046463378</c:v>
                </c:pt>
                <c:pt idx="115">
                  <c:v>36.562407014569558</c:v>
                </c:pt>
                <c:pt idx="116">
                  <c:v>36.634930363367438</c:v>
                </c:pt>
                <c:pt idx="117">
                  <c:v>36.691407584531113</c:v>
                </c:pt>
                <c:pt idx="118">
                  <c:v>36.73178616801934</c:v>
                </c:pt>
                <c:pt idx="119">
                  <c:v>36.756028436768858</c:v>
                </c:pt>
                <c:pt idx="120">
                  <c:v>36.764111708137833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0D9-4DC7-9AA1-66791E1E4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1664"/>
        <c:axId val="39531648"/>
      </c:scatterChart>
      <c:valAx>
        <c:axId val="39518208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2664606242"/>
              <c:y val="0.908222491419341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9520128"/>
        <c:crosses val="autoZero"/>
        <c:crossBetween val="midCat"/>
        <c:majorUnit val="30"/>
      </c:valAx>
      <c:valAx>
        <c:axId val="39520128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9518208"/>
        <c:crossesAt val="0"/>
        <c:crossBetween val="midCat"/>
        <c:majorUnit val="10"/>
      </c:valAx>
      <c:valAx>
        <c:axId val="39521664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39531648"/>
        <c:crossesAt val="0"/>
        <c:crossBetween val="midCat"/>
      </c:valAx>
      <c:valAx>
        <c:axId val="39531648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330"/>
            </a:pPr>
            <a:endParaRPr lang="es-ES"/>
          </a:p>
        </c:txPr>
        <c:crossAx val="39521664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</a:t>
            </a:r>
          </a:p>
        </c:rich>
      </c:tx>
      <c:layout>
        <c:manualLayout>
          <c:xMode val="edge"/>
          <c:yMode val="edge"/>
          <c:x val="6.1943276507912232E-2"/>
          <c:y val="3.6693317181506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88740350108E-2"/>
          <c:y val="9.0189293128623851E-2"/>
          <c:w val="0.87085150599556327"/>
          <c:h val="0.722754020855137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'Ej-2b_Munich'!$D$7</c:f>
              <c:strCache>
                <c:ptCount val="1"/>
                <c:pt idx="0">
                  <c:v>SVER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'Ej-2b_Munich'!$E$10:$E$130</c:f>
              <c:numCache>
                <c:formatCode>0.00</c:formatCode>
                <c:ptCount val="121"/>
                <c:pt idx="0">
                  <c:v>-127.38850858750132</c:v>
                </c:pt>
                <c:pt idx="1">
                  <c:v>-126.64173655955932</c:v>
                </c:pt>
                <c:pt idx="2">
                  <c:v>-125.8986904391157</c:v>
                </c:pt>
                <c:pt idx="3">
                  <c:v>-125.15927460898261</c:v>
                </c:pt>
                <c:pt idx="4">
                  <c:v>-124.42339057782527</c:v>
                </c:pt>
                <c:pt idx="5">
                  <c:v>-123.69093705775794</c:v>
                </c:pt>
                <c:pt idx="6">
                  <c:v>-122.96181003479269</c:v>
                </c:pt>
                <c:pt idx="7">
                  <c:v>-122.23590283203805</c:v>
                </c:pt>
                <c:pt idx="8">
                  <c:v>-121.51310616555779</c:v>
                </c:pt>
                <c:pt idx="9">
                  <c:v>-120.79330819281071</c:v>
                </c:pt>
                <c:pt idx="10">
                  <c:v>-120.07639455360064</c:v>
                </c:pt>
                <c:pt idx="11">
                  <c:v>-119.36224840347282</c:v>
                </c:pt>
                <c:pt idx="12">
                  <c:v>-118.65075043949679</c:v>
                </c:pt>
                <c:pt idx="13">
                  <c:v>-117.94177891837896</c:v>
                </c:pt>
                <c:pt idx="14">
                  <c:v>-117.23520966684802</c:v>
                </c:pt>
                <c:pt idx="15">
                  <c:v>-116.53091608425655</c:v>
                </c:pt>
                <c:pt idx="16">
                  <c:v>-115.82876913733779</c:v>
                </c:pt>
                <c:pt idx="17">
                  <c:v>-115.12863734705395</c:v>
                </c:pt>
                <c:pt idx="18">
                  <c:v>-114.43038676746509</c:v>
                </c:pt>
                <c:pt idx="19">
                  <c:v>-113.73388095654092</c:v>
                </c:pt>
                <c:pt idx="20">
                  <c:v>-113.03898093882904</c:v>
                </c:pt>
                <c:pt idx="21">
                  <c:v>-112.34554515988289</c:v>
                </c:pt>
                <c:pt idx="22">
                  <c:v>-111.65342943234077</c:v>
                </c:pt>
                <c:pt idx="23">
                  <c:v>-110.96248687353535</c:v>
                </c:pt>
                <c:pt idx="24">
                  <c:v>-110.27256783449837</c:v>
                </c:pt>
                <c:pt idx="25">
                  <c:v>-109.58351982021017</c:v>
                </c:pt>
                <c:pt idx="26">
                  <c:v>-108.89518740092839</c:v>
                </c:pt>
                <c:pt idx="27">
                  <c:v>-108.20741211441103</c:v>
                </c:pt>
                <c:pt idx="28">
                  <c:v>-107.5200323588321</c:v>
                </c:pt>
                <c:pt idx="29">
                  <c:v>-106.83288327616863</c:v>
                </c:pt>
                <c:pt idx="30">
                  <c:v>-106.1457966258162</c:v>
                </c:pt>
                <c:pt idx="31">
                  <c:v>-105.45860064817049</c:v>
                </c:pt>
                <c:pt idx="32">
                  <c:v>-104.77111991788892</c:v>
                </c:pt>
                <c:pt idx="33">
                  <c:v>-104.08317518652466</c:v>
                </c:pt>
                <c:pt idx="34">
                  <c:v>-103.39458321420031</c:v>
                </c:pt>
                <c:pt idx="35">
                  <c:v>-102.70515658996599</c:v>
                </c:pt>
                <c:pt idx="36">
                  <c:v>-102.01470354046018</c:v>
                </c:pt>
                <c:pt idx="37">
                  <c:v>-101.3230277264674</c:v>
                </c:pt>
                <c:pt idx="38">
                  <c:v>-100.62992802694137</c:v>
                </c:pt>
                <c:pt idx="39">
                  <c:v>-99.9351983100361</c:v>
                </c:pt>
                <c:pt idx="40">
                  <c:v>-99.238627190662726</c:v>
                </c:pt>
                <c:pt idx="41">
                  <c:v>-98.53999777406456</c:v>
                </c:pt>
                <c:pt idx="42">
                  <c:v>-97.839087384877885</c:v>
                </c:pt>
                <c:pt idx="43">
                  <c:v>-97.135667281124384</c:v>
                </c:pt>
                <c:pt idx="44">
                  <c:v>-96.429502352557151</c:v>
                </c:pt>
                <c:pt idx="45">
                  <c:v>-95.720350802764088</c:v>
                </c:pt>
                <c:pt idx="46">
                  <c:v>-95.007963814414651</c:v>
                </c:pt>
                <c:pt idx="47">
                  <c:v>-94.292085197021947</c:v>
                </c:pt>
                <c:pt idx="48">
                  <c:v>-93.572451016582576</c:v>
                </c:pt>
                <c:pt idx="49">
                  <c:v>-92.848789206452508</c:v>
                </c:pt>
                <c:pt idx="50">
                  <c:v>-92.120819158818591</c:v>
                </c:pt>
                <c:pt idx="51">
                  <c:v>-91.388251296135195</c:v>
                </c:pt>
                <c:pt idx="52">
                  <c:v>-90.650786621914904</c:v>
                </c:pt>
                <c:pt idx="53">
                  <c:v>-89.908116250291968</c:v>
                </c:pt>
                <c:pt idx="54">
                  <c:v>-89.159920913821566</c:v>
                </c:pt>
                <c:pt idx="55">
                  <c:v>-88.405870449037721</c:v>
                </c:pt>
                <c:pt idx="56">
                  <c:v>-87.64562325937213</c:v>
                </c:pt>
                <c:pt idx="57">
                  <c:v>-86.878825755137782</c:v>
                </c:pt>
                <c:pt idx="58">
                  <c:v>-86.105111770409806</c:v>
                </c:pt>
                <c:pt idx="59">
                  <c:v>-85.324101956796042</c:v>
                </c:pt>
                <c:pt idx="60">
                  <c:v>-84.535403154285959</c:v>
                </c:pt>
                <c:pt idx="61">
                  <c:v>-83.738607739607048</c:v>
                </c:pt>
                <c:pt idx="62">
                  <c:v>-82.933292952806539</c:v>
                </c:pt>
                <c:pt idx="63">
                  <c:v>-82.119020203125345</c:v>
                </c:pt>
                <c:pt idx="64">
                  <c:v>-81.295334355646247</c:v>
                </c:pt>
                <c:pt idx="65">
                  <c:v>-80.461763000692173</c:v>
                </c:pt>
                <c:pt idx="66">
                  <c:v>-79.617815708535801</c:v>
                </c:pt>
                <c:pt idx="67">
                  <c:v>-78.762983272668464</c:v>
                </c:pt>
                <c:pt idx="68">
                  <c:v>-77.896736945685362</c:v>
                </c:pt>
                <c:pt idx="69">
                  <c:v>-77.018527672787101</c:v>
                </c:pt>
                <c:pt idx="70">
                  <c:v>-76.127785328997902</c:v>
                </c:pt>
                <c:pt idx="71">
                  <c:v>-75.22391796747651</c:v>
                </c:pt>
                <c:pt idx="72">
                  <c:v>-74.306311087772329</c:v>
                </c:pt>
                <c:pt idx="73">
                  <c:v>-73.374326934579884</c:v>
                </c:pt>
                <c:pt idx="74">
                  <c:v>-72.427303839496901</c:v>
                </c:pt>
                <c:pt idx="75">
                  <c:v>-71.464555620524791</c:v>
                </c:pt>
                <c:pt idx="76">
                  <c:v>-70.485371056591447</c:v>
                </c:pt>
                <c:pt idx="77">
                  <c:v>-69.489013457256803</c:v>
                </c:pt>
                <c:pt idx="78">
                  <c:v>-68.474720351010987</c:v>
                </c:pt>
                <c:pt idx="79">
                  <c:v>-67.441703319215875</c:v>
                </c:pt>
                <c:pt idx="80">
                  <c:v>-66.389148006798592</c:v>
                </c:pt>
                <c:pt idx="81">
                  <c:v>-65.316214345293986</c:v>
                </c:pt>
                <c:pt idx="82">
                  <c:v>-64.222037028752922</c:v>
                </c:pt>
                <c:pt idx="83">
                  <c:v>-63.105726288380197</c:v>
                </c:pt>
                <c:pt idx="84">
                  <c:v>-61.966369017499659</c:v>
                </c:pt>
                <c:pt idx="85">
                  <c:v>-60.803030304512227</c:v>
                </c:pt>
                <c:pt idx="86">
                  <c:v>-59.614755437815738</c:v>
                </c:pt>
                <c:pt idx="87">
                  <c:v>-58.400572453056583</c:v>
                </c:pt>
                <c:pt idx="88">
                  <c:v>-57.159495299380417</c:v>
                </c:pt>
                <c:pt idx="89">
                  <c:v>-55.890527707279375</c:v>
                </c:pt>
                <c:pt idx="90">
                  <c:v>-54.592667845849739</c:v>
                </c:pt>
                <c:pt idx="91">
                  <c:v>-53.264913861321418</c:v>
                </c:pt>
                <c:pt idx="92">
                  <c:v>-51.906270391057305</c:v>
                </c:pt>
                <c:pt idx="93">
                  <c:v>-50.515756147158122</c:v>
                </c:pt>
                <c:pt idx="94">
                  <c:v>-49.092412660552846</c:v>
                </c:pt>
                <c:pt idx="95">
                  <c:v>-47.635314269075963</c:v>
                </c:pt>
                <c:pt idx="96">
                  <c:v>-46.143579420487747</c:v>
                </c:pt>
                <c:pt idx="97">
                  <c:v>-44.616383342559168</c:v>
                </c:pt>
                <c:pt idx="98">
                  <c:v>-43.052972106059961</c:v>
                </c:pt>
                <c:pt idx="99">
                  <c:v>-41.452678071624419</c:v>
                </c:pt>
                <c:pt idx="100">
                  <c:v>-39.814936667059094</c:v>
                </c:pt>
                <c:pt idx="101">
                  <c:v>-38.139304386998354</c:v>
                </c:pt>
                <c:pt idx="102">
                  <c:v>-36.425477841674009</c:v>
                </c:pt>
                <c:pt idx="103">
                  <c:v>-34.673313606379871</c:v>
                </c:pt>
                <c:pt idx="104">
                  <c:v>-32.882848539287309</c:v>
                </c:pt>
                <c:pt idx="105">
                  <c:v>-31.054320145034652</c:v>
                </c:pt>
                <c:pt idx="106">
                  <c:v>-29.188186468678619</c:v>
                </c:pt>
                <c:pt idx="107">
                  <c:v>-27.285144914302137</c:v>
                </c:pt>
                <c:pt idx="108">
                  <c:v>-25.346149301336247</c:v>
                </c:pt>
                <c:pt idx="109">
                  <c:v>-23.372424407253959</c:v>
                </c:pt>
                <c:pt idx="110">
                  <c:v>-21.365477206318698</c:v>
                </c:pt>
                <c:pt idx="111">
                  <c:v>-19.327104009305557</c:v>
                </c:pt>
                <c:pt idx="112">
                  <c:v>-17.259392746674276</c:v>
                </c:pt>
                <c:pt idx="113">
                  <c:v>-15.164719723886556</c:v>
                </c:pt>
                <c:pt idx="114">
                  <c:v>-13.045740315863585</c:v>
                </c:pt>
                <c:pt idx="115">
                  <c:v>-10.905373257347657</c:v>
                </c:pt>
                <c:pt idx="116">
                  <c:v>-8.7467784217630236</c:v>
                </c:pt>
                <c:pt idx="117">
                  <c:v>-6.5733282523122352</c:v>
                </c:pt>
                <c:pt idx="118">
                  <c:v>-4.3885732999666995</c:v>
                </c:pt>
                <c:pt idx="119">
                  <c:v>-2.1962026140007231</c:v>
                </c:pt>
                <c:pt idx="120">
                  <c:v>-2.196842877250462E-3</c:v>
                </c:pt>
              </c:numCache>
            </c:numRef>
          </c:xVal>
          <c:yVal>
            <c:numRef>
              <c:f>'Ej-2b_Munich'!$D$10:$D$130</c:f>
              <c:numCache>
                <c:formatCode>0.00</c:formatCode>
                <c:ptCount val="121"/>
                <c:pt idx="0">
                  <c:v>-0.56072592650238562</c:v>
                </c:pt>
                <c:pt idx="1">
                  <c:v>-2.7824647663379665E-2</c:v>
                </c:pt>
                <c:pt idx="2">
                  <c:v>0.5102550956453058</c:v>
                </c:pt>
                <c:pt idx="3">
                  <c:v>1.0533974578351035</c:v>
                </c:pt>
                <c:pt idx="4">
                  <c:v>1.601487737975944</c:v>
                </c:pt>
                <c:pt idx="5">
                  <c:v>2.1544123837267648</c:v>
                </c:pt>
                <c:pt idx="6">
                  <c:v>2.7120589916662965</c:v>
                </c:pt>
                <c:pt idx="7">
                  <c:v>3.2743163041624825</c:v>
                </c:pt>
                <c:pt idx="8">
                  <c:v>3.8410742029130915</c:v>
                </c:pt>
                <c:pt idx="9">
                  <c:v>4.4122236992840271</c:v>
                </c:pt>
                <c:pt idx="10">
                  <c:v>4.987656921565744</c:v>
                </c:pt>
                <c:pt idx="11">
                  <c:v>5.5672670992605333</c:v>
                </c:pt>
                <c:pt idx="12">
                  <c:v>6.1509485445069458</c:v>
                </c:pt>
                <c:pt idx="13">
                  <c:v>6.7385966307394654</c:v>
                </c:pt>
                <c:pt idx="14">
                  <c:v>7.3301077686738978</c:v>
                </c:pt>
                <c:pt idx="15">
                  <c:v>7.925379379700729</c:v>
                </c:pt>
                <c:pt idx="16">
                  <c:v>8.524309866760504</c:v>
                </c:pt>
                <c:pt idx="17">
                  <c:v>9.1267985827661846</c:v>
                </c:pt>
                <c:pt idx="18">
                  <c:v>9.7327457966291888</c:v>
                </c:pt>
                <c:pt idx="19">
                  <c:v>10.342052656936715</c:v>
                </c:pt>
                <c:pt idx="20">
                  <c:v>10.9546211533183</c:v>
                </c:pt>
                <c:pt idx="21">
                  <c:v>11.570354075530759</c:v>
                </c:pt>
                <c:pt idx="22">
                  <c:v>12.18915497028091</c:v>
                </c:pt>
                <c:pt idx="23">
                  <c:v>12.810928095795461</c:v>
                </c:pt>
                <c:pt idx="24">
                  <c:v>13.435578374137918</c:v>
                </c:pt>
                <c:pt idx="25">
                  <c:v>14.063011341262026</c:v>
                </c:pt>
                <c:pt idx="26">
                  <c:v>14.69313309478035</c:v>
                </c:pt>
                <c:pt idx="27">
                  <c:v>15.325850239416965</c:v>
                </c:pt>
                <c:pt idx="28">
                  <c:v>15.961069830101465</c:v>
                </c:pt>
                <c:pt idx="29">
                  <c:v>16.598699312650112</c:v>
                </c:pt>
                <c:pt idx="30">
                  <c:v>17.238646461969296</c:v>
                </c:pt>
                <c:pt idx="31">
                  <c:v>17.880819317703427</c:v>
                </c:pt>
                <c:pt idx="32">
                  <c:v>18.525126117237718</c:v>
                </c:pt>
                <c:pt idx="33">
                  <c:v>19.171475225953046</c:v>
                </c:pt>
                <c:pt idx="34">
                  <c:v>19.81977506461709</c:v>
                </c:pt>
                <c:pt idx="35">
                  <c:v>20.469934033781811</c:v>
                </c:pt>
                <c:pt idx="36">
                  <c:v>21.121860435042876</c:v>
                </c:pt>
                <c:pt idx="37">
                  <c:v>21.775462389001916</c:v>
                </c:pt>
                <c:pt idx="38">
                  <c:v>22.430647749755806</c:v>
                </c:pt>
                <c:pt idx="39">
                  <c:v>23.087324015721805</c:v>
                </c:pt>
                <c:pt idx="40">
                  <c:v>23.745398236588741</c:v>
                </c:pt>
                <c:pt idx="41">
                  <c:v>24.404776916167208</c:v>
                </c:pt>
                <c:pt idx="42">
                  <c:v>25.065365910891828</c:v>
                </c:pt>
                <c:pt idx="43">
                  <c:v>25.727070323708602</c:v>
                </c:pt>
                <c:pt idx="44">
                  <c:v>26.389794393059347</c:v>
                </c:pt>
                <c:pt idx="45">
                  <c:v>27.053441376652316</c:v>
                </c:pt>
                <c:pt idx="46">
                  <c:v>27.717913429684771</c:v>
                </c:pt>
                <c:pt idx="47">
                  <c:v>28.383111477158344</c:v>
                </c:pt>
                <c:pt idx="48">
                  <c:v>29.048935079901618</c:v>
                </c:pt>
                <c:pt idx="49">
                  <c:v>29.715282293886951</c:v>
                </c:pt>
                <c:pt idx="50">
                  <c:v>30.382049522399534</c:v>
                </c:pt>
                <c:pt idx="51">
                  <c:v>31.049131360586216</c:v>
                </c:pt>
                <c:pt idx="52">
                  <c:v>31.716420431879612</c:v>
                </c:pt>
                <c:pt idx="53">
                  <c:v>32.383807215759987</c:v>
                </c:pt>
                <c:pt idx="54">
                  <c:v>33.051179866282403</c:v>
                </c:pt>
                <c:pt idx="55">
                  <c:v>33.718424020760644</c:v>
                </c:pt>
                <c:pt idx="56">
                  <c:v>34.385422597962219</c:v>
                </c:pt>
                <c:pt idx="57">
                  <c:v>35.052055585130084</c:v>
                </c:pt>
                <c:pt idx="58">
                  <c:v>35.718199813107802</c:v>
                </c:pt>
                <c:pt idx="59">
                  <c:v>36.383728718804655</c:v>
                </c:pt>
                <c:pt idx="60">
                  <c:v>37.048512094197619</c:v>
                </c:pt>
                <c:pt idx="61">
                  <c:v>37.712415821026852</c:v>
                </c:pt>
                <c:pt idx="62">
                  <c:v>38.375301590302925</c:v>
                </c:pt>
                <c:pt idx="63">
                  <c:v>39.037026605706572</c:v>
                </c:pt>
                <c:pt idx="64">
                  <c:v>39.697443269927241</c:v>
                </c:pt>
                <c:pt idx="65">
                  <c:v>40.356398852956161</c:v>
                </c:pt>
                <c:pt idx="66">
                  <c:v>41.013735141323757</c:v>
                </c:pt>
                <c:pt idx="67">
                  <c:v>41.669288067253092</c:v>
                </c:pt>
                <c:pt idx="68">
                  <c:v>42.3228873166913</c:v>
                </c:pt>
                <c:pt idx="69">
                  <c:v>42.974355915183672</c:v>
                </c:pt>
                <c:pt idx="70">
                  <c:v>43.623509790571106</c:v>
                </c:pt>
                <c:pt idx="71">
                  <c:v>44.270157311527811</c:v>
                </c:pt>
                <c:pt idx="72">
                  <c:v>44.914098801013026</c:v>
                </c:pt>
                <c:pt idx="73">
                  <c:v>45.555126023796092</c:v>
                </c:pt>
                <c:pt idx="74">
                  <c:v>46.193021647333147</c:v>
                </c:pt>
                <c:pt idx="75">
                  <c:v>46.82755867543208</c:v>
                </c:pt>
                <c:pt idx="76">
                  <c:v>47.458499854350322</c:v>
                </c:pt>
                <c:pt idx="77">
                  <c:v>48.0855970512346</c:v>
                </c:pt>
                <c:pt idx="78">
                  <c:v>48.708590605144074</c:v>
                </c:pt>
                <c:pt idx="79">
                  <c:v>49.327208651311373</c:v>
                </c:pt>
                <c:pt idx="80">
                  <c:v>49.941166419801533</c:v>
                </c:pt>
                <c:pt idx="81">
                  <c:v>50.550165510342872</c:v>
                </c:pt>
                <c:pt idx="82">
                  <c:v>51.153893145842865</c:v>
                </c:pt>
                <c:pt idx="83">
                  <c:v>51.752021407982689</c:v>
                </c:pt>
                <c:pt idx="84">
                  <c:v>52.344206459327559</c:v>
                </c:pt>
                <c:pt idx="85">
                  <c:v>52.930087757613549</c:v>
                </c:pt>
                <c:pt idx="86">
                  <c:v>53.509287269296792</c:v>
                </c:pt>
                <c:pt idx="87">
                  <c:v>54.081408691096769</c:v>
                </c:pt>
                <c:pt idx="88">
                  <c:v>54.646036690147987</c:v>
                </c:pt>
                <c:pt idx="89">
                  <c:v>55.202736175509742</c:v>
                </c:pt>
                <c:pt idx="90">
                  <c:v>55.751051616175396</c:v>
                </c:pt>
                <c:pt idx="91">
                  <c:v>56.290506423376605</c:v>
                </c:pt>
                <c:pt idx="92">
                  <c:v>56.820602417874163</c:v>
                </c:pt>
                <c:pt idx="93">
                  <c:v>57.340819406044929</c:v>
                </c:pt>
                <c:pt idx="94">
                  <c:v>57.850614891858655</c:v>
                </c:pt>
                <c:pt idx="95">
                  <c:v>58.349423955219656</c:v>
                </c:pt>
                <c:pt idx="96">
                  <c:v>58.8366593305172</c:v>
                </c:pt>
                <c:pt idx="97">
                  <c:v>59.3117117224445</c:v>
                </c:pt>
                <c:pt idx="98">
                  <c:v>59.773950399021125</c:v>
                </c:pt>
                <c:pt idx="99">
                  <c:v>60.222724104060489</c:v>
                </c:pt>
                <c:pt idx="100">
                  <c:v>60.657362332777865</c:v>
                </c:pt>
                <c:pt idx="101">
                  <c:v>61.077177014514248</c:v>
                </c:pt>
                <c:pt idx="102">
                  <c:v>61.481464645290849</c:v>
                </c:pt>
                <c:pt idx="103">
                  <c:v>61.869508909717311</c:v>
                </c:pt>
                <c:pt idx="104">
                  <c:v>62.240583826261513</c:v>
                </c:pt>
                <c:pt idx="105">
                  <c:v>62.593957441681297</c:v>
                </c:pt>
                <c:pt idx="106">
                  <c:v>62.928896089220515</c:v>
                </c:pt>
                <c:pt idx="107">
                  <c:v>63.244669210798691</c:v>
                </c:pt>
                <c:pt idx="108">
                  <c:v>63.540554725867509</c:v>
                </c:pt>
                <c:pt idx="109">
                  <c:v>63.815844909084731</c:v>
                </c:pt>
                <c:pt idx="110">
                  <c:v>64.069852715968466</c:v>
                </c:pt>
                <c:pt idx="111">
                  <c:v>64.301918471059707</c:v>
                </c:pt>
                <c:pt idx="112">
                  <c:v>64.511416807985384</c:v>
                </c:pt>
                <c:pt idx="113">
                  <c:v>64.697763726633596</c:v>
                </c:pt>
                <c:pt idx="114">
                  <c:v>64.860423611120297</c:v>
                </c:pt>
                <c:pt idx="115">
                  <c:v>64.998916035166133</c:v>
                </c:pt>
                <c:pt idx="116">
                  <c:v>65.112822170702373</c:v>
                </c:pt>
                <c:pt idx="117">
                  <c:v>65.201790612563968</c:v>
                </c:pt>
                <c:pt idx="118">
                  <c:v>65.265542438159116</c:v>
                </c:pt>
                <c:pt idx="119">
                  <c:v>65.30387533659092</c:v>
                </c:pt>
                <c:pt idx="120">
                  <c:v>65.316666653871906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A-4ABA-B263-7358985B41F1}"/>
            </c:ext>
          </c:extLst>
        </c:ser>
        <c:ser>
          <c:idx val="2"/>
          <c:order val="1"/>
          <c:tx>
            <c:strRef>
              <c:f>'Ej-2b_Munich'!$J$7</c:f>
              <c:strCache>
                <c:ptCount val="1"/>
                <c:pt idx="0">
                  <c:v>EQUI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'Ej-2b_Munich'!$K$10:$K$130</c:f>
              <c:numCache>
                <c:formatCode>0.00</c:formatCode>
                <c:ptCount val="121"/>
                <c:pt idx="0">
                  <c:v>-113.26541836978299</c:v>
                </c:pt>
                <c:pt idx="1">
                  <c:v>-112.43053767736758</c:v>
                </c:pt>
                <c:pt idx="2">
                  <c:v>-111.60178202013229</c:v>
                </c:pt>
                <c:pt idx="3">
                  <c:v>-110.77892784664718</c:v>
                </c:pt>
                <c:pt idx="4">
                  <c:v>-109.96175217784196</c:v>
                </c:pt>
                <c:pt idx="5">
                  <c:v>-109.15003273017567</c:v>
                </c:pt>
                <c:pt idx="6">
                  <c:v>-108.34354801966731</c:v>
                </c:pt>
                <c:pt idx="7">
                  <c:v>-107.54207744811796</c:v>
                </c:pt>
                <c:pt idx="8">
                  <c:v>-106.74540137279354</c:v>
                </c:pt>
                <c:pt idx="9">
                  <c:v>-105.95330116077545</c:v>
                </c:pt>
                <c:pt idx="10">
                  <c:v>-105.16555922912441</c:v>
                </c:pt>
                <c:pt idx="11">
                  <c:v>-104.38195907194186</c:v>
                </c:pt>
                <c:pt idx="12">
                  <c:v>-103.60228527535293</c:v>
                </c:pt>
                <c:pt idx="13">
                  <c:v>-102.8263235213772</c:v>
                </c:pt>
                <c:pt idx="14">
                  <c:v>-102.05386058159665</c:v>
                </c:pt>
                <c:pt idx="15">
                  <c:v>-101.28468430147653</c:v>
                </c:pt>
                <c:pt idx="16">
                  <c:v>-100.51858357614276</c:v>
                </c:pt>
                <c:pt idx="17">
                  <c:v>-99.755348318371446</c:v>
                </c:pt>
                <c:pt idx="18">
                  <c:v>-98.994769419498553</c:v>
                </c:pt>
                <c:pt idx="19">
                  <c:v>-98.23663870391583</c:v>
                </c:pt>
                <c:pt idx="20">
                  <c:v>-97.480748877777614</c:v>
                </c:pt>
                <c:pt idx="21">
                  <c:v>-96.726893472506376</c:v>
                </c:pt>
                <c:pt idx="22">
                  <c:v>-95.974866783650128</c:v>
                </c:pt>
                <c:pt idx="23">
                  <c:v>-95.224463805612999</c:v>
                </c:pt>
                <c:pt idx="24">
                  <c:v>-94.475480162752646</c:v>
                </c:pt>
                <c:pt idx="25">
                  <c:v>-93.727712037311349</c:v>
                </c:pt>
                <c:pt idx="26">
                  <c:v>-92.980956094626336</c:v>
                </c:pt>
                <c:pt idx="27">
                  <c:v>-92.235009406043901</c:v>
                </c:pt>
                <c:pt idx="28">
                  <c:v>-91.489669369946157</c:v>
                </c:pt>
                <c:pt idx="29">
                  <c:v>-90.744733631283935</c:v>
                </c:pt>
                <c:pt idx="30">
                  <c:v>-90</c:v>
                </c:pt>
                <c:pt idx="31">
                  <c:v>-89.25526636871605</c:v>
                </c:pt>
                <c:pt idx="32">
                  <c:v>-88.510330630053843</c:v>
                </c:pt>
                <c:pt idx="33">
                  <c:v>-87.764990593956085</c:v>
                </c:pt>
                <c:pt idx="34">
                  <c:v>-87.019043905373692</c:v>
                </c:pt>
                <c:pt idx="35">
                  <c:v>-86.272287962688651</c:v>
                </c:pt>
                <c:pt idx="36">
                  <c:v>-85.524519837247368</c:v>
                </c:pt>
                <c:pt idx="37">
                  <c:v>-84.775536194386973</c:v>
                </c:pt>
                <c:pt idx="38">
                  <c:v>-84.025133216349872</c:v>
                </c:pt>
                <c:pt idx="39">
                  <c:v>-83.273106527493624</c:v>
                </c:pt>
                <c:pt idx="40">
                  <c:v>-82.519251122222386</c:v>
                </c:pt>
                <c:pt idx="41">
                  <c:v>-81.763361296084156</c:v>
                </c:pt>
                <c:pt idx="42">
                  <c:v>-81.005230580501447</c:v>
                </c:pt>
                <c:pt idx="43">
                  <c:v>-80.244651681628554</c:v>
                </c:pt>
                <c:pt idx="44">
                  <c:v>-79.48141642385724</c:v>
                </c:pt>
                <c:pt idx="45">
                  <c:v>-78.715315698523483</c:v>
                </c:pt>
                <c:pt idx="46">
                  <c:v>-77.946139418403334</c:v>
                </c:pt>
                <c:pt idx="47">
                  <c:v>-77.173676478622781</c:v>
                </c:pt>
                <c:pt idx="48">
                  <c:v>-76.397714724647074</c:v>
                </c:pt>
                <c:pt idx="49">
                  <c:v>-75.618040928058136</c:v>
                </c:pt>
                <c:pt idx="50">
                  <c:v>-74.834440770875574</c:v>
                </c:pt>
                <c:pt idx="51">
                  <c:v>-74.046698839224533</c:v>
                </c:pt>
                <c:pt idx="52">
                  <c:v>-73.254598627206462</c:v>
                </c:pt>
                <c:pt idx="53">
                  <c:v>-72.457922551882035</c:v>
                </c:pt>
                <c:pt idx="54">
                  <c:v>-71.656451980332676</c:v>
                </c:pt>
                <c:pt idx="55">
                  <c:v>-70.849967269824333</c:v>
                </c:pt>
                <c:pt idx="56">
                  <c:v>-70.038247822158056</c:v>
                </c:pt>
                <c:pt idx="57">
                  <c:v>-69.221072153352821</c:v>
                </c:pt>
                <c:pt idx="58">
                  <c:v>-68.398217979867709</c:v>
                </c:pt>
                <c:pt idx="59">
                  <c:v>-67.569462322632418</c:v>
                </c:pt>
                <c:pt idx="60">
                  <c:v>-66.734581630216994</c:v>
                </c:pt>
                <c:pt idx="61">
                  <c:v>-65.893351922530996</c:v>
                </c:pt>
                <c:pt idx="62">
                  <c:v>-65.045548956499687</c:v>
                </c:pt>
                <c:pt idx="63">
                  <c:v>-64.190948415218784</c:v>
                </c:pt>
                <c:pt idx="64">
                  <c:v>-63.329326122138347</c:v>
                </c:pt>
                <c:pt idx="65">
                  <c:v>-62.460458281868156</c:v>
                </c:pt>
                <c:pt idx="66">
                  <c:v>-61.58412174923194</c:v>
                </c:pt>
                <c:pt idx="67">
                  <c:v>-60.700094328221496</c:v>
                </c:pt>
                <c:pt idx="68">
                  <c:v>-59.808155102515052</c:v>
                </c:pt>
                <c:pt idx="69">
                  <c:v>-58.908084799220219</c:v>
                </c:pt>
                <c:pt idx="70">
                  <c:v>-57.999666187484799</c:v>
                </c:pt>
                <c:pt idx="71">
                  <c:v>-57.082684513577938</c:v>
                </c:pt>
                <c:pt idx="72">
                  <c:v>-56.156927973983464</c:v>
                </c:pt>
                <c:pt idx="73">
                  <c:v>-55.222188227959222</c:v>
                </c:pt>
                <c:pt idx="74">
                  <c:v>-54.278260950898613</c:v>
                </c:pt>
                <c:pt idx="75">
                  <c:v>-53.324946429681333</c:v>
                </c:pt>
                <c:pt idx="76">
                  <c:v>-52.36205020101265</c:v>
                </c:pt>
                <c:pt idx="77">
                  <c:v>-51.389383733524603</c:v>
                </c:pt>
                <c:pt idx="78">
                  <c:v>-50.406765154140921</c:v>
                </c:pt>
                <c:pt idx="79">
                  <c:v>-49.414020018888863</c:v>
                </c:pt>
                <c:pt idx="80">
                  <c:v>-48.410982127972638</c:v>
                </c:pt>
                <c:pt idx="81">
                  <c:v>-47.397494384499403</c:v>
                </c:pt>
                <c:pt idx="82">
                  <c:v>-46.373409695768984</c:v>
                </c:pt>
                <c:pt idx="83">
                  <c:v>-45.338591915501333</c:v>
                </c:pt>
                <c:pt idx="84">
                  <c:v>-44.29291682477929</c:v>
                </c:pt>
                <c:pt idx="85">
                  <c:v>-43.236273148826683</c:v>
                </c:pt>
                <c:pt idx="86">
                  <c:v>-42.168563606030531</c:v>
                </c:pt>
                <c:pt idx="87">
                  <c:v>-41.089705984846162</c:v>
                </c:pt>
                <c:pt idx="88">
                  <c:v>-39.999634243406256</c:v>
                </c:pt>
                <c:pt idx="89">
                  <c:v>-38.898299625792284</c:v>
                </c:pt>
                <c:pt idx="90">
                  <c:v>-37.785671788030292</c:v>
                </c:pt>
                <c:pt idx="91">
                  <c:v>-36.661739925951956</c:v>
                </c:pt>
                <c:pt idx="92">
                  <c:v>-35.526513896130083</c:v>
                </c:pt>
                <c:pt idx="93">
                  <c:v>-34.380025320174106</c:v>
                </c:pt>
                <c:pt idx="94">
                  <c:v>-33.222328661768167</c:v>
                </c:pt>
                <c:pt idx="95">
                  <c:v>-32.053502264982328</c:v>
                </c:pt>
                <c:pt idx="96">
                  <c:v>-30.873649341599858</c:v>
                </c:pt>
                <c:pt idx="97">
                  <c:v>-29.682898894514345</c:v>
                </c:pt>
                <c:pt idx="98">
                  <c:v>-28.481406563680949</c:v>
                </c:pt>
                <c:pt idx="99">
                  <c:v>-27.269355380688644</c:v>
                </c:pt>
                <c:pt idx="100">
                  <c:v>-26.04695641777888</c:v>
                </c:pt>
                <c:pt idx="101">
                  <c:v>-24.814449317102657</c:v>
                </c:pt>
                <c:pt idx="102">
                  <c:v>-23.572102686205781</c:v>
                </c:pt>
                <c:pt idx="103">
                  <c:v>-22.320214346183281</c:v>
                </c:pt>
                <c:pt idx="104">
                  <c:v>-21.059111419674036</c:v>
                </c:pt>
                <c:pt idx="105">
                  <c:v>-19.789150246879618</c:v>
                </c:pt>
                <c:pt idx="106">
                  <c:v>-18.510716119105819</c:v>
                </c:pt>
                <c:pt idx="107">
                  <c:v>-17.224222820934507</c:v>
                </c:pt>
                <c:pt idx="108">
                  <c:v>-15.930111974031496</c:v>
                </c:pt>
                <c:pt idx="109">
                  <c:v>-14.628852177767177</c:v>
                </c:pt>
                <c:pt idx="110">
                  <c:v>-13.320937944246523</c:v>
                </c:pt>
                <c:pt idx="111">
                  <c:v>-12.006888427965745</c:v>
                </c:pt>
                <c:pt idx="112">
                  <c:v>-10.687245953113647</c:v>
                </c:pt>
                <c:pt idx="113">
                  <c:v>-9.3625743444307172</c:v>
                </c:pt>
                <c:pt idx="114">
                  <c:v>-8.0334570705001394</c:v>
                </c:pt>
                <c:pt idx="115">
                  <c:v>-6.7004952112788292</c:v>
                </c:pt>
                <c:pt idx="116">
                  <c:v>-5.3643052645326836</c:v>
                </c:pt>
                <c:pt idx="117">
                  <c:v>-4.0255168085304174</c:v>
                </c:pt>
                <c:pt idx="118">
                  <c:v>-2.6847700408240147</c:v>
                </c:pt>
                <c:pt idx="119">
                  <c:v>-1.342713215112473</c:v>
                </c:pt>
                <c:pt idx="120">
                  <c:v>-1.3428228339747508E-3</c:v>
                </c:pt>
              </c:numCache>
            </c:numRef>
          </c:xVal>
          <c:yVal>
            <c:numRef>
              <c:f>'Ej-2b_Munich'!$J$10:$J$130</c:f>
              <c:numCache>
                <c:formatCode>0.00</c:formatCode>
                <c:ptCount val="121"/>
                <c:pt idx="0">
                  <c:v>-19.493487356914599</c:v>
                </c:pt>
                <c:pt idx="1">
                  <c:v>-18.878456298897504</c:v>
                </c:pt>
                <c:pt idx="2">
                  <c:v>-18.25972807696607</c:v>
                </c:pt>
                <c:pt idx="3">
                  <c:v>-17.637458410108508</c:v>
                </c:pt>
                <c:pt idx="4">
                  <c:v>-17.011800032171564</c:v>
                </c:pt>
                <c:pt idx="5">
                  <c:v>-16.382902796029299</c:v>
                </c:pt>
                <c:pt idx="6">
                  <c:v>-15.750913779336102</c:v>
                </c:pt>
                <c:pt idx="7">
                  <c:v>-15.115977391534273</c:v>
                </c:pt>
                <c:pt idx="8">
                  <c:v>-14.478235481824356</c:v>
                </c:pt>
                <c:pt idx="9">
                  <c:v>-13.837827447840908</c:v>
                </c:pt>
                <c:pt idx="10">
                  <c:v>-13.194890344808883</c:v>
                </c:pt>
                <c:pt idx="11">
                  <c:v>-12.549558994985759</c:v>
                </c:pt>
                <c:pt idx="12">
                  <c:v>-11.901966097221816</c:v>
                </c:pt>
                <c:pt idx="13">
                  <c:v>-11.252242336496607</c:v>
                </c:pt>
                <c:pt idx="14">
                  <c:v>-10.600516493312668</c:v>
                </c:pt>
                <c:pt idx="15">
                  <c:v>-9.9469155528490063</c:v>
                </c:pt>
                <c:pt idx="16">
                  <c:v>-9.2915648137961426</c:v>
                </c:pt>
                <c:pt idx="17">
                  <c:v>-8.6345879968124848</c:v>
                </c:pt>
                <c:pt idx="18">
                  <c:v>-7.9761073525572925</c:v>
                </c:pt>
                <c:pt idx="19">
                  <c:v>-7.3162437692708409</c:v>
                </c:pt>
                <c:pt idx="20">
                  <c:v>-6.6551168798846732</c:v>
                </c:pt>
                <c:pt idx="21">
                  <c:v>-5.9928451686572544</c:v>
                </c:pt>
                <c:pt idx="22">
                  <c:v>-5.3295460773406091</c:v>
                </c:pt>
                <c:pt idx="23">
                  <c:v>-4.6653361108927243</c:v>
                </c:pt>
                <c:pt idx="24">
                  <c:v>-4.000330942759291</c:v>
                </c:pt>
                <c:pt idx="25">
                  <c:v>-3.3346455197549147</c:v>
                </c:pt>
                <c:pt idx="26">
                  <c:v>-2.6683941665811659</c:v>
                </c:pt>
                <c:pt idx="27">
                  <c:v>-2.0016906900230964</c:v>
                </c:pt>
                <c:pt idx="28">
                  <c:v>-1.3346484828716285</c:v>
                </c:pt>
                <c:pt idx="29">
                  <c:v>-0.66738062762163963</c:v>
                </c:pt>
                <c:pt idx="30">
                  <c:v>0</c:v>
                </c:pt>
                <c:pt idx="31">
                  <c:v>0.66738062762165384</c:v>
                </c:pt>
                <c:pt idx="32">
                  <c:v>1.3346484828716285</c:v>
                </c:pt>
                <c:pt idx="33">
                  <c:v>2.0016906900231106</c:v>
                </c:pt>
                <c:pt idx="34">
                  <c:v>2.6683941665811517</c:v>
                </c:pt>
                <c:pt idx="35">
                  <c:v>3.3346455197549147</c:v>
                </c:pt>
                <c:pt idx="36">
                  <c:v>4.0003309427592768</c:v>
                </c:pt>
                <c:pt idx="37">
                  <c:v>4.6653361108927385</c:v>
                </c:pt>
                <c:pt idx="38">
                  <c:v>5.3295460773406091</c:v>
                </c:pt>
                <c:pt idx="39">
                  <c:v>5.9928451686572544</c:v>
                </c:pt>
                <c:pt idx="40">
                  <c:v>6.6551168798846732</c:v>
                </c:pt>
                <c:pt idx="41">
                  <c:v>7.3162437692708551</c:v>
                </c:pt>
                <c:pt idx="42">
                  <c:v>7.9761073525572925</c:v>
                </c:pt>
                <c:pt idx="43">
                  <c:v>8.6345879968124848</c:v>
                </c:pt>
                <c:pt idx="44">
                  <c:v>9.2915648137961426</c:v>
                </c:pt>
                <c:pt idx="45">
                  <c:v>9.9469155528489921</c:v>
                </c:pt>
                <c:pt idx="46">
                  <c:v>10.600516493312682</c:v>
                </c:pt>
                <c:pt idx="47">
                  <c:v>11.252242336496622</c:v>
                </c:pt>
                <c:pt idx="48">
                  <c:v>11.901966097221816</c:v>
                </c:pt>
                <c:pt idx="49">
                  <c:v>12.549558994985759</c:v>
                </c:pt>
                <c:pt idx="50">
                  <c:v>13.194890344808883</c:v>
                </c:pt>
                <c:pt idx="51">
                  <c:v>13.837827447840922</c:v>
                </c:pt>
                <c:pt idx="52">
                  <c:v>14.478235481824356</c:v>
                </c:pt>
                <c:pt idx="53">
                  <c:v>15.115977391534273</c:v>
                </c:pt>
                <c:pt idx="54">
                  <c:v>15.750913779336102</c:v>
                </c:pt>
                <c:pt idx="55">
                  <c:v>16.382902796029299</c:v>
                </c:pt>
                <c:pt idx="56">
                  <c:v>17.01180003217155</c:v>
                </c:pt>
                <c:pt idx="57">
                  <c:v>17.637458410108508</c:v>
                </c:pt>
                <c:pt idx="58">
                  <c:v>18.25972807696607</c:v>
                </c:pt>
                <c:pt idx="59">
                  <c:v>18.878456298897504</c:v>
                </c:pt>
                <c:pt idx="60">
                  <c:v>19.493487356914613</c:v>
                </c:pt>
                <c:pt idx="61">
                  <c:v>20.104662444672613</c:v>
                </c:pt>
                <c:pt idx="62">
                  <c:v>20.711819568621749</c:v>
                </c:pt>
                <c:pt idx="63">
                  <c:v>21.314793450983842</c:v>
                </c:pt>
                <c:pt idx="64">
                  <c:v>21.913415436060902</c:v>
                </c:pt>
                <c:pt idx="65">
                  <c:v>22.50751340043476</c:v>
                </c:pt>
                <c:pt idx="66">
                  <c:v>23.096911667670398</c:v>
                </c:pt>
                <c:pt idx="67">
                  <c:v>23.681430928192952</c:v>
                </c:pt>
                <c:pt idx="68">
                  <c:v>24.260888165067428</c:v>
                </c:pt>
                <c:pt idx="69">
                  <c:v>24.835096586472503</c:v>
                </c:pt>
                <c:pt idx="70">
                  <c:v>25.403865565722583</c:v>
                </c:pt>
                <c:pt idx="71">
                  <c:v>25.967000589758257</c:v>
                </c:pt>
                <c:pt idx="72">
                  <c:v>26.524303217091109</c:v>
                </c:pt>
                <c:pt idx="73">
                  <c:v>27.075571046255938</c:v>
                </c:pt>
                <c:pt idx="74">
                  <c:v>27.620597695889877</c:v>
                </c:pt>
                <c:pt idx="75">
                  <c:v>28.15917279762342</c:v>
                </c:pt>
                <c:pt idx="76">
                  <c:v>28.691082003031958</c:v>
                </c:pt>
                <c:pt idx="77">
                  <c:v>29.216107005956353</c:v>
                </c:pt>
                <c:pt idx="78">
                  <c:v>29.734025581557233</c:v>
                </c:pt>
                <c:pt idx="79">
                  <c:v>30.244611643517317</c:v>
                </c:pt>
                <c:pt idx="80">
                  <c:v>30.74763532084831</c:v>
                </c:pt>
                <c:pt idx="81">
                  <c:v>31.242863055791688</c:v>
                </c:pt>
                <c:pt idx="82">
                  <c:v>31.730057724324531</c:v>
                </c:pt>
                <c:pt idx="83">
                  <c:v>32.208978780789366</c:v>
                </c:pt>
                <c:pt idx="84">
                  <c:v>32.679382428159251</c:v>
                </c:pt>
                <c:pt idx="85">
                  <c:v>33.141021815424224</c:v>
                </c:pt>
                <c:pt idx="86">
                  <c:v>33.5936472635385</c:v>
                </c:pt>
                <c:pt idx="87">
                  <c:v>34.037006521298935</c:v>
                </c:pt>
                <c:pt idx="88">
                  <c:v>34.470845052431009</c:v>
                </c:pt>
                <c:pt idx="89">
                  <c:v>34.894906355036021</c:v>
                </c:pt>
                <c:pt idx="90">
                  <c:v>35.30893231440119</c:v>
                </c:pt>
                <c:pt idx="91">
                  <c:v>35.712663589990001</c:v>
                </c:pt>
                <c:pt idx="92">
                  <c:v>36.105840037212758</c:v>
                </c:pt>
                <c:pt idx="93">
                  <c:v>36.48820116432433</c:v>
                </c:pt>
                <c:pt idx="94">
                  <c:v>36.85948662450879</c:v>
                </c:pt>
                <c:pt idx="95">
                  <c:v>37.219436742886771</c:v>
                </c:pt>
                <c:pt idx="96">
                  <c:v>37.567793077824064</c:v>
                </c:pt>
                <c:pt idx="97">
                  <c:v>37.904299015528821</c:v>
                </c:pt>
                <c:pt idx="98">
                  <c:v>38.228700396504379</c:v>
                </c:pt>
                <c:pt idx="99">
                  <c:v>38.540746171976714</c:v>
                </c:pt>
                <c:pt idx="100">
                  <c:v>38.84018908794723</c:v>
                </c:pt>
                <c:pt idx="101">
                  <c:v>39.126786394037076</c:v>
                </c:pt>
                <c:pt idx="102">
                  <c:v>39.400300573796194</c:v>
                </c:pt>
                <c:pt idx="103">
                  <c:v>39.660500092658651</c:v>
                </c:pt>
                <c:pt idx="104">
                  <c:v>39.90716015924162</c:v>
                </c:pt>
                <c:pt idx="105">
                  <c:v>40.140063495223075</c:v>
                </c:pt>
                <c:pt idx="106">
                  <c:v>40.359001108599912</c:v>
                </c:pt>
                <c:pt idx="107">
                  <c:v>40.563773064737774</c:v>
                </c:pt>
                <c:pt idx="108">
                  <c:v>40.754189249286647</c:v>
                </c:pt>
                <c:pt idx="109">
                  <c:v>40.930070116764092</c:v>
                </c:pt>
                <c:pt idx="110">
                  <c:v>41.091247418410589</c:v>
                </c:pt>
                <c:pt idx="111">
                  <c:v>41.237564902810774</c:v>
                </c:pt>
                <c:pt idx="112">
                  <c:v>41.368878982754936</c:v>
                </c:pt>
                <c:pt idx="113">
                  <c:v>41.485059361898465</c:v>
                </c:pt>
                <c:pt idx="114">
                  <c:v>41.585989614962031</c:v>
                </c:pt>
                <c:pt idx="115">
                  <c:v>41.671567715509077</c:v>
                </c:pt>
                <c:pt idx="116">
                  <c:v>41.74170650573528</c:v>
                </c:pt>
                <c:pt idx="117">
                  <c:v>41.796334103205609</c:v>
                </c:pt>
                <c:pt idx="118">
                  <c:v>41.83539424007116</c:v>
                </c:pt>
                <c:pt idx="119">
                  <c:v>41.858846530981531</c:v>
                </c:pt>
                <c:pt idx="120">
                  <c:v>41.866666658845851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4A-4ABA-B263-7358985B41F1}"/>
            </c:ext>
          </c:extLst>
        </c:ser>
        <c:ser>
          <c:idx val="4"/>
          <c:order val="2"/>
          <c:tx>
            <c:strRef>
              <c:f>'Ej-2b_Munich'!$P$7</c:f>
              <c:strCache>
                <c:ptCount val="1"/>
                <c:pt idx="0">
                  <c:v>SINV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'Ej-2b_Munich'!$Q$10:$Q$130</c:f>
              <c:numCache>
                <c:formatCode>0.00</c:formatCode>
                <c:ptCount val="121"/>
                <c:pt idx="0">
                  <c:v>-95.464596845714027</c:v>
                </c:pt>
                <c:pt idx="1">
                  <c:v>-94.675898043203972</c:v>
                </c:pt>
                <c:pt idx="2">
                  <c:v>-93.894888229590194</c:v>
                </c:pt>
                <c:pt idx="3">
                  <c:v>-93.121174244862218</c:v>
                </c:pt>
                <c:pt idx="4">
                  <c:v>-92.354376740627856</c:v>
                </c:pt>
                <c:pt idx="5">
                  <c:v>-91.594129550962265</c:v>
                </c:pt>
                <c:pt idx="6">
                  <c:v>-90.84007908617842</c:v>
                </c:pt>
                <c:pt idx="7">
                  <c:v>-90.091883749708032</c:v>
                </c:pt>
                <c:pt idx="8">
                  <c:v>-89.349213378085096</c:v>
                </c:pt>
                <c:pt idx="9">
                  <c:v>-88.611748703864819</c:v>
                </c:pt>
                <c:pt idx="10">
                  <c:v>-87.879180841181395</c:v>
                </c:pt>
                <c:pt idx="11">
                  <c:v>-87.151210793547449</c:v>
                </c:pt>
                <c:pt idx="12">
                  <c:v>-86.427548983417395</c:v>
                </c:pt>
                <c:pt idx="13">
                  <c:v>-85.707914802978053</c:v>
                </c:pt>
                <c:pt idx="14">
                  <c:v>-84.992036185585349</c:v>
                </c:pt>
                <c:pt idx="15">
                  <c:v>-84.279649197235912</c:v>
                </c:pt>
                <c:pt idx="16">
                  <c:v>-83.570497647442849</c:v>
                </c:pt>
                <c:pt idx="17">
                  <c:v>-82.864332718875616</c:v>
                </c:pt>
                <c:pt idx="18">
                  <c:v>-82.160912615122101</c:v>
                </c:pt>
                <c:pt idx="19">
                  <c:v>-81.46000222593544</c:v>
                </c:pt>
                <c:pt idx="20">
                  <c:v>-80.761372809337246</c:v>
                </c:pt>
                <c:pt idx="21">
                  <c:v>-80.0648016899639</c:v>
                </c:pt>
                <c:pt idx="22">
                  <c:v>-79.370071973058629</c:v>
                </c:pt>
                <c:pt idx="23">
                  <c:v>-78.676972273532584</c:v>
                </c:pt>
                <c:pt idx="24">
                  <c:v>-77.985296459539825</c:v>
                </c:pt>
                <c:pt idx="25">
                  <c:v>-77.294843410034005</c:v>
                </c:pt>
                <c:pt idx="26">
                  <c:v>-76.605416785799704</c:v>
                </c:pt>
                <c:pt idx="27">
                  <c:v>-75.916824813475344</c:v>
                </c:pt>
                <c:pt idx="28">
                  <c:v>-75.228880082111075</c:v>
                </c:pt>
                <c:pt idx="29">
                  <c:v>-74.541399351829511</c:v>
                </c:pt>
                <c:pt idx="30">
                  <c:v>-73.854203374183783</c:v>
                </c:pt>
                <c:pt idx="31">
                  <c:v>-73.16711672383137</c:v>
                </c:pt>
                <c:pt idx="32">
                  <c:v>-72.479967641167903</c:v>
                </c:pt>
                <c:pt idx="33">
                  <c:v>-71.792587885588972</c:v>
                </c:pt>
                <c:pt idx="34">
                  <c:v>-71.104812599071607</c:v>
                </c:pt>
                <c:pt idx="35">
                  <c:v>-70.416480179789829</c:v>
                </c:pt>
                <c:pt idx="36">
                  <c:v>-69.727432165501654</c:v>
                </c:pt>
                <c:pt idx="37">
                  <c:v>-69.037513126464617</c:v>
                </c:pt>
                <c:pt idx="38">
                  <c:v>-68.346570567659214</c:v>
                </c:pt>
                <c:pt idx="39">
                  <c:v>-67.654454840117111</c:v>
                </c:pt>
                <c:pt idx="40">
                  <c:v>-66.961019061170944</c:v>
                </c:pt>
                <c:pt idx="41">
                  <c:v>-66.266119043459085</c:v>
                </c:pt>
                <c:pt idx="42">
                  <c:v>-65.569613232534905</c:v>
                </c:pt>
                <c:pt idx="43">
                  <c:v>-64.871362652946061</c:v>
                </c:pt>
                <c:pt idx="44">
                  <c:v>-64.171230862662227</c:v>
                </c:pt>
                <c:pt idx="45">
                  <c:v>-63.469083915743454</c:v>
                </c:pt>
                <c:pt idx="46">
                  <c:v>-62.764790333151971</c:v>
                </c:pt>
                <c:pt idx="47">
                  <c:v>-62.058221081621042</c:v>
                </c:pt>
                <c:pt idx="48">
                  <c:v>-61.349249560503196</c:v>
                </c:pt>
                <c:pt idx="49">
                  <c:v>-60.637751596527181</c:v>
                </c:pt>
                <c:pt idx="50">
                  <c:v>-59.923605446399364</c:v>
                </c:pt>
                <c:pt idx="51">
                  <c:v>-59.206691807189287</c:v>
                </c:pt>
                <c:pt idx="52">
                  <c:v>-58.486893834442228</c:v>
                </c:pt>
                <c:pt idx="53">
                  <c:v>-57.76409716796195</c:v>
                </c:pt>
                <c:pt idx="54">
                  <c:v>-57.038189965207309</c:v>
                </c:pt>
                <c:pt idx="55">
                  <c:v>-56.309062942242022</c:v>
                </c:pt>
                <c:pt idx="56">
                  <c:v>-55.576609422174712</c:v>
                </c:pt>
                <c:pt idx="57">
                  <c:v>-54.840725391017394</c:v>
                </c:pt>
                <c:pt idx="58">
                  <c:v>-54.101309560884317</c:v>
                </c:pt>
                <c:pt idx="59">
                  <c:v>-53.35826344044068</c:v>
                </c:pt>
                <c:pt idx="60">
                  <c:v>-52.611491412498673</c:v>
                </c:pt>
                <c:pt idx="61">
                  <c:v>-51.86090081864284</c:v>
                </c:pt>
                <c:pt idx="62">
                  <c:v>-51.106402050749452</c:v>
                </c:pt>
                <c:pt idx="63">
                  <c:v>-50.347908649243998</c:v>
                </c:pt>
                <c:pt idx="64">
                  <c:v>-49.585337407919731</c:v>
                </c:pt>
                <c:pt idx="65">
                  <c:v>-48.818608485113316</c:v>
                </c:pt>
                <c:pt idx="66">
                  <c:v>-48.047645521009009</c:v>
                </c:pt>
                <c:pt idx="67">
                  <c:v>-47.272375760810021</c:v>
                </c:pt>
                <c:pt idx="68">
                  <c:v>-46.492730183486081</c:v>
                </c:pt>
                <c:pt idx="69">
                  <c:v>-45.708643635769171</c:v>
                </c:pt>
                <c:pt idx="70">
                  <c:v>-44.920054971034808</c:v>
                </c:pt>
                <c:pt idx="71">
                  <c:v>-44.126907192664177</c:v>
                </c:pt>
                <c:pt idx="72">
                  <c:v>-43.329147601443871</c:v>
                </c:pt>
                <c:pt idx="73">
                  <c:v>-42.526727946514796</c:v>
                </c:pt>
                <c:pt idx="74">
                  <c:v>-41.719604579337343</c:v>
                </c:pt>
                <c:pt idx="75">
                  <c:v>-40.907738610094277</c:v>
                </c:pt>
                <c:pt idx="76">
                  <c:v>-40.09109606590372</c:v>
                </c:pt>
                <c:pt idx="77">
                  <c:v>-39.26964805016771</c:v>
                </c:pt>
                <c:pt idx="78">
                  <c:v>-38.4433709023318</c:v>
                </c:pt>
                <c:pt idx="79">
                  <c:v>-37.612246357283411</c:v>
                </c:pt>
                <c:pt idx="80">
                  <c:v>-36.776261703567094</c:v>
                </c:pt>
                <c:pt idx="81">
                  <c:v>-35.935409939548492</c:v>
                </c:pt>
                <c:pt idx="82">
                  <c:v>-35.089689926612778</c:v>
                </c:pt>
                <c:pt idx="83">
                  <c:v>-34.239106538439422</c:v>
                </c:pt>
                <c:pt idx="84">
                  <c:v>-33.383670805354804</c:v>
                </c:pt>
                <c:pt idx="85">
                  <c:v>-32.523400052727233</c:v>
                </c:pt>
                <c:pt idx="86">
                  <c:v>-31.658318032334989</c:v>
                </c:pt>
                <c:pt idx="87">
                  <c:v>-30.788455045611958</c:v>
                </c:pt>
                <c:pt idx="88">
                  <c:v>-29.913848057651329</c:v>
                </c:pt>
                <c:pt idx="89">
                  <c:v>-29.034540800832946</c:v>
                </c:pt>
                <c:pt idx="90">
                  <c:v>-28.150583866932944</c:v>
                </c:pt>
                <c:pt idx="91">
                  <c:v>-27.262034786570865</c:v>
                </c:pt>
                <c:pt idx="92">
                  <c:v>-26.368958094860783</c:v>
                </c:pt>
                <c:pt idx="93">
                  <c:v>-25.471425382148777</c:v>
                </c:pt>
                <c:pt idx="94">
                  <c:v>-24.569515328747055</c:v>
                </c:pt>
                <c:pt idx="95">
                  <c:v>-23.66331372261299</c:v>
                </c:pt>
                <c:pt idx="96">
                  <c:v>-22.752913458970454</c:v>
                </c:pt>
                <c:pt idx="97">
                  <c:v>-21.838414520929124</c:v>
                </c:pt>
                <c:pt idx="98">
                  <c:v>-20.919923940231108</c:v>
                </c:pt>
                <c:pt idx="99">
                  <c:v>-19.997555737333773</c:v>
                </c:pt>
                <c:pt idx="100">
                  <c:v>-19.071430840133534</c:v>
                </c:pt>
                <c:pt idx="101">
                  <c:v>-18.141676980738339</c:v>
                </c:pt>
                <c:pt idx="102">
                  <c:v>-17.208428569813346</c:v>
                </c:pt>
                <c:pt idx="103">
                  <c:v>-16.271826548146883</c:v>
                </c:pt>
                <c:pt idx="104">
                  <c:v>-15.332018215219577</c:v>
                </c:pt>
                <c:pt idx="105">
                  <c:v>-14.389157034701144</c:v>
                </c:pt>
                <c:pt idx="106">
                  <c:v>-13.44340241694845</c:v>
                </c:pt>
                <c:pt idx="107">
                  <c:v>-12.49491947873126</c:v>
                </c:pt>
                <c:pt idx="108">
                  <c:v>-11.543878780575175</c:v>
                </c:pt>
                <c:pt idx="109">
                  <c:v>-10.590456042267727</c:v>
                </c:pt>
                <c:pt idx="110">
                  <c:v>-9.6348318372399184</c:v>
                </c:pt>
                <c:pt idx="111">
                  <c:v>-8.6771912666949103</c:v>
                </c:pt>
                <c:pt idx="112">
                  <c:v>-7.7177236145142141</c:v>
                </c:pt>
                <c:pt idx="113">
                  <c:v>-6.7566219841269337</c:v>
                </c:pt>
                <c:pt idx="114">
                  <c:v>-5.7940829186755538</c:v>
                </c:pt>
                <c:pt idx="115">
                  <c:v>-4.8303060059464222</c:v>
                </c:pt>
                <c:pt idx="116">
                  <c:v>-3.8654934696714069</c:v>
                </c:pt>
                <c:pt idx="117">
                  <c:v>-2.8998497489099302</c:v>
                </c:pt>
                <c:pt idx="118">
                  <c:v>-1.9335810673399063</c:v>
                </c:pt>
                <c:pt idx="119">
                  <c:v>-0.9668949943620373</c:v>
                </c:pt>
                <c:pt idx="120">
                  <c:v>-9.6693022277186548E-4</c:v>
                </c:pt>
              </c:numCache>
            </c:numRef>
          </c:xVal>
          <c:yVal>
            <c:numRef>
              <c:f>'Ej-2b_Munich'!$P$10:$P$130</c:f>
              <c:numCache>
                <c:formatCode>0.00</c:formatCode>
                <c:ptCount val="121"/>
                <c:pt idx="0">
                  <c:v>-37.048512094197605</c:v>
                </c:pt>
                <c:pt idx="1">
                  <c:v>-36.383728718804662</c:v>
                </c:pt>
                <c:pt idx="2">
                  <c:v>-35.718199813107802</c:v>
                </c:pt>
                <c:pt idx="3">
                  <c:v>-35.052055585130077</c:v>
                </c:pt>
                <c:pt idx="4">
                  <c:v>-34.385422597962204</c:v>
                </c:pt>
                <c:pt idx="5">
                  <c:v>-33.718424020760636</c:v>
                </c:pt>
                <c:pt idx="6">
                  <c:v>-33.051179866282396</c:v>
                </c:pt>
                <c:pt idx="7">
                  <c:v>-32.383807215759987</c:v>
                </c:pt>
                <c:pt idx="8">
                  <c:v>-31.716420431879612</c:v>
                </c:pt>
                <c:pt idx="9">
                  <c:v>-31.04913136058623</c:v>
                </c:pt>
                <c:pt idx="10">
                  <c:v>-30.382049522399527</c:v>
                </c:pt>
                <c:pt idx="11">
                  <c:v>-29.715282293886915</c:v>
                </c:pt>
                <c:pt idx="12">
                  <c:v>-29.048935079901597</c:v>
                </c:pt>
                <c:pt idx="13">
                  <c:v>-28.383111477158337</c:v>
                </c:pt>
                <c:pt idx="14">
                  <c:v>-27.717913429684771</c:v>
                </c:pt>
                <c:pt idx="15">
                  <c:v>-27.053441376652316</c:v>
                </c:pt>
                <c:pt idx="16">
                  <c:v>-26.389794393059347</c:v>
                </c:pt>
                <c:pt idx="17">
                  <c:v>-25.727070323708602</c:v>
                </c:pt>
                <c:pt idx="18">
                  <c:v>-25.065365910891813</c:v>
                </c:pt>
                <c:pt idx="19">
                  <c:v>-24.404776916167208</c:v>
                </c:pt>
                <c:pt idx="20">
                  <c:v>-23.745398236588727</c:v>
                </c:pt>
                <c:pt idx="21">
                  <c:v>-23.087324015721791</c:v>
                </c:pt>
                <c:pt idx="22">
                  <c:v>-22.430647749755806</c:v>
                </c:pt>
                <c:pt idx="23">
                  <c:v>-21.775462389001902</c:v>
                </c:pt>
                <c:pt idx="24">
                  <c:v>-21.121860435042876</c:v>
                </c:pt>
                <c:pt idx="25">
                  <c:v>-20.469934033781811</c:v>
                </c:pt>
                <c:pt idx="26">
                  <c:v>-19.819775064617104</c:v>
                </c:pt>
                <c:pt idx="27">
                  <c:v>-19.171475225953046</c:v>
                </c:pt>
                <c:pt idx="28">
                  <c:v>-18.525126117237718</c:v>
                </c:pt>
                <c:pt idx="29">
                  <c:v>-17.880819317703427</c:v>
                </c:pt>
                <c:pt idx="30">
                  <c:v>-17.238646461969282</c:v>
                </c:pt>
                <c:pt idx="31">
                  <c:v>-16.598699312650112</c:v>
                </c:pt>
                <c:pt idx="32">
                  <c:v>-15.961069830101465</c:v>
                </c:pt>
                <c:pt idx="33">
                  <c:v>-15.325850239416965</c:v>
                </c:pt>
                <c:pt idx="34">
                  <c:v>-14.69313309478035</c:v>
                </c:pt>
                <c:pt idx="35">
                  <c:v>-14.063011341262026</c:v>
                </c:pt>
                <c:pt idx="36">
                  <c:v>-13.435578374137933</c:v>
                </c:pt>
                <c:pt idx="37">
                  <c:v>-12.810928095795447</c:v>
                </c:pt>
                <c:pt idx="38">
                  <c:v>-12.189154970280896</c:v>
                </c:pt>
                <c:pt idx="39">
                  <c:v>-11.570354075530759</c:v>
                </c:pt>
                <c:pt idx="40">
                  <c:v>-10.954621153318286</c:v>
                </c:pt>
                <c:pt idx="41">
                  <c:v>-10.342052656936715</c:v>
                </c:pt>
                <c:pt idx="42">
                  <c:v>-9.7327457966291888</c:v>
                </c:pt>
                <c:pt idx="43">
                  <c:v>-9.1267985827661988</c:v>
                </c:pt>
                <c:pt idx="44">
                  <c:v>-8.5243098667605182</c:v>
                </c:pt>
                <c:pt idx="45">
                  <c:v>-7.925379379700729</c:v>
                </c:pt>
                <c:pt idx="46">
                  <c:v>-7.3301077686738836</c:v>
                </c:pt>
                <c:pt idx="47">
                  <c:v>-6.7385966307394654</c:v>
                </c:pt>
                <c:pt idx="48">
                  <c:v>-6.1509485445069458</c:v>
                </c:pt>
                <c:pt idx="49">
                  <c:v>-5.5672670992605333</c:v>
                </c:pt>
                <c:pt idx="50">
                  <c:v>-4.987656921565744</c:v>
                </c:pt>
                <c:pt idx="51">
                  <c:v>-4.4122236992840271</c:v>
                </c:pt>
                <c:pt idx="52">
                  <c:v>-3.8410742029130915</c:v>
                </c:pt>
                <c:pt idx="53">
                  <c:v>-3.2743163041624825</c:v>
                </c:pt>
                <c:pt idx="54">
                  <c:v>-2.7120589916662965</c:v>
                </c:pt>
                <c:pt idx="55">
                  <c:v>-2.1544123837267506</c:v>
                </c:pt>
                <c:pt idx="56">
                  <c:v>-1.601487737975944</c:v>
                </c:pt>
                <c:pt idx="57">
                  <c:v>-1.0533974578351035</c:v>
                </c:pt>
                <c:pt idx="58">
                  <c:v>-0.5102550956453058</c:v>
                </c:pt>
                <c:pt idx="59">
                  <c:v>2.7824647663379665E-2</c:v>
                </c:pt>
                <c:pt idx="60">
                  <c:v>0.56072592650239983</c:v>
                </c:pt>
                <c:pt idx="61">
                  <c:v>1.0883317582980254</c:v>
                </c:pt>
                <c:pt idx="62">
                  <c:v>1.6105240350550503</c:v>
                </c:pt>
                <c:pt idx="63">
                  <c:v>2.1271835389620009</c:v>
                </c:pt>
                <c:pt idx="64">
                  <c:v>2.6381899621917171</c:v>
                </c:pt>
                <c:pt idx="65">
                  <c:v>3.1434219310538793</c:v>
                </c:pt>
                <c:pt idx="66">
                  <c:v>3.6427570346557445</c:v>
                </c:pt>
                <c:pt idx="67">
                  <c:v>4.1360718582290588</c:v>
                </c:pt>
                <c:pt idx="68">
                  <c:v>4.6232420212786707</c:v>
                </c:pt>
                <c:pt idx="69">
                  <c:v>5.1041422207070184</c:v>
                </c:pt>
                <c:pt idx="70">
                  <c:v>5.578646279064273</c:v>
                </c:pt>
                <c:pt idx="71">
                  <c:v>6.0466271980700697</c:v>
                </c:pt>
                <c:pt idx="72">
                  <c:v>6.5079572175450267</c:v>
                </c:pt>
                <c:pt idx="73">
                  <c:v>6.9625078798831481</c:v>
                </c:pt>
                <c:pt idx="74">
                  <c:v>7.4101501001863852</c:v>
                </c:pt>
                <c:pt idx="75">
                  <c:v>7.8507542421706233</c:v>
                </c:pt>
                <c:pt idx="76">
                  <c:v>8.2841901999400562</c:v>
                </c:pt>
                <c:pt idx="77">
                  <c:v>8.7103274857108204</c:v>
                </c:pt>
                <c:pt idx="78">
                  <c:v>9.1290353235484645</c:v>
                </c:pt>
                <c:pt idx="79">
                  <c:v>9.5401827491641882</c:v>
                </c:pt>
                <c:pt idx="80">
                  <c:v>9.9436387157939947</c:v>
                </c:pt>
                <c:pt idx="81">
                  <c:v>10.339272206161809</c:v>
                </c:pt>
                <c:pt idx="82">
                  <c:v>10.726952350502145</c:v>
                </c:pt>
                <c:pt idx="83">
                  <c:v>11.106548550591057</c:v>
                </c:pt>
                <c:pt idx="84">
                  <c:v>11.477930609704927</c:v>
                </c:pt>
                <c:pt idx="85">
                  <c:v>11.840968868395336</c:v>
                </c:pt>
                <c:pt idx="86">
                  <c:v>12.195534345936153</c:v>
                </c:pt>
                <c:pt idx="87">
                  <c:v>12.541498887263586</c:v>
                </c:pt>
                <c:pt idx="88">
                  <c:v>12.87873531519493</c:v>
                </c:pt>
                <c:pt idx="89">
                  <c:v>13.207117587674162</c:v>
                </c:pt>
                <c:pt idx="90">
                  <c:v>13.526520959753697</c:v>
                </c:pt>
                <c:pt idx="91">
                  <c:v>13.836822149983689</c:v>
                </c:pt>
                <c:pt idx="92">
                  <c:v>14.137899510839375</c:v>
                </c:pt>
                <c:pt idx="93">
                  <c:v>14.429633202777836</c:v>
                </c:pt>
                <c:pt idx="94">
                  <c:v>14.71190537147551</c:v>
                </c:pt>
                <c:pt idx="95">
                  <c:v>14.984600327758741</c:v>
                </c:pt>
                <c:pt idx="96">
                  <c:v>15.247604729700939</c:v>
                </c:pt>
                <c:pt idx="97">
                  <c:v>15.500807766323433</c:v>
                </c:pt>
                <c:pt idx="98">
                  <c:v>15.744101342301335</c:v>
                </c:pt>
                <c:pt idx="99">
                  <c:v>15.977380263043003</c:v>
                </c:pt>
                <c:pt idx="100">
                  <c:v>16.200542419481337</c:v>
                </c:pt>
                <c:pt idx="101">
                  <c:v>16.413488971887432</c:v>
                </c:pt>
                <c:pt idx="102">
                  <c:v>16.616124531994032</c:v>
                </c:pt>
                <c:pt idx="103">
                  <c:v>16.808357342695871</c:v>
                </c:pt>
                <c:pt idx="104">
                  <c:v>16.990099454579322</c:v>
                </c:pt>
                <c:pt idx="105">
                  <c:v>17.161266898522499</c:v>
                </c:pt>
                <c:pt idx="106">
                  <c:v>17.321779853602081</c:v>
                </c:pt>
                <c:pt idx="107">
                  <c:v>17.471562809543144</c:v>
                </c:pt>
                <c:pt idx="108">
                  <c:v>17.610544722953307</c:v>
                </c:pt>
                <c:pt idx="109">
                  <c:v>17.7386591665949</c:v>
                </c:pt>
                <c:pt idx="110">
                  <c:v>17.855844470965664</c:v>
                </c:pt>
                <c:pt idx="111">
                  <c:v>17.962043857482385</c:v>
                </c:pt>
                <c:pt idx="112">
                  <c:v>18.05720556259115</c:v>
                </c:pt>
                <c:pt idx="113">
                  <c:v>18.141282952163692</c:v>
                </c:pt>
                <c:pt idx="114">
                  <c:v>18.214234625579849</c:v>
                </c:pt>
                <c:pt idx="115">
                  <c:v>18.276024508943564</c:v>
                </c:pt>
                <c:pt idx="116">
                  <c:v>18.326621936930849</c:v>
                </c:pt>
                <c:pt idx="117">
                  <c:v>18.366001722825445</c:v>
                </c:pt>
                <c:pt idx="118">
                  <c:v>18.394144216358015</c:v>
                </c:pt>
                <c:pt idx="119">
                  <c:v>18.411035349029433</c:v>
                </c:pt>
                <c:pt idx="120">
                  <c:v>18.416666661035109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4A-4ABA-B263-7358985B41F1}"/>
            </c:ext>
          </c:extLst>
        </c:ser>
        <c:ser>
          <c:idx val="5"/>
          <c:order val="3"/>
          <c:tx>
            <c:strRef>
              <c:f>'Ej-2b_Munich'!$W$9</c:f>
              <c:strCache>
                <c:ptCount val="1"/>
                <c:pt idx="0">
                  <c:v>w = -8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'Ej-2b_Munich'!$V$10:$V$14</c:f>
              <c:numCache>
                <c:formatCode>0.00</c:formatCode>
                <c:ptCount val="5"/>
                <c:pt idx="0">
                  <c:v>-127.38850858750132</c:v>
                </c:pt>
                <c:pt idx="1">
                  <c:v>-120.53621166331894</c:v>
                </c:pt>
                <c:pt idx="2">
                  <c:v>-113.26541836978299</c:v>
                </c:pt>
                <c:pt idx="3">
                  <c:v>-105.1100447582172</c:v>
                </c:pt>
                <c:pt idx="4">
                  <c:v>-95.464596845714027</c:v>
                </c:pt>
              </c:numCache>
            </c:numRef>
          </c:xVal>
          <c:yVal>
            <c:numRef>
              <c:f>'Ej-2b_Munich'!$W$10:$W$14</c:f>
              <c:numCache>
                <c:formatCode>0.00</c:formatCode>
                <c:ptCount val="5"/>
                <c:pt idx="0">
                  <c:v>-0.56072592650238562</c:v>
                </c:pt>
                <c:pt idx="1">
                  <c:v>-9.5249128269618524</c:v>
                </c:pt>
                <c:pt idx="2">
                  <c:v>-19.493487356914599</c:v>
                </c:pt>
                <c:pt idx="3">
                  <c:v>-28.559470043230803</c:v>
                </c:pt>
                <c:pt idx="4">
                  <c:v>-37.048512094197605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4A-4ABA-B263-7358985B41F1}"/>
            </c:ext>
          </c:extLst>
        </c:ser>
        <c:ser>
          <c:idx val="6"/>
          <c:order val="4"/>
          <c:tx>
            <c:strRef>
              <c:f>'Ej-2b_Munich'!$X$9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'Ej-2b_Munich'!$V$25:$V$29</c:f>
              <c:numCache>
                <c:formatCode>0.00</c:formatCode>
                <c:ptCount val="5"/>
                <c:pt idx="0">
                  <c:v>-116.53091608425655</c:v>
                </c:pt>
                <c:pt idx="1">
                  <c:v>-108.92907418239781</c:v>
                </c:pt>
                <c:pt idx="2">
                  <c:v>-101.28468430147653</c:v>
                </c:pt>
                <c:pt idx="3">
                  <c:v>-93.213209495925128</c:v>
                </c:pt>
                <c:pt idx="4">
                  <c:v>-84.279649197235912</c:v>
                </c:pt>
              </c:numCache>
            </c:numRef>
          </c:xVal>
          <c:yVal>
            <c:numRef>
              <c:f>'Ej-2b_Munich'!$X$25:$X$29</c:f>
              <c:numCache>
                <c:formatCode>0.00</c:formatCode>
                <c:ptCount val="5"/>
                <c:pt idx="0">
                  <c:v>7.925379379700729</c:v>
                </c:pt>
                <c:pt idx="1">
                  <c:v>-1.0197788412340572</c:v>
                </c:pt>
                <c:pt idx="2">
                  <c:v>-9.9469155528490063</c:v>
                </c:pt>
                <c:pt idx="3">
                  <c:v>-18.691065247956729</c:v>
                </c:pt>
                <c:pt idx="4">
                  <c:v>-27.053441376652316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4A-4ABA-B263-7358985B41F1}"/>
            </c:ext>
          </c:extLst>
        </c:ser>
        <c:ser>
          <c:idx val="7"/>
          <c:order val="5"/>
          <c:tx>
            <c:strRef>
              <c:f>'Ej-2b_Munich'!$Y$9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'Ej-2b_Munich'!$V$40:$V$44</c:f>
              <c:numCache>
                <c:formatCode>0.00</c:formatCode>
                <c:ptCount val="5"/>
                <c:pt idx="0">
                  <c:v>-106.1457966258162</c:v>
                </c:pt>
                <c:pt idx="1">
                  <c:v>-97.886172885403653</c:v>
                </c:pt>
                <c:pt idx="2">
                  <c:v>-90</c:v>
                </c:pt>
                <c:pt idx="3">
                  <c:v>-82.113827114596333</c:v>
                </c:pt>
                <c:pt idx="4">
                  <c:v>-73.854203374183783</c:v>
                </c:pt>
              </c:numCache>
            </c:numRef>
          </c:xVal>
          <c:yVal>
            <c:numRef>
              <c:f>'Ej-2b_Munich'!$Y$40:$Y$44</c:f>
              <c:numCache>
                <c:formatCode>0.00</c:formatCode>
                <c:ptCount val="5"/>
                <c:pt idx="0">
                  <c:v>17.238646461969296</c:v>
                </c:pt>
                <c:pt idx="1">
                  <c:v>8.7042335825356929</c:v>
                </c:pt>
                <c:pt idx="2">
                  <c:v>0</c:v>
                </c:pt>
                <c:pt idx="3">
                  <c:v>-8.7042335825356787</c:v>
                </c:pt>
                <c:pt idx="4">
                  <c:v>-17.238646461969282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4A-4ABA-B263-7358985B41F1}"/>
            </c:ext>
          </c:extLst>
        </c:ser>
        <c:ser>
          <c:idx val="8"/>
          <c:order val="6"/>
          <c:tx>
            <c:strRef>
              <c:f>'Ej-2b_Munich'!$Z$9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'Ej-2b_Munich'!$V$55:$V$59</c:f>
              <c:numCache>
                <c:formatCode>0.00</c:formatCode>
                <c:ptCount val="5"/>
                <c:pt idx="0">
                  <c:v>-95.720350802764088</c:v>
                </c:pt>
                <c:pt idx="1">
                  <c:v>-86.786790504074872</c:v>
                </c:pt>
                <c:pt idx="2">
                  <c:v>-78.715315698523483</c:v>
                </c:pt>
                <c:pt idx="3">
                  <c:v>-71.070925817602188</c:v>
                </c:pt>
                <c:pt idx="4">
                  <c:v>-63.469083915743454</c:v>
                </c:pt>
              </c:numCache>
            </c:numRef>
          </c:xVal>
          <c:yVal>
            <c:numRef>
              <c:f>'Ej-2b_Munich'!$Z$55:$Z$59</c:f>
              <c:numCache>
                <c:formatCode>0.00</c:formatCode>
                <c:ptCount val="5"/>
                <c:pt idx="0">
                  <c:v>27.053441376652316</c:v>
                </c:pt>
                <c:pt idx="1">
                  <c:v>18.691065247956729</c:v>
                </c:pt>
                <c:pt idx="2">
                  <c:v>9.9469155528489921</c:v>
                </c:pt>
                <c:pt idx="3">
                  <c:v>1.0197788412340572</c:v>
                </c:pt>
                <c:pt idx="4">
                  <c:v>-7.925379379700729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74A-4ABA-B263-7358985B41F1}"/>
            </c:ext>
          </c:extLst>
        </c:ser>
        <c:ser>
          <c:idx val="9"/>
          <c:order val="7"/>
          <c:tx>
            <c:strRef>
              <c:f>'Ej-2b_Munich'!$AA$9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'Ej-2b_Munich'!$V$70:$V$74</c:f>
              <c:numCache>
                <c:formatCode>0.00</c:formatCode>
                <c:ptCount val="5"/>
                <c:pt idx="0">
                  <c:v>-84.535403154285959</c:v>
                </c:pt>
                <c:pt idx="1">
                  <c:v>-74.889955241782758</c:v>
                </c:pt>
                <c:pt idx="2">
                  <c:v>-66.734581630216994</c:v>
                </c:pt>
                <c:pt idx="3">
                  <c:v>-59.463788336681034</c:v>
                </c:pt>
                <c:pt idx="4">
                  <c:v>-52.611491412498673</c:v>
                </c:pt>
              </c:numCache>
            </c:numRef>
          </c:xVal>
          <c:yVal>
            <c:numRef>
              <c:f>'Ej-2b_Munich'!$AA$70:$AA$74</c:f>
              <c:numCache>
                <c:formatCode>0.00</c:formatCode>
                <c:ptCount val="5"/>
                <c:pt idx="0">
                  <c:v>37.048512094197619</c:v>
                </c:pt>
                <c:pt idx="1">
                  <c:v>28.559470043230831</c:v>
                </c:pt>
                <c:pt idx="2">
                  <c:v>19.493487356914613</c:v>
                </c:pt>
                <c:pt idx="3">
                  <c:v>10.102108175553383</c:v>
                </c:pt>
                <c:pt idx="4">
                  <c:v>0.56072592650239983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74A-4ABA-B263-7358985B41F1}"/>
            </c:ext>
          </c:extLst>
        </c:ser>
        <c:ser>
          <c:idx val="10"/>
          <c:order val="8"/>
          <c:tx>
            <c:strRef>
              <c:f>'Ej-2b_Munich'!$AB$9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'Ej-2b_Munich'!$V$85:$V$89</c:f>
              <c:numCache>
                <c:formatCode>0.00</c:formatCode>
                <c:ptCount val="5"/>
                <c:pt idx="0">
                  <c:v>-71.464555620524791</c:v>
                </c:pt>
                <c:pt idx="1">
                  <c:v>-61.241603731161568</c:v>
                </c:pt>
                <c:pt idx="2">
                  <c:v>-53.324946429681333</c:v>
                </c:pt>
                <c:pt idx="3">
                  <c:v>-46.753514656348905</c:v>
                </c:pt>
                <c:pt idx="4">
                  <c:v>-40.907738610094277</c:v>
                </c:pt>
              </c:numCache>
            </c:numRef>
          </c:xVal>
          <c:yVal>
            <c:numRef>
              <c:f>'Ej-2b_Munich'!$AB$85:$AB$89</c:f>
              <c:numCache>
                <c:formatCode>0.00</c:formatCode>
                <c:ptCount val="5"/>
                <c:pt idx="0">
                  <c:v>46.82755867543208</c:v>
                </c:pt>
                <c:pt idx="1">
                  <c:v>37.836441520030633</c:v>
                </c:pt>
                <c:pt idx="2">
                  <c:v>28.15917279762342</c:v>
                </c:pt>
                <c:pt idx="3">
                  <c:v>18.103938575243475</c:v>
                </c:pt>
                <c:pt idx="4">
                  <c:v>7.8507542421706233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74A-4ABA-B263-7358985B41F1}"/>
            </c:ext>
          </c:extLst>
        </c:ser>
        <c:ser>
          <c:idx val="11"/>
          <c:order val="9"/>
          <c:tx>
            <c:strRef>
              <c:f>'Ej-2b_Munich'!$AC$9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'Ej-2b_Munich'!$V$100:$V$104</c:f>
              <c:numCache>
                <c:formatCode>0.00</c:formatCode>
                <c:ptCount val="5"/>
                <c:pt idx="0">
                  <c:v>-54.592667845849739</c:v>
                </c:pt>
                <c:pt idx="1">
                  <c:v>-44.634875958642198</c:v>
                </c:pt>
                <c:pt idx="2">
                  <c:v>-37.785671788030292</c:v>
                </c:pt>
                <c:pt idx="3">
                  <c:v>-32.546313761688346</c:v>
                </c:pt>
                <c:pt idx="4">
                  <c:v>-28.150583866932944</c:v>
                </c:pt>
              </c:numCache>
            </c:numRef>
          </c:xVal>
          <c:yVal>
            <c:numRef>
              <c:f>'Ej-2b_Munich'!$AC$100:$AC$104</c:f>
              <c:numCache>
                <c:formatCode>0.00</c:formatCode>
                <c:ptCount val="5"/>
                <c:pt idx="0">
                  <c:v>55.751051616175396</c:v>
                </c:pt>
                <c:pt idx="1">
                  <c:v>45.828607978712469</c:v>
                </c:pt>
                <c:pt idx="2">
                  <c:v>35.30893231440119</c:v>
                </c:pt>
                <c:pt idx="3">
                  <c:v>24.493555899484235</c:v>
                </c:pt>
                <c:pt idx="4">
                  <c:v>13.526520959753697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74A-4ABA-B263-7358985B41F1}"/>
            </c:ext>
          </c:extLst>
        </c:ser>
        <c:ser>
          <c:idx val="12"/>
          <c:order val="10"/>
          <c:tx>
            <c:strRef>
              <c:f>'Ej-2b_Munich'!$AD$9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'Ej-2b_Munich'!$V$115:$V$119</c:f>
              <c:numCache>
                <c:formatCode>0.00</c:formatCode>
                <c:ptCount val="5"/>
                <c:pt idx="0">
                  <c:v>-31.054320145034652</c:v>
                </c:pt>
                <c:pt idx="1">
                  <c:v>-24.018606239098496</c:v>
                </c:pt>
                <c:pt idx="2">
                  <c:v>-19.789150246879618</c:v>
                </c:pt>
                <c:pt idx="3">
                  <c:v>-16.789088765313572</c:v>
                </c:pt>
                <c:pt idx="4">
                  <c:v>-14.389157034701144</c:v>
                </c:pt>
              </c:numCache>
            </c:numRef>
          </c:xVal>
          <c:yVal>
            <c:numRef>
              <c:f>'Ej-2b_Munich'!$AD$115:$AD$119</c:f>
              <c:numCache>
                <c:formatCode>0.00</c:formatCode>
                <c:ptCount val="5"/>
                <c:pt idx="0">
                  <c:v>62.593957441681297</c:v>
                </c:pt>
                <c:pt idx="1">
                  <c:v>51.493810695168861</c:v>
                </c:pt>
                <c:pt idx="2">
                  <c:v>40.140063495223075</c:v>
                </c:pt>
                <c:pt idx="3">
                  <c:v>28.677119967419117</c:v>
                </c:pt>
                <c:pt idx="4">
                  <c:v>17.161266898522499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74A-4ABA-B263-7358985B41F1}"/>
            </c:ext>
          </c:extLst>
        </c:ser>
        <c:ser>
          <c:idx val="13"/>
          <c:order val="11"/>
          <c:tx>
            <c:strRef>
              <c:f>'Ej-2b_Munich'!$AE$9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'Ej-2b_Munich'!$V$131:$V$135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'Ej-2b_Munich'!$AE$131:$AE$135</c:f>
              <c:numCache>
                <c:formatCode>0.00</c:formatCode>
                <c:ptCount val="5"/>
                <c:pt idx="0">
                  <c:v>65.316666653871906</c:v>
                </c:pt>
                <c:pt idx="1">
                  <c:v>53.591666657058781</c:v>
                </c:pt>
                <c:pt idx="2">
                  <c:v>41.866666658845851</c:v>
                </c:pt>
                <c:pt idx="3">
                  <c:v>30.141666660072403</c:v>
                </c:pt>
                <c:pt idx="4">
                  <c:v>18.416666661035109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74A-4ABA-B263-7358985B41F1}"/>
            </c:ext>
          </c:extLst>
        </c:ser>
        <c:ser>
          <c:idx val="14"/>
          <c:order val="12"/>
          <c:tx>
            <c:strRef>
              <c:f>'Ej-2b_Munich'!$AF$9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'Ej-2b_Munich'!$V$146:$V$150</c:f>
              <c:numCache>
                <c:formatCode>0.00</c:formatCode>
                <c:ptCount val="5"/>
                <c:pt idx="0">
                  <c:v>31.054320145034652</c:v>
                </c:pt>
                <c:pt idx="1">
                  <c:v>24.018606239098496</c:v>
                </c:pt>
                <c:pt idx="2">
                  <c:v>19.789150246879618</c:v>
                </c:pt>
                <c:pt idx="3">
                  <c:v>16.789088765313572</c:v>
                </c:pt>
                <c:pt idx="4">
                  <c:v>14.389157034701144</c:v>
                </c:pt>
              </c:numCache>
            </c:numRef>
          </c:xVal>
          <c:yVal>
            <c:numRef>
              <c:f>'Ej-2b_Munich'!$AF$146:$AF$150</c:f>
              <c:numCache>
                <c:formatCode>0.00</c:formatCode>
                <c:ptCount val="5"/>
                <c:pt idx="0">
                  <c:v>62.593957441681297</c:v>
                </c:pt>
                <c:pt idx="1">
                  <c:v>51.493810695168861</c:v>
                </c:pt>
                <c:pt idx="2">
                  <c:v>40.140063495223075</c:v>
                </c:pt>
                <c:pt idx="3">
                  <c:v>28.677119967419117</c:v>
                </c:pt>
                <c:pt idx="4">
                  <c:v>17.161266898522499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74A-4ABA-B263-7358985B41F1}"/>
            </c:ext>
          </c:extLst>
        </c:ser>
        <c:ser>
          <c:idx val="15"/>
          <c:order val="13"/>
          <c:tx>
            <c:strRef>
              <c:f>'Ej-2b_Munich'!$AG$9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'Ej-2b_Munich'!$V$161:$V$165</c:f>
              <c:numCache>
                <c:formatCode>0.00</c:formatCode>
                <c:ptCount val="5"/>
                <c:pt idx="0">
                  <c:v>54.592667845849739</c:v>
                </c:pt>
                <c:pt idx="1">
                  <c:v>44.634875958642198</c:v>
                </c:pt>
                <c:pt idx="2">
                  <c:v>37.785671788030292</c:v>
                </c:pt>
                <c:pt idx="3">
                  <c:v>32.546313761688346</c:v>
                </c:pt>
                <c:pt idx="4">
                  <c:v>28.150583866932944</c:v>
                </c:pt>
              </c:numCache>
            </c:numRef>
          </c:xVal>
          <c:yVal>
            <c:numRef>
              <c:f>'Ej-2b_Munich'!$AG$161:$AG$165</c:f>
              <c:numCache>
                <c:formatCode>0.00</c:formatCode>
                <c:ptCount val="5"/>
                <c:pt idx="0">
                  <c:v>55.751051616175396</c:v>
                </c:pt>
                <c:pt idx="1">
                  <c:v>45.828607978712469</c:v>
                </c:pt>
                <c:pt idx="2">
                  <c:v>35.30893231440119</c:v>
                </c:pt>
                <c:pt idx="3">
                  <c:v>24.493555899484235</c:v>
                </c:pt>
                <c:pt idx="4">
                  <c:v>13.526520959753697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74A-4ABA-B263-7358985B41F1}"/>
            </c:ext>
          </c:extLst>
        </c:ser>
        <c:ser>
          <c:idx val="16"/>
          <c:order val="14"/>
          <c:tx>
            <c:strRef>
              <c:f>'Ej-2b_Munich'!$AH$9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'Ej-2b_Munich'!$V$176:$V$180</c:f>
              <c:numCache>
                <c:formatCode>0.00</c:formatCode>
                <c:ptCount val="5"/>
                <c:pt idx="0">
                  <c:v>71.464555620524791</c:v>
                </c:pt>
                <c:pt idx="1">
                  <c:v>61.241603731161568</c:v>
                </c:pt>
                <c:pt idx="2">
                  <c:v>53.324946429681333</c:v>
                </c:pt>
                <c:pt idx="3">
                  <c:v>46.753514656348905</c:v>
                </c:pt>
                <c:pt idx="4">
                  <c:v>40.907738610094277</c:v>
                </c:pt>
              </c:numCache>
            </c:numRef>
          </c:xVal>
          <c:yVal>
            <c:numRef>
              <c:f>'Ej-2b_Munich'!$AH$176:$AH$180</c:f>
              <c:numCache>
                <c:formatCode>0.00</c:formatCode>
                <c:ptCount val="5"/>
                <c:pt idx="0">
                  <c:v>46.82755867543208</c:v>
                </c:pt>
                <c:pt idx="1">
                  <c:v>37.836441520030633</c:v>
                </c:pt>
                <c:pt idx="2">
                  <c:v>28.15917279762342</c:v>
                </c:pt>
                <c:pt idx="3">
                  <c:v>18.103938575243475</c:v>
                </c:pt>
                <c:pt idx="4">
                  <c:v>7.8507542421706233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74A-4ABA-B263-7358985B41F1}"/>
            </c:ext>
          </c:extLst>
        </c:ser>
        <c:ser>
          <c:idx val="17"/>
          <c:order val="15"/>
          <c:tx>
            <c:strRef>
              <c:f>'Ej-2b_Munich'!$AI$9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'Ej-2b_Munich'!$V$191:$V$195</c:f>
              <c:numCache>
                <c:formatCode>0.00</c:formatCode>
                <c:ptCount val="5"/>
                <c:pt idx="0">
                  <c:v>84.535403154285959</c:v>
                </c:pt>
                <c:pt idx="1">
                  <c:v>74.889955241782758</c:v>
                </c:pt>
                <c:pt idx="2">
                  <c:v>66.734581630216994</c:v>
                </c:pt>
                <c:pt idx="3">
                  <c:v>59.463788336681034</c:v>
                </c:pt>
                <c:pt idx="4">
                  <c:v>52.611491412498673</c:v>
                </c:pt>
              </c:numCache>
            </c:numRef>
          </c:xVal>
          <c:yVal>
            <c:numRef>
              <c:f>'Ej-2b_Munich'!$AI$191:$AI$195</c:f>
              <c:numCache>
                <c:formatCode>0.00</c:formatCode>
                <c:ptCount val="5"/>
                <c:pt idx="0">
                  <c:v>37.048512094197619</c:v>
                </c:pt>
                <c:pt idx="1">
                  <c:v>28.559470043230831</c:v>
                </c:pt>
                <c:pt idx="2">
                  <c:v>19.493487356914613</c:v>
                </c:pt>
                <c:pt idx="3">
                  <c:v>10.102108175553383</c:v>
                </c:pt>
                <c:pt idx="4">
                  <c:v>0.56072592650239983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74A-4ABA-B263-7358985B41F1}"/>
            </c:ext>
          </c:extLst>
        </c:ser>
        <c:ser>
          <c:idx val="18"/>
          <c:order val="16"/>
          <c:tx>
            <c:strRef>
              <c:f>'Ej-2b_Munich'!$AJ$9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'Ej-2b_Munich'!$V$206:$V$210</c:f>
              <c:numCache>
                <c:formatCode>0.00</c:formatCode>
                <c:ptCount val="5"/>
                <c:pt idx="0">
                  <c:v>95.720350802764088</c:v>
                </c:pt>
                <c:pt idx="1">
                  <c:v>86.786790504074872</c:v>
                </c:pt>
                <c:pt idx="2">
                  <c:v>78.715315698523483</c:v>
                </c:pt>
                <c:pt idx="3">
                  <c:v>71.070925817602188</c:v>
                </c:pt>
                <c:pt idx="4">
                  <c:v>63.469083915743454</c:v>
                </c:pt>
              </c:numCache>
            </c:numRef>
          </c:xVal>
          <c:yVal>
            <c:numRef>
              <c:f>'Ej-2b_Munich'!$AJ$206:$AJ$210</c:f>
              <c:numCache>
                <c:formatCode>0.00</c:formatCode>
                <c:ptCount val="5"/>
                <c:pt idx="0">
                  <c:v>27.053441376652316</c:v>
                </c:pt>
                <c:pt idx="1">
                  <c:v>18.691065247956729</c:v>
                </c:pt>
                <c:pt idx="2">
                  <c:v>9.9469155528489921</c:v>
                </c:pt>
                <c:pt idx="3">
                  <c:v>1.0197788412340572</c:v>
                </c:pt>
                <c:pt idx="4">
                  <c:v>-7.925379379700729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74A-4ABA-B263-7358985B41F1}"/>
            </c:ext>
          </c:extLst>
        </c:ser>
        <c:ser>
          <c:idx val="19"/>
          <c:order val="17"/>
          <c:tx>
            <c:strRef>
              <c:f>'Ej-2b_Munich'!$AK$9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'Ej-2b_Munich'!$V$221:$V$225</c:f>
              <c:numCache>
                <c:formatCode>0.00</c:formatCode>
                <c:ptCount val="5"/>
                <c:pt idx="0">
                  <c:v>106.1457966258162</c:v>
                </c:pt>
                <c:pt idx="1">
                  <c:v>97.886172885403653</c:v>
                </c:pt>
                <c:pt idx="2">
                  <c:v>90</c:v>
                </c:pt>
                <c:pt idx="3">
                  <c:v>82.113827114596333</c:v>
                </c:pt>
                <c:pt idx="4">
                  <c:v>73.854203374183783</c:v>
                </c:pt>
              </c:numCache>
            </c:numRef>
          </c:xVal>
          <c:yVal>
            <c:numRef>
              <c:f>'Ej-2b_Munich'!$AK$221:$AK$225</c:f>
              <c:numCache>
                <c:formatCode>0.00</c:formatCode>
                <c:ptCount val="5"/>
                <c:pt idx="0">
                  <c:v>17.238646461969296</c:v>
                </c:pt>
                <c:pt idx="1">
                  <c:v>8.7042335825356929</c:v>
                </c:pt>
                <c:pt idx="2">
                  <c:v>0</c:v>
                </c:pt>
                <c:pt idx="3">
                  <c:v>-8.7042335825356787</c:v>
                </c:pt>
                <c:pt idx="4">
                  <c:v>-17.238646461969282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74A-4ABA-B263-7358985B41F1}"/>
            </c:ext>
          </c:extLst>
        </c:ser>
        <c:ser>
          <c:idx val="20"/>
          <c:order val="18"/>
          <c:tx>
            <c:strRef>
              <c:f>'Ej-2b_Munich'!$AL$9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'Ej-2b_Munich'!$V$236:$V$240</c:f>
              <c:numCache>
                <c:formatCode>0.00</c:formatCode>
                <c:ptCount val="5"/>
                <c:pt idx="0">
                  <c:v>116.53091608425655</c:v>
                </c:pt>
                <c:pt idx="1">
                  <c:v>108.92907418239781</c:v>
                </c:pt>
                <c:pt idx="2">
                  <c:v>101.28468430147653</c:v>
                </c:pt>
                <c:pt idx="3">
                  <c:v>93.213209495925128</c:v>
                </c:pt>
                <c:pt idx="4">
                  <c:v>84.279649197235912</c:v>
                </c:pt>
              </c:numCache>
            </c:numRef>
          </c:xVal>
          <c:yVal>
            <c:numRef>
              <c:f>'Ej-2b_Munich'!$AL$236:$AL$240</c:f>
              <c:numCache>
                <c:formatCode>0.00</c:formatCode>
                <c:ptCount val="5"/>
                <c:pt idx="0">
                  <c:v>7.925379379700729</c:v>
                </c:pt>
                <c:pt idx="1">
                  <c:v>-1.0197788412340572</c:v>
                </c:pt>
                <c:pt idx="2">
                  <c:v>-9.9469155528490063</c:v>
                </c:pt>
                <c:pt idx="3">
                  <c:v>-18.691065247956729</c:v>
                </c:pt>
                <c:pt idx="4">
                  <c:v>-27.053441376652316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74A-4ABA-B263-7358985B41F1}"/>
            </c:ext>
          </c:extLst>
        </c:ser>
        <c:ser>
          <c:idx val="21"/>
          <c:order val="19"/>
          <c:tx>
            <c:strRef>
              <c:f>'Ej-2b_Munich'!$AM$9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'Ej-2b_Munich'!$V$251:$V$255</c:f>
              <c:numCache>
                <c:formatCode>0.00</c:formatCode>
                <c:ptCount val="5"/>
                <c:pt idx="0">
                  <c:v>127.38850858750132</c:v>
                </c:pt>
                <c:pt idx="1">
                  <c:v>120.53621166331894</c:v>
                </c:pt>
                <c:pt idx="2">
                  <c:v>113.26541836978299</c:v>
                </c:pt>
                <c:pt idx="3">
                  <c:v>105.1100447582172</c:v>
                </c:pt>
                <c:pt idx="4">
                  <c:v>95.464596845714027</c:v>
                </c:pt>
              </c:numCache>
            </c:numRef>
          </c:xVal>
          <c:yVal>
            <c:numRef>
              <c:f>'Ej-2b_Munich'!$AM$251:$AM$255</c:f>
              <c:numCache>
                <c:formatCode>0.00</c:formatCode>
                <c:ptCount val="5"/>
                <c:pt idx="0">
                  <c:v>-0.56072592650238562</c:v>
                </c:pt>
                <c:pt idx="1">
                  <c:v>-10.102108175553369</c:v>
                </c:pt>
                <c:pt idx="2">
                  <c:v>-19.493487356914599</c:v>
                </c:pt>
                <c:pt idx="3">
                  <c:v>-28.559470043230803</c:v>
                </c:pt>
                <c:pt idx="4">
                  <c:v>-37.048512094197605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74A-4ABA-B263-7358985B41F1}"/>
            </c:ext>
          </c:extLst>
        </c:ser>
        <c:ser>
          <c:idx val="28"/>
          <c:order val="24"/>
          <c:tx>
            <c:strRef>
              <c:f>'Ej-2b_Munich'!$R$3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'Ej-2b_Munich'!$T$131:$T$251</c:f>
              <c:numCache>
                <c:formatCode>0.00</c:formatCode>
                <c:ptCount val="121"/>
                <c:pt idx="0">
                  <c:v>1.1158772564134575E-3</c:v>
                </c:pt>
                <c:pt idx="1">
                  <c:v>1.1158199970046858</c:v>
                </c:pt>
                <c:pt idx="2">
                  <c:v>2.2313012088934556</c:v>
                </c:pt>
                <c:pt idx="3">
                  <c:v>3.3461058096444942</c:v>
                </c:pt>
                <c:pt idx="4">
                  <c:v>4.4598978852870044</c:v>
                </c:pt>
                <c:pt idx="5">
                  <c:v>5.5723443746964305</c:v>
                </c:pt>
                <c:pt idx="6">
                  <c:v>6.6831159923064902</c:v>
                </c:pt>
                <c:pt idx="7">
                  <c:v>7.7918881270547713</c:v>
                </c:pt>
                <c:pt idx="8">
                  <c:v>8.8983417121605672</c:v>
                </c:pt>
                <c:pt idx="9">
                  <c:v>10.002164060668632</c:v>
                </c:pt>
                <c:pt idx="10">
                  <c:v>11.103049662096034</c:v>
                </c:pt>
                <c:pt idx="11">
                  <c:v>12.200700935957537</c:v>
                </c:pt>
                <c:pt idx="12">
                  <c:v>13.294828938430948</c:v>
                </c:pt>
                <c:pt idx="13">
                  <c:v>14.385154018932081</c:v>
                </c:pt>
                <c:pt idx="14">
                  <c:v>15.471406423906419</c:v>
                </c:pt>
                <c:pt idx="15">
                  <c:v>16.553326845689767</c:v>
                </c:pt>
                <c:pt idx="16">
                  <c:v>17.630666914839644</c:v>
                </c:pt>
                <c:pt idx="17">
                  <c:v>18.703189634889117</c:v>
                </c:pt>
                <c:pt idx="18">
                  <c:v>19.770669759007674</c:v>
                </c:pt>
                <c:pt idx="19">
                  <c:v>20.832894108568599</c:v>
                </c:pt>
                <c:pt idx="20">
                  <c:v>21.889661834116986</c:v>
                </c:pt>
                <c:pt idx="21">
                  <c:v>22.940784619687246</c:v>
                </c:pt>
                <c:pt idx="22">
                  <c:v>23.986086831846293</c:v>
                </c:pt>
                <c:pt idx="23">
                  <c:v>25.025405615221519</c:v>
                </c:pt>
                <c:pt idx="24">
                  <c:v>26.058590936615815</c:v>
                </c:pt>
                <c:pt idx="25">
                  <c:v>27.085505580111196</c:v>
                </c:pt>
                <c:pt idx="26">
                  <c:v>28.106025095814619</c:v>
                </c:pt>
                <c:pt idx="27">
                  <c:v>29.120037705110654</c:v>
                </c:pt>
                <c:pt idx="28">
                  <c:v>30.127444165449646</c:v>
                </c:pt>
                <c:pt idx="29">
                  <c:v>31.128157597820415</c:v>
                </c:pt>
                <c:pt idx="30">
                  <c:v>32.122103280140706</c:v>
                </c:pt>
                <c:pt idx="31">
                  <c:v>33.109218409836942</c:v>
                </c:pt>
                <c:pt idx="32">
                  <c:v>34.089451838895556</c:v>
                </c:pt>
                <c:pt idx="33">
                  <c:v>35.062763784637745</c:v>
                </c:pt>
                <c:pt idx="34">
                  <c:v>36.029125519418614</c:v>
                </c:pt>
                <c:pt idx="35">
                  <c:v>36.988519042366384</c:v>
                </c:pt>
                <c:pt idx="36">
                  <c:v>37.94093673617661</c:v>
                </c:pt>
                <c:pt idx="37">
                  <c:v>38.886381011851654</c:v>
                </c:pt>
                <c:pt idx="38">
                  <c:v>39.824863944137817</c:v>
                </c:pt>
                <c:pt idx="39">
                  <c:v>40.756406900262697</c:v>
                </c:pt>
                <c:pt idx="40">
                  <c:v>41.681040164413133</c:v>
                </c:pt>
                <c:pt idx="41">
                  <c:v>42.598802560229004</c:v>
                </c:pt>
                <c:pt idx="42">
                  <c:v>43.509741073416407</c:v>
                </c:pt>
                <c:pt idx="43">
                  <c:v>44.413910476411885</c:v>
                </c:pt>
                <c:pt idx="44">
                  <c:v>45.311372956856729</c:v>
                </c:pt>
                <c:pt idx="45">
                  <c:v>46.202197751472113</c:v>
                </c:pt>
                <c:pt idx="46">
                  <c:v>47.086460786757705</c:v>
                </c:pt>
                <c:pt idx="47">
                  <c:v>47.964244327779504</c:v>
                </c:pt>
                <c:pt idx="48">
                  <c:v>48.835636636154398</c:v>
                </c:pt>
                <c:pt idx="49">
                  <c:v>49.700731638195798</c:v>
                </c:pt>
                <c:pt idx="50">
                  <c:v>50.559628604043084</c:v>
                </c:pt>
                <c:pt idx="51">
                  <c:v>51.41243183846867</c:v>
                </c:pt>
                <c:pt idx="52">
                  <c:v>52.259250383933775</c:v>
                </c:pt>
                <c:pt idx="53">
                  <c:v>53.100197736351589</c:v>
                </c:pt>
                <c:pt idx="54">
                  <c:v>53.935391573912838</c:v>
                </c:pt>
                <c:pt idx="55">
                  <c:v>54.764953499233137</c:v>
                </c:pt>
                <c:pt idx="56">
                  <c:v>55.589008794995841</c:v>
                </c:pt>
                <c:pt idx="57">
                  <c:v>56.407686193186755</c:v>
                </c:pt>
                <c:pt idx="58">
                  <c:v>57.221117657946706</c:v>
                </c:pt>
                <c:pt idx="59">
                  <c:v>58.02943818200702</c:v>
                </c:pt>
                <c:pt idx="60">
                  <c:v>58.832785596619615</c:v>
                </c:pt>
                <c:pt idx="61">
                  <c:v>59.631300394844239</c:v>
                </c:pt>
                <c:pt idx="62">
                  <c:v>60.42512556801762</c:v>
                </c:pt>
                <c:pt idx="63">
                  <c:v>61.214406455192943</c:v>
                </c:pt>
                <c:pt idx="64">
                  <c:v>61.999290605310641</c:v>
                </c:pt>
                <c:pt idx="65">
                  <c:v>62.779927651837895</c:v>
                </c:pt>
                <c:pt idx="66">
                  <c:v>63.556469199595462</c:v>
                </c:pt>
                <c:pt idx="67">
                  <c:v>64.329068723477107</c:v>
                </c:pt>
                <c:pt idx="68">
                  <c:v>65.097881478755269</c:v>
                </c:pt>
                <c:pt idx="69">
                  <c:v>65.863064422662077</c:v>
                </c:pt>
                <c:pt idx="70">
                  <c:v>66.624776146929065</c:v>
                </c:pt>
                <c:pt idx="71">
                  <c:v>67.383176820970107</c:v>
                </c:pt>
                <c:pt idx="72">
                  <c:v>68.138428145392453</c:v>
                </c:pt>
                <c:pt idx="73">
                  <c:v>68.890693315525937</c:v>
                </c:pt>
                <c:pt idx="74">
                  <c:v>69.640136994664843</c:v>
                </c:pt>
                <c:pt idx="75">
                  <c:v>70.386925296725224</c:v>
                </c:pt>
                <c:pt idx="76">
                  <c:v>71.131225778028366</c:v>
                </c:pt>
                <c:pt idx="77">
                  <c:v>71.873207437930844</c:v>
                </c:pt>
                <c:pt idx="78">
                  <c:v>72.613040728032061</c:v>
                </c:pt>
                <c:pt idx="79">
                  <c:v>73.350897569700734</c:v>
                </c:pt>
                <c:pt idx="80">
                  <c:v>74.086951379673877</c:v>
                </c:pt>
                <c:pt idx="81">
                  <c:v>74.821377103492125</c:v>
                </c:pt>
                <c:pt idx="82">
                  <c:v>75.554351256547946</c:v>
                </c:pt>
                <c:pt idx="83">
                  <c:v>76.286051972534068</c:v>
                </c:pt>
                <c:pt idx="84">
                  <c:v>77.016659059090358</c:v>
                </c:pt>
                <c:pt idx="85">
                  <c:v>77.746354060458529</c:v>
                </c:pt>
                <c:pt idx="86">
                  <c:v>78.4753203269632</c:v>
                </c:pt>
                <c:pt idx="87">
                  <c:v>79.203743091147885</c:v>
                </c:pt>
                <c:pt idx="88">
                  <c:v>79.931809550401809</c:v>
                </c:pt>
                <c:pt idx="89">
                  <c:v>80.659708955921303</c:v>
                </c:pt>
                <c:pt idx="90">
                  <c:v>81.387632707854976</c:v>
                </c:pt>
                <c:pt idx="91">
                  <c:v>82.115774456486207</c:v>
                </c:pt>
                <c:pt idx="92">
                  <c:v>82.844330209310002</c:v>
                </c:pt>
                <c:pt idx="93">
                  <c:v>83.573498443861027</c:v>
                </c:pt>
                <c:pt idx="94">
                  <c:v>84.303480226150413</c:v>
                </c:pt>
                <c:pt idx="95">
                  <c:v>85.034479334563798</c:v>
                </c:pt>
                <c:pt idx="96">
                  <c:v>85.766702389069025</c:v>
                </c:pt>
                <c:pt idx="97">
                  <c:v>86.500358985572618</c:v>
                </c:pt>
                <c:pt idx="98">
                  <c:v>87.235661835252913</c:v>
                </c:pt>
                <c:pt idx="99">
                  <c:v>87.972826908683302</c:v>
                </c:pt>
                <c:pt idx="100">
                  <c:v>88.712073584540235</c:v>
                </c:pt>
                <c:pt idx="101">
                  <c:v>89.453624802668472</c:v>
                </c:pt>
                <c:pt idx="102">
                  <c:v>90.19770722124872</c:v>
                </c:pt>
                <c:pt idx="103">
                  <c:v>90.944551377781494</c:v>
                </c:pt>
                <c:pt idx="104">
                  <c:v>91.694391853562976</c:v>
                </c:pt>
                <c:pt idx="105">
                  <c:v>92.447467441285966</c:v>
                </c:pt>
                <c:pt idx="106">
                  <c:v>93.204021315348371</c:v>
                </c:pt>
                <c:pt idx="107">
                  <c:v>93.964301204395269</c:v>
                </c:pt>
                <c:pt idx="108">
                  <c:v>94.728559565554448</c:v>
                </c:pt>
                <c:pt idx="109">
                  <c:v>95.497053759751864</c:v>
                </c:pt>
                <c:pt idx="110">
                  <c:v>96.270046227409921</c:v>
                </c:pt>
                <c:pt idx="111">
                  <c:v>97.047804663736798</c:v>
                </c:pt>
                <c:pt idx="112">
                  <c:v>97.830602192709662</c:v>
                </c:pt>
                <c:pt idx="113">
                  <c:v>98.618717538736391</c:v>
                </c:pt>
                <c:pt idx="114">
                  <c:v>99.412435194848371</c:v>
                </c:pt>
                <c:pt idx="115">
                  <c:v>100.21204558613024</c:v>
                </c:pt>
                <c:pt idx="116">
                  <c:v>101.01784522692914</c:v>
                </c:pt>
                <c:pt idx="117">
                  <c:v>101.8301368702065</c:v>
                </c:pt>
                <c:pt idx="118">
                  <c:v>102.64922964719592</c:v>
                </c:pt>
                <c:pt idx="119">
                  <c:v>103.47543919531185</c:v>
                </c:pt>
                <c:pt idx="120">
                  <c:v>104.30908777201385</c:v>
                </c:pt>
              </c:numCache>
            </c:numRef>
          </c:xVal>
          <c:yVal>
            <c:numRef>
              <c:f>'Ej-2b_Munich'!$S$131:$S$251</c:f>
              <c:numCache>
                <c:formatCode>0.00</c:formatCode>
                <c:ptCount val="121"/>
                <c:pt idx="0">
                  <c:v>29.080778376389368</c:v>
                </c:pt>
                <c:pt idx="1">
                  <c:v>29.074279711091251</c:v>
                </c:pt>
                <c:pt idx="2">
                  <c:v>29.054788133010952</c:v>
                </c:pt>
                <c:pt idx="3">
                  <c:v>29.022316946585313</c:v>
                </c:pt>
                <c:pt idx="4">
                  <c:v>28.976888268497845</c:v>
                </c:pt>
                <c:pt idx="5">
                  <c:v>28.918532964728676</c:v>
                </c:pt>
                <c:pt idx="6">
                  <c:v>28.847290554061033</c:v>
                </c:pt>
                <c:pt idx="7">
                  <c:v>28.763209085266773</c:v>
                </c:pt>
                <c:pt idx="8">
                  <c:v>28.66634498888402</c:v>
                </c:pt>
                <c:pt idx="9">
                  <c:v>28.556762904678116</c:v>
                </c:pt>
                <c:pt idx="10">
                  <c:v>28.434535486040744</c:v>
                </c:pt>
                <c:pt idx="11">
                  <c:v>28.299743182729316</c:v>
                </c:pt>
                <c:pt idx="12">
                  <c:v>28.152474003479114</c:v>
                </c:pt>
                <c:pt idx="13">
                  <c:v>27.992823260131189</c:v>
                </c:pt>
                <c:pt idx="14">
                  <c:v>27.820893295010841</c:v>
                </c:pt>
                <c:pt idx="15">
                  <c:v>27.63679319336218</c:v>
                </c:pt>
                <c:pt idx="16">
                  <c:v>27.440638482695583</c:v>
                </c:pt>
                <c:pt idx="17">
                  <c:v>27.232550820934996</c:v>
                </c:pt>
                <c:pt idx="18">
                  <c:v>27.012657675263334</c:v>
                </c:pt>
                <c:pt idx="19">
                  <c:v>26.781091993556544</c:v>
                </c:pt>
                <c:pt idx="20">
                  <c:v>26.537991870270879</c:v>
                </c:pt>
                <c:pt idx="21">
                  <c:v>26.283500208606405</c:v>
                </c:pt>
                <c:pt idx="22">
                  <c:v>26.017764380712372</c:v>
                </c:pt>
                <c:pt idx="23">
                  <c:v>25.740935887629703</c:v>
                </c:pt>
                <c:pt idx="24">
                  <c:v>25.453170020583826</c:v>
                </c:pt>
                <c:pt idx="25">
                  <c:v>25.15462552514866</c:v>
                </c:pt>
                <c:pt idx="26">
                  <c:v>24.845464269702674</c:v>
                </c:pt>
                <c:pt idx="27">
                  <c:v>24.525850919490907</c:v>
                </c:pt>
                <c:pt idx="28">
                  <c:v>24.195952617495735</c:v>
                </c:pt>
                <c:pt idx="29">
                  <c:v>23.855938673204847</c:v>
                </c:pt>
                <c:pt idx="30">
                  <c:v>23.505980260248705</c:v>
                </c:pt>
                <c:pt idx="31">
                  <c:v>23.146250123764474</c:v>
                </c:pt>
                <c:pt idx="32">
                  <c:v>22.776922298228172</c:v>
                </c:pt>
                <c:pt idx="33">
                  <c:v>22.398171836385529</c:v>
                </c:pt>
                <c:pt idx="34">
                  <c:v>22.010174549802315</c:v>
                </c:pt>
                <c:pt idx="35">
                  <c:v>21.613106761451817</c:v>
                </c:pt>
                <c:pt idx="36">
                  <c:v>21.207145070656892</c:v>
                </c:pt>
                <c:pt idx="37">
                  <c:v>20.792466130611388</c:v>
                </c:pt>
                <c:pt idx="38">
                  <c:v>20.369246438617864</c:v>
                </c:pt>
                <c:pt idx="39">
                  <c:v>19.937662139097782</c:v>
                </c:pt>
                <c:pt idx="40">
                  <c:v>19.497888839356222</c:v>
                </c:pt>
                <c:pt idx="41">
                  <c:v>19.050101438015815</c:v>
                </c:pt>
                <c:pt idx="42">
                  <c:v>18.594473965973734</c:v>
                </c:pt>
                <c:pt idx="43">
                  <c:v>18.131179439681716</c:v>
                </c:pt>
                <c:pt idx="44">
                  <c:v>17.660389726502032</c:v>
                </c:pt>
                <c:pt idx="45">
                  <c:v>17.182275421850562</c:v>
                </c:pt>
                <c:pt idx="46">
                  <c:v>16.697005737804261</c:v>
                </c:pt>
                <c:pt idx="47">
                  <c:v>16.204748402819575</c:v>
                </c:pt>
                <c:pt idx="48">
                  <c:v>15.705669572186309</c:v>
                </c:pt>
                <c:pt idx="49">
                  <c:v>15.199933748821238</c:v>
                </c:pt>
                <c:pt idx="50">
                  <c:v>14.687703713992619</c:v>
                </c:pt>
                <c:pt idx="51">
                  <c:v>14.169140467556915</c:v>
                </c:pt>
                <c:pt idx="52">
                  <c:v>13.644403177282769</c:v>
                </c:pt>
                <c:pt idx="53">
                  <c:v>13.113649136836045</c:v>
                </c:pt>
                <c:pt idx="54">
                  <c:v>12.577033731999606</c:v>
                </c:pt>
                <c:pt idx="55">
                  <c:v>12.034710414706311</c:v>
                </c:pt>
                <c:pt idx="56">
                  <c:v>11.486830684469467</c:v>
                </c:pt>
                <c:pt idx="57">
                  <c:v>10.933544076803656</c:v>
                </c:pt>
                <c:pt idx="58">
                  <c:v>10.374998158239393</c:v>
                </c:pt>
                <c:pt idx="59">
                  <c:v>9.811338527547079</c:v>
                </c:pt>
                <c:pt idx="60">
                  <c:v>9.2427088227984342</c:v>
                </c:pt>
                <c:pt idx="61">
                  <c:v>8.6692507339093225</c:v>
                </c:pt>
                <c:pt idx="62">
                  <c:v>8.0911040203219073</c:v>
                </c:pt>
                <c:pt idx="63">
                  <c:v>7.5084065335007324</c:v>
                </c:pt>
                <c:pt idx="64">
                  <c:v>6.9212942439339855</c:v>
                </c:pt>
                <c:pt idx="65">
                  <c:v>6.3299012723475414</c:v>
                </c:pt>
                <c:pt idx="66">
                  <c:v>5.7343599248572019</c:v>
                </c:pt>
                <c:pt idx="67">
                  <c:v>5.1348007318006808</c:v>
                </c:pt>
                <c:pt idx="68">
                  <c:v>4.5313524900095246</c:v>
                </c:pt>
                <c:pt idx="69">
                  <c:v>3.9241423082966094</c:v>
                </c:pt>
                <c:pt idx="70">
                  <c:v>3.3132956559530129</c:v>
                </c:pt>
                <c:pt idx="71">
                  <c:v>2.6989364140639651</c:v>
                </c:pt>
                <c:pt idx="72">
                  <c:v>2.0811869294702774</c:v>
                </c:pt>
                <c:pt idx="73">
                  <c:v>1.4601680712174954</c:v>
                </c:pt>
                <c:pt idx="74">
                  <c:v>0.83599928935051082</c:v>
                </c:pt>
                <c:pt idx="75">
                  <c:v>0.208798675927099</c:v>
                </c:pt>
                <c:pt idx="76">
                  <c:v>-0.42131697186205486</c:v>
                </c:pt>
                <c:pt idx="77">
                  <c:v>-1.0542320865640846</c:v>
                </c:pt>
                <c:pt idx="78">
                  <c:v>-1.6898322634095138</c:v>
                </c:pt>
                <c:pt idx="79">
                  <c:v>-2.3280041914024423</c:v>
                </c:pt>
                <c:pt idx="80">
                  <c:v>-2.9686355826125919</c:v>
                </c:pt>
                <c:pt idx="81">
                  <c:v>-3.6116150997133758</c:v>
                </c:pt>
                <c:pt idx="82">
                  <c:v>-4.2568322817979549</c:v>
                </c:pt>
                <c:pt idx="83">
                  <c:v>-4.9041774684933728</c:v>
                </c:pt>
                <c:pt idx="84">
                  <c:v>-5.5535417223811692</c:v>
                </c:pt>
                <c:pt idx="85">
                  <c:v>-6.2048167497218856</c:v>
                </c:pt>
                <c:pt idx="86">
                  <c:v>-6.8578948194695784</c:v>
                </c:pt>
                <c:pt idx="87">
                  <c:v>-7.5126686805526219</c:v>
                </c:pt>
                <c:pt idx="88">
                  <c:v>-8.1690314773859711</c:v>
                </c:pt>
                <c:pt idx="89">
                  <c:v>-8.8268766635710421</c:v>
                </c:pt>
                <c:pt idx="90">
                  <c:v>-9.4860979137288126</c:v>
                </c:pt>
                <c:pt idx="91">
                  <c:v>-10.146589033403046</c:v>
                </c:pt>
                <c:pt idx="92">
                  <c:v>-10.808243866961107</c:v>
                </c:pt>
                <c:pt idx="93">
                  <c:v>-11.47095620341068</c:v>
                </c:pt>
                <c:pt idx="94">
                  <c:v>-12.134619680042874</c:v>
                </c:pt>
                <c:pt idx="95">
                  <c:v>-12.799127683802723</c:v>
                </c:pt>
                <c:pt idx="96">
                  <c:v>-13.464373250280772</c:v>
                </c:pt>
                <c:pt idx="97">
                  <c:v>-14.130248960211361</c:v>
                </c:pt>
                <c:pt idx="98">
                  <c:v>-14.796646833355283</c:v>
                </c:pt>
                <c:pt idx="99">
                  <c:v>-15.463458219637559</c:v>
                </c:pt>
                <c:pt idx="100">
                  <c:v>-16.130573687404151</c:v>
                </c:pt>
                <c:pt idx="101">
                  <c:v>-16.797882908654444</c:v>
                </c:pt>
                <c:pt idx="102">
                  <c:v>-17.465274541100456</c:v>
                </c:pt>
                <c:pt idx="103">
                  <c:v>-18.132636106898175</c:v>
                </c:pt>
                <c:pt idx="104">
                  <c:v>-18.799853867890832</c:v>
                </c:pt>
                <c:pt idx="105">
                  <c:v>-19.466812697199998</c:v>
                </c:pt>
                <c:pt idx="106">
                  <c:v>-20.133395946996032</c:v>
                </c:pt>
                <c:pt idx="107">
                  <c:v>-20.79948531227727</c:v>
                </c:pt>
                <c:pt idx="108">
                  <c:v>-21.464960690484745</c:v>
                </c:pt>
                <c:pt idx="109">
                  <c:v>-22.129700036778928</c:v>
                </c:pt>
                <c:pt idx="110">
                  <c:v>-22.793579214805717</c:v>
                </c:pt>
                <c:pt idx="111">
                  <c:v>-23.456471842780829</c:v>
                </c:pt>
                <c:pt idx="112">
                  <c:v>-24.118249134725843</c:v>
                </c:pt>
                <c:pt idx="113">
                  <c:v>-24.778779736695512</c:v>
                </c:pt>
                <c:pt idx="114">
                  <c:v>-25.437929557844157</c:v>
                </c:pt>
                <c:pt idx="115">
                  <c:v>-26.09556159619045</c:v>
                </c:pt>
                <c:pt idx="116">
                  <c:v>-26.751535758954091</c:v>
                </c:pt>
                <c:pt idx="117">
                  <c:v>-27.405708677356088</c:v>
                </c:pt>
                <c:pt idx="118">
                  <c:v>-28.057933515796535</c:v>
                </c:pt>
                <c:pt idx="119">
                  <c:v>-28.708059775350023</c:v>
                </c:pt>
                <c:pt idx="120">
                  <c:v>-29.355933091551762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74A-4ABA-B263-7358985B4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7232"/>
        <c:axId val="72609152"/>
      </c:scatterChart>
      <c:scatterChart>
        <c:scatterStyle val="lineMarker"/>
        <c:varyColors val="0"/>
        <c:ser>
          <c:idx val="22"/>
          <c:order val="20"/>
          <c:tx>
            <c:strRef>
              <c:f>'Ej-2b_Munich'!$C$3</c:f>
              <c:strCache>
                <c:ptCount val="1"/>
                <c:pt idx="0">
                  <c:v>S.Junio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'Ej-2b_Munich'!$E$131:$E$251</c:f>
              <c:numCache>
                <c:formatCode>0.00</c:formatCode>
                <c:ptCount val="121"/>
                <c:pt idx="0">
                  <c:v>2.196842877250462E-3</c:v>
                </c:pt>
                <c:pt idx="1">
                  <c:v>2.1962026140007231</c:v>
                </c:pt>
                <c:pt idx="2">
                  <c:v>4.3885732999666995</c:v>
                </c:pt>
                <c:pt idx="3">
                  <c:v>6.5733282523122352</c:v>
                </c:pt>
                <c:pt idx="4">
                  <c:v>8.7467784217630236</c:v>
                </c:pt>
                <c:pt idx="5">
                  <c:v>10.905373257347657</c:v>
                </c:pt>
                <c:pt idx="6">
                  <c:v>13.045740315863585</c:v>
                </c:pt>
                <c:pt idx="7">
                  <c:v>15.164719723886556</c:v>
                </c:pt>
                <c:pt idx="8">
                  <c:v>17.259392746674276</c:v>
                </c:pt>
                <c:pt idx="9">
                  <c:v>19.327104009305557</c:v>
                </c:pt>
                <c:pt idx="10">
                  <c:v>21.365477206318698</c:v>
                </c:pt>
                <c:pt idx="11">
                  <c:v>23.372424407253959</c:v>
                </c:pt>
                <c:pt idx="12">
                  <c:v>25.346149301336247</c:v>
                </c:pt>
                <c:pt idx="13">
                  <c:v>27.285144914302137</c:v>
                </c:pt>
                <c:pt idx="14">
                  <c:v>29.188186468678619</c:v>
                </c:pt>
                <c:pt idx="15">
                  <c:v>31.054320145034652</c:v>
                </c:pt>
                <c:pt idx="16">
                  <c:v>32.882848539287309</c:v>
                </c:pt>
                <c:pt idx="17">
                  <c:v>34.673313606379871</c:v>
                </c:pt>
                <c:pt idx="18">
                  <c:v>36.425477841674009</c:v>
                </c:pt>
                <c:pt idx="19">
                  <c:v>38.139304386998354</c:v>
                </c:pt>
                <c:pt idx="20">
                  <c:v>39.814936667059094</c:v>
                </c:pt>
                <c:pt idx="21">
                  <c:v>41.452678071624419</c:v>
                </c:pt>
                <c:pt idx="22">
                  <c:v>43.052972106059961</c:v>
                </c:pt>
                <c:pt idx="23">
                  <c:v>44.616383342559168</c:v>
                </c:pt>
                <c:pt idx="24">
                  <c:v>46.143579420487747</c:v>
                </c:pt>
                <c:pt idx="25">
                  <c:v>47.635314269075963</c:v>
                </c:pt>
                <c:pt idx="26">
                  <c:v>49.092412660552846</c:v>
                </c:pt>
                <c:pt idx="27">
                  <c:v>50.515756147158122</c:v>
                </c:pt>
                <c:pt idx="28">
                  <c:v>51.906270391057305</c:v>
                </c:pt>
                <c:pt idx="29">
                  <c:v>53.264913861321418</c:v>
                </c:pt>
                <c:pt idx="30">
                  <c:v>54.592667845849739</c:v>
                </c:pt>
                <c:pt idx="31">
                  <c:v>55.890527707279375</c:v>
                </c:pt>
                <c:pt idx="32">
                  <c:v>57.159495299380417</c:v>
                </c:pt>
                <c:pt idx="33">
                  <c:v>58.400572453056583</c:v>
                </c:pt>
                <c:pt idx="34">
                  <c:v>59.614755437815738</c:v>
                </c:pt>
                <c:pt idx="35">
                  <c:v>60.803030304512227</c:v>
                </c:pt>
                <c:pt idx="36">
                  <c:v>61.966369017499659</c:v>
                </c:pt>
                <c:pt idx="37">
                  <c:v>63.105726288380197</c:v>
                </c:pt>
                <c:pt idx="38">
                  <c:v>64.222037028752922</c:v>
                </c:pt>
                <c:pt idx="39">
                  <c:v>65.316214345293986</c:v>
                </c:pt>
                <c:pt idx="40">
                  <c:v>66.389148006798592</c:v>
                </c:pt>
                <c:pt idx="41">
                  <c:v>67.441703319215875</c:v>
                </c:pt>
                <c:pt idx="42">
                  <c:v>68.474720351010987</c:v>
                </c:pt>
                <c:pt idx="43">
                  <c:v>69.489013457256803</c:v>
                </c:pt>
                <c:pt idx="44">
                  <c:v>70.485371056591447</c:v>
                </c:pt>
                <c:pt idx="45">
                  <c:v>71.464555620524791</c:v>
                </c:pt>
                <c:pt idx="46">
                  <c:v>72.427303839496901</c:v>
                </c:pt>
                <c:pt idx="47">
                  <c:v>73.374326934579884</c:v>
                </c:pt>
                <c:pt idx="48">
                  <c:v>74.306311087772329</c:v>
                </c:pt>
                <c:pt idx="49">
                  <c:v>75.22391796747651</c:v>
                </c:pt>
                <c:pt idx="50">
                  <c:v>76.127785328997902</c:v>
                </c:pt>
                <c:pt idx="51">
                  <c:v>77.018527672787101</c:v>
                </c:pt>
                <c:pt idx="52">
                  <c:v>77.896736945685362</c:v>
                </c:pt>
                <c:pt idx="53">
                  <c:v>78.762983272668464</c:v>
                </c:pt>
                <c:pt idx="54">
                  <c:v>79.617815708535801</c:v>
                </c:pt>
                <c:pt idx="55">
                  <c:v>80.461763000692173</c:v>
                </c:pt>
                <c:pt idx="56">
                  <c:v>81.295334355646247</c:v>
                </c:pt>
                <c:pt idx="57">
                  <c:v>82.119020203125345</c:v>
                </c:pt>
                <c:pt idx="58">
                  <c:v>82.933292952806539</c:v>
                </c:pt>
                <c:pt idx="59">
                  <c:v>83.738607739607048</c:v>
                </c:pt>
                <c:pt idx="60">
                  <c:v>84.535403154285959</c:v>
                </c:pt>
                <c:pt idx="61">
                  <c:v>85.324101956796042</c:v>
                </c:pt>
                <c:pt idx="62">
                  <c:v>86.105111770409806</c:v>
                </c:pt>
                <c:pt idx="63">
                  <c:v>86.878825755137782</c:v>
                </c:pt>
                <c:pt idx="64">
                  <c:v>87.64562325937213</c:v>
                </c:pt>
                <c:pt idx="65">
                  <c:v>88.405870449037721</c:v>
                </c:pt>
                <c:pt idx="66">
                  <c:v>89.159920913821566</c:v>
                </c:pt>
                <c:pt idx="67">
                  <c:v>89.908116250291968</c:v>
                </c:pt>
                <c:pt idx="68">
                  <c:v>90.650786621914904</c:v>
                </c:pt>
                <c:pt idx="69">
                  <c:v>91.388251296135195</c:v>
                </c:pt>
                <c:pt idx="70">
                  <c:v>92.120819158818591</c:v>
                </c:pt>
                <c:pt idx="71">
                  <c:v>92.848789206452508</c:v>
                </c:pt>
                <c:pt idx="72">
                  <c:v>93.572451016582576</c:v>
                </c:pt>
                <c:pt idx="73">
                  <c:v>94.292085197021947</c:v>
                </c:pt>
                <c:pt idx="74">
                  <c:v>95.007963814414651</c:v>
                </c:pt>
                <c:pt idx="75">
                  <c:v>95.720350802764088</c:v>
                </c:pt>
                <c:pt idx="76">
                  <c:v>96.429502352557151</c:v>
                </c:pt>
                <c:pt idx="77">
                  <c:v>97.135667281124384</c:v>
                </c:pt>
                <c:pt idx="78">
                  <c:v>97.839087384877885</c:v>
                </c:pt>
                <c:pt idx="79">
                  <c:v>98.53999777406456</c:v>
                </c:pt>
                <c:pt idx="80">
                  <c:v>99.238627190662726</c:v>
                </c:pt>
                <c:pt idx="81">
                  <c:v>99.9351983100361</c:v>
                </c:pt>
                <c:pt idx="82">
                  <c:v>100.62992802694137</c:v>
                </c:pt>
                <c:pt idx="83">
                  <c:v>101.3230277264674</c:v>
                </c:pt>
                <c:pt idx="84">
                  <c:v>102.01470354046018</c:v>
                </c:pt>
                <c:pt idx="85">
                  <c:v>102.70515658996599</c:v>
                </c:pt>
                <c:pt idx="86">
                  <c:v>103.39458321420031</c:v>
                </c:pt>
                <c:pt idx="87">
                  <c:v>104.08317518652466</c:v>
                </c:pt>
                <c:pt idx="88">
                  <c:v>104.77111991788892</c:v>
                </c:pt>
                <c:pt idx="89">
                  <c:v>105.45860064817049</c:v>
                </c:pt>
                <c:pt idx="90">
                  <c:v>106.1457966258162</c:v>
                </c:pt>
                <c:pt idx="91">
                  <c:v>106.83288327616863</c:v>
                </c:pt>
                <c:pt idx="92">
                  <c:v>107.5200323588321</c:v>
                </c:pt>
                <c:pt idx="93">
                  <c:v>108.20741211441103</c:v>
                </c:pt>
                <c:pt idx="94">
                  <c:v>108.89518740092839</c:v>
                </c:pt>
                <c:pt idx="95">
                  <c:v>109.58351982021017</c:v>
                </c:pt>
                <c:pt idx="96">
                  <c:v>110.27256783449837</c:v>
                </c:pt>
                <c:pt idx="97">
                  <c:v>110.96248687353535</c:v>
                </c:pt>
                <c:pt idx="98">
                  <c:v>111.65342943234077</c:v>
                </c:pt>
                <c:pt idx="99">
                  <c:v>112.34554515988289</c:v>
                </c:pt>
                <c:pt idx="100">
                  <c:v>113.03898093882904</c:v>
                </c:pt>
                <c:pt idx="101">
                  <c:v>113.73388095654092</c:v>
                </c:pt>
                <c:pt idx="102">
                  <c:v>114.43038676746509</c:v>
                </c:pt>
                <c:pt idx="103">
                  <c:v>115.12863734705395</c:v>
                </c:pt>
                <c:pt idx="104">
                  <c:v>115.82876913733779</c:v>
                </c:pt>
                <c:pt idx="105">
                  <c:v>116.53091608425655</c:v>
                </c:pt>
                <c:pt idx="106">
                  <c:v>117.23520966684802</c:v>
                </c:pt>
                <c:pt idx="107">
                  <c:v>117.94177891837896</c:v>
                </c:pt>
                <c:pt idx="108">
                  <c:v>118.65075043949679</c:v>
                </c:pt>
                <c:pt idx="109">
                  <c:v>119.36224840347282</c:v>
                </c:pt>
                <c:pt idx="110">
                  <c:v>120.07639455360064</c:v>
                </c:pt>
                <c:pt idx="111">
                  <c:v>120.79330819281071</c:v>
                </c:pt>
                <c:pt idx="112">
                  <c:v>121.51310616555779</c:v>
                </c:pt>
                <c:pt idx="113">
                  <c:v>122.23590283203805</c:v>
                </c:pt>
                <c:pt idx="114">
                  <c:v>122.96181003479269</c:v>
                </c:pt>
                <c:pt idx="115">
                  <c:v>123.69093705775794</c:v>
                </c:pt>
                <c:pt idx="116">
                  <c:v>124.42339057782527</c:v>
                </c:pt>
                <c:pt idx="117">
                  <c:v>125.15927460898261</c:v>
                </c:pt>
                <c:pt idx="118">
                  <c:v>125.8986904391157</c:v>
                </c:pt>
                <c:pt idx="119">
                  <c:v>126.64173655955932</c:v>
                </c:pt>
                <c:pt idx="120">
                  <c:v>127.38850858750132</c:v>
                </c:pt>
              </c:numCache>
            </c:numRef>
          </c:xVal>
          <c:yVal>
            <c:numRef>
              <c:f>'Ej-2b_Munich'!$D$131:$D$251</c:f>
              <c:numCache>
                <c:formatCode>0.00</c:formatCode>
                <c:ptCount val="121"/>
                <c:pt idx="0">
                  <c:v>65.316666653871906</c:v>
                </c:pt>
                <c:pt idx="1">
                  <c:v>65.30387533659092</c:v>
                </c:pt>
                <c:pt idx="2">
                  <c:v>65.265542438159116</c:v>
                </c:pt>
                <c:pt idx="3">
                  <c:v>65.201790612563968</c:v>
                </c:pt>
                <c:pt idx="4">
                  <c:v>65.112822170702373</c:v>
                </c:pt>
                <c:pt idx="5">
                  <c:v>64.998916035166133</c:v>
                </c:pt>
                <c:pt idx="6">
                  <c:v>64.860423611120297</c:v>
                </c:pt>
                <c:pt idx="7">
                  <c:v>64.697763726633596</c:v>
                </c:pt>
                <c:pt idx="8">
                  <c:v>64.511416807985384</c:v>
                </c:pt>
                <c:pt idx="9">
                  <c:v>64.301918471059707</c:v>
                </c:pt>
                <c:pt idx="10">
                  <c:v>64.069852715968466</c:v>
                </c:pt>
                <c:pt idx="11">
                  <c:v>63.815844909084731</c:v>
                </c:pt>
                <c:pt idx="12">
                  <c:v>63.540554725867509</c:v>
                </c:pt>
                <c:pt idx="13">
                  <c:v>63.244669210798691</c:v>
                </c:pt>
                <c:pt idx="14">
                  <c:v>62.928896089220515</c:v>
                </c:pt>
                <c:pt idx="15">
                  <c:v>62.593957441681297</c:v>
                </c:pt>
                <c:pt idx="16">
                  <c:v>62.240583826261513</c:v>
                </c:pt>
                <c:pt idx="17">
                  <c:v>61.869508909717311</c:v>
                </c:pt>
                <c:pt idx="18">
                  <c:v>61.481464645290849</c:v>
                </c:pt>
                <c:pt idx="19">
                  <c:v>61.077177014514248</c:v>
                </c:pt>
                <c:pt idx="20">
                  <c:v>60.657362332777865</c:v>
                </c:pt>
                <c:pt idx="21">
                  <c:v>60.222724104060489</c:v>
                </c:pt>
                <c:pt idx="22">
                  <c:v>59.773950399021125</c:v>
                </c:pt>
                <c:pt idx="23">
                  <c:v>59.3117117224445</c:v>
                </c:pt>
                <c:pt idx="24">
                  <c:v>58.8366593305172</c:v>
                </c:pt>
                <c:pt idx="25">
                  <c:v>58.349423955219656</c:v>
                </c:pt>
                <c:pt idx="26">
                  <c:v>57.850614891858655</c:v>
                </c:pt>
                <c:pt idx="27">
                  <c:v>57.340819406044929</c:v>
                </c:pt>
                <c:pt idx="28">
                  <c:v>56.820602417874163</c:v>
                </c:pt>
                <c:pt idx="29">
                  <c:v>56.290506423376605</c:v>
                </c:pt>
                <c:pt idx="30">
                  <c:v>55.751051616175396</c:v>
                </c:pt>
                <c:pt idx="31">
                  <c:v>55.202736175509742</c:v>
                </c:pt>
                <c:pt idx="32">
                  <c:v>54.646036690147987</c:v>
                </c:pt>
                <c:pt idx="33">
                  <c:v>54.081408691096769</c:v>
                </c:pt>
                <c:pt idx="34">
                  <c:v>53.509287269296792</c:v>
                </c:pt>
                <c:pt idx="35">
                  <c:v>52.930087757613549</c:v>
                </c:pt>
                <c:pt idx="36">
                  <c:v>52.344206459327559</c:v>
                </c:pt>
                <c:pt idx="37">
                  <c:v>51.752021407982689</c:v>
                </c:pt>
                <c:pt idx="38">
                  <c:v>51.153893145842865</c:v>
                </c:pt>
                <c:pt idx="39">
                  <c:v>50.550165510342872</c:v>
                </c:pt>
                <c:pt idx="40">
                  <c:v>49.941166419801533</c:v>
                </c:pt>
                <c:pt idx="41">
                  <c:v>49.327208651311373</c:v>
                </c:pt>
                <c:pt idx="42">
                  <c:v>48.708590605144074</c:v>
                </c:pt>
                <c:pt idx="43">
                  <c:v>48.0855970512346</c:v>
                </c:pt>
                <c:pt idx="44">
                  <c:v>47.458499854350322</c:v>
                </c:pt>
                <c:pt idx="45">
                  <c:v>46.82755867543208</c:v>
                </c:pt>
                <c:pt idx="46">
                  <c:v>46.193021647333147</c:v>
                </c:pt>
                <c:pt idx="47">
                  <c:v>45.555126023796092</c:v>
                </c:pt>
                <c:pt idx="48">
                  <c:v>44.914098801013026</c:v>
                </c:pt>
                <c:pt idx="49">
                  <c:v>44.270157311527811</c:v>
                </c:pt>
                <c:pt idx="50">
                  <c:v>43.623509790571106</c:v>
                </c:pt>
                <c:pt idx="51">
                  <c:v>42.974355915183672</c:v>
                </c:pt>
                <c:pt idx="52">
                  <c:v>42.3228873166913</c:v>
                </c:pt>
                <c:pt idx="53">
                  <c:v>41.669288067253092</c:v>
                </c:pt>
                <c:pt idx="54">
                  <c:v>41.013735141323757</c:v>
                </c:pt>
                <c:pt idx="55">
                  <c:v>40.356398852956161</c:v>
                </c:pt>
                <c:pt idx="56">
                  <c:v>39.697443269927241</c:v>
                </c:pt>
                <c:pt idx="57">
                  <c:v>39.037026605706572</c:v>
                </c:pt>
                <c:pt idx="58">
                  <c:v>38.375301590302925</c:v>
                </c:pt>
                <c:pt idx="59">
                  <c:v>37.712415821026852</c:v>
                </c:pt>
                <c:pt idx="60">
                  <c:v>37.048512094197619</c:v>
                </c:pt>
                <c:pt idx="61">
                  <c:v>36.383728718804655</c:v>
                </c:pt>
                <c:pt idx="62">
                  <c:v>35.718199813107802</c:v>
                </c:pt>
                <c:pt idx="63">
                  <c:v>35.052055585130084</c:v>
                </c:pt>
                <c:pt idx="64">
                  <c:v>34.385422597962219</c:v>
                </c:pt>
                <c:pt idx="65">
                  <c:v>33.718424020760644</c:v>
                </c:pt>
                <c:pt idx="66">
                  <c:v>33.051179866282403</c:v>
                </c:pt>
                <c:pt idx="67">
                  <c:v>32.383807215759987</c:v>
                </c:pt>
                <c:pt idx="68">
                  <c:v>31.716420431879612</c:v>
                </c:pt>
                <c:pt idx="69">
                  <c:v>31.049131360586216</c:v>
                </c:pt>
                <c:pt idx="70">
                  <c:v>30.382049522399534</c:v>
                </c:pt>
                <c:pt idx="71">
                  <c:v>29.715282293886951</c:v>
                </c:pt>
                <c:pt idx="72">
                  <c:v>29.048935079901618</c:v>
                </c:pt>
                <c:pt idx="73">
                  <c:v>28.383111477158344</c:v>
                </c:pt>
                <c:pt idx="74">
                  <c:v>27.717913429684771</c:v>
                </c:pt>
                <c:pt idx="75">
                  <c:v>27.053441376652316</c:v>
                </c:pt>
                <c:pt idx="76">
                  <c:v>26.389794393059347</c:v>
                </c:pt>
                <c:pt idx="77">
                  <c:v>25.727070323708602</c:v>
                </c:pt>
                <c:pt idx="78">
                  <c:v>25.065365910891828</c:v>
                </c:pt>
                <c:pt idx="79">
                  <c:v>24.404776916167208</c:v>
                </c:pt>
                <c:pt idx="80">
                  <c:v>23.745398236588741</c:v>
                </c:pt>
                <c:pt idx="81">
                  <c:v>23.087324015721805</c:v>
                </c:pt>
                <c:pt idx="82">
                  <c:v>22.430647749755806</c:v>
                </c:pt>
                <c:pt idx="83">
                  <c:v>21.775462389001916</c:v>
                </c:pt>
                <c:pt idx="84">
                  <c:v>21.121860435042876</c:v>
                </c:pt>
                <c:pt idx="85">
                  <c:v>20.469934033781811</c:v>
                </c:pt>
                <c:pt idx="86">
                  <c:v>19.81977506461709</c:v>
                </c:pt>
                <c:pt idx="87">
                  <c:v>19.171475225953046</c:v>
                </c:pt>
                <c:pt idx="88">
                  <c:v>18.525126117237718</c:v>
                </c:pt>
                <c:pt idx="89">
                  <c:v>17.880819317703427</c:v>
                </c:pt>
                <c:pt idx="90">
                  <c:v>17.238646461969296</c:v>
                </c:pt>
                <c:pt idx="91">
                  <c:v>16.598699312650112</c:v>
                </c:pt>
                <c:pt idx="92">
                  <c:v>15.961069830101465</c:v>
                </c:pt>
                <c:pt idx="93">
                  <c:v>15.325850239416965</c:v>
                </c:pt>
                <c:pt idx="94">
                  <c:v>14.69313309478035</c:v>
                </c:pt>
                <c:pt idx="95">
                  <c:v>14.063011341262026</c:v>
                </c:pt>
                <c:pt idx="96">
                  <c:v>13.435578374137918</c:v>
                </c:pt>
                <c:pt idx="97">
                  <c:v>12.810928095795461</c:v>
                </c:pt>
                <c:pt idx="98">
                  <c:v>12.18915497028091</c:v>
                </c:pt>
                <c:pt idx="99">
                  <c:v>11.570354075530759</c:v>
                </c:pt>
                <c:pt idx="100">
                  <c:v>10.9546211533183</c:v>
                </c:pt>
                <c:pt idx="101">
                  <c:v>10.342052656936715</c:v>
                </c:pt>
                <c:pt idx="102">
                  <c:v>9.7327457966291888</c:v>
                </c:pt>
                <c:pt idx="103">
                  <c:v>9.1267985827661846</c:v>
                </c:pt>
                <c:pt idx="104">
                  <c:v>8.524309866760504</c:v>
                </c:pt>
                <c:pt idx="105">
                  <c:v>7.925379379700729</c:v>
                </c:pt>
                <c:pt idx="106">
                  <c:v>7.3301077686738978</c:v>
                </c:pt>
                <c:pt idx="107">
                  <c:v>6.7385966307394654</c:v>
                </c:pt>
                <c:pt idx="108">
                  <c:v>6.1509485445069458</c:v>
                </c:pt>
                <c:pt idx="109">
                  <c:v>5.5672670992605333</c:v>
                </c:pt>
                <c:pt idx="110">
                  <c:v>4.987656921565744</c:v>
                </c:pt>
                <c:pt idx="111">
                  <c:v>4.4122236992840271</c:v>
                </c:pt>
                <c:pt idx="112">
                  <c:v>3.8410742029130915</c:v>
                </c:pt>
                <c:pt idx="113">
                  <c:v>3.2743163041624825</c:v>
                </c:pt>
                <c:pt idx="114">
                  <c:v>2.7120589916662965</c:v>
                </c:pt>
                <c:pt idx="115">
                  <c:v>2.1544123837267648</c:v>
                </c:pt>
                <c:pt idx="116">
                  <c:v>1.601487737975944</c:v>
                </c:pt>
                <c:pt idx="117">
                  <c:v>1.0533974578351035</c:v>
                </c:pt>
                <c:pt idx="118">
                  <c:v>0.5102550956453058</c:v>
                </c:pt>
                <c:pt idx="119">
                  <c:v>-2.7824647663379665E-2</c:v>
                </c:pt>
                <c:pt idx="120">
                  <c:v>-0.56072592650238562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74A-4ABA-B263-7358985B41F1}"/>
            </c:ext>
          </c:extLst>
        </c:ser>
        <c:ser>
          <c:idx val="24"/>
          <c:order val="21"/>
          <c:tx>
            <c:strRef>
              <c:f>'Ej-2b_Munich'!$J$7</c:f>
              <c:strCache>
                <c:ptCount val="1"/>
                <c:pt idx="0">
                  <c:v>EQUI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'Ej-2b_Munich'!$K$131:$K$251</c:f>
              <c:numCache>
                <c:formatCode>0.00</c:formatCode>
                <c:ptCount val="121"/>
                <c:pt idx="0">
                  <c:v>1.3428228339747508E-3</c:v>
                </c:pt>
                <c:pt idx="1">
                  <c:v>1.342713215112473</c:v>
                </c:pt>
                <c:pt idx="2">
                  <c:v>2.6847700408240147</c:v>
                </c:pt>
                <c:pt idx="3">
                  <c:v>4.0255168085304174</c:v>
                </c:pt>
                <c:pt idx="4">
                  <c:v>5.3643052645326836</c:v>
                </c:pt>
                <c:pt idx="5">
                  <c:v>6.7004952112788292</c:v>
                </c:pt>
                <c:pt idx="6">
                  <c:v>8.0334570705001394</c:v>
                </c:pt>
                <c:pt idx="7">
                  <c:v>9.3625743444307172</c:v>
                </c:pt>
                <c:pt idx="8">
                  <c:v>10.687245953113647</c:v>
                </c:pt>
                <c:pt idx="9">
                  <c:v>12.006888427965745</c:v>
                </c:pt>
                <c:pt idx="10">
                  <c:v>13.320937944246523</c:v>
                </c:pt>
                <c:pt idx="11">
                  <c:v>14.628852177767177</c:v>
                </c:pt>
                <c:pt idx="12">
                  <c:v>15.930111974031496</c:v>
                </c:pt>
                <c:pt idx="13">
                  <c:v>17.224222820934507</c:v>
                </c:pt>
                <c:pt idx="14">
                  <c:v>18.510716119105819</c:v>
                </c:pt>
                <c:pt idx="15">
                  <c:v>19.789150246879618</c:v>
                </c:pt>
                <c:pt idx="16">
                  <c:v>21.059111419674036</c:v>
                </c:pt>
                <c:pt idx="17">
                  <c:v>22.320214346183281</c:v>
                </c:pt>
                <c:pt idx="18">
                  <c:v>23.572102686205781</c:v>
                </c:pt>
                <c:pt idx="19">
                  <c:v>24.814449317102657</c:v>
                </c:pt>
                <c:pt idx="20">
                  <c:v>26.04695641777888</c:v>
                </c:pt>
                <c:pt idx="21">
                  <c:v>27.269355380688644</c:v>
                </c:pt>
                <c:pt idx="22">
                  <c:v>28.481406563680949</c:v>
                </c:pt>
                <c:pt idx="23">
                  <c:v>29.682898894514345</c:v>
                </c:pt>
                <c:pt idx="24">
                  <c:v>30.873649341599858</c:v>
                </c:pt>
                <c:pt idx="25">
                  <c:v>32.053502264982328</c:v>
                </c:pt>
                <c:pt idx="26">
                  <c:v>33.222328661768167</c:v>
                </c:pt>
                <c:pt idx="27">
                  <c:v>34.380025320174106</c:v>
                </c:pt>
                <c:pt idx="28">
                  <c:v>35.526513896130083</c:v>
                </c:pt>
                <c:pt idx="29">
                  <c:v>36.661739925951956</c:v>
                </c:pt>
                <c:pt idx="30">
                  <c:v>37.785671788030292</c:v>
                </c:pt>
                <c:pt idx="31">
                  <c:v>38.898299625792284</c:v>
                </c:pt>
                <c:pt idx="32">
                  <c:v>39.999634243406256</c:v>
                </c:pt>
                <c:pt idx="33">
                  <c:v>41.089705984846162</c:v>
                </c:pt>
                <c:pt idx="34">
                  <c:v>42.168563606030531</c:v>
                </c:pt>
                <c:pt idx="35">
                  <c:v>43.236273148826683</c:v>
                </c:pt>
                <c:pt idx="36">
                  <c:v>44.29291682477929</c:v>
                </c:pt>
                <c:pt idx="37">
                  <c:v>45.338591915501333</c:v>
                </c:pt>
                <c:pt idx="38">
                  <c:v>46.373409695768984</c:v>
                </c:pt>
                <c:pt idx="39">
                  <c:v>47.397494384499403</c:v>
                </c:pt>
                <c:pt idx="40">
                  <c:v>48.410982127972638</c:v>
                </c:pt>
                <c:pt idx="41">
                  <c:v>49.414020018888863</c:v>
                </c:pt>
                <c:pt idx="42">
                  <c:v>50.406765154140921</c:v>
                </c:pt>
                <c:pt idx="43">
                  <c:v>51.389383733524603</c:v>
                </c:pt>
                <c:pt idx="44">
                  <c:v>52.36205020101265</c:v>
                </c:pt>
                <c:pt idx="45">
                  <c:v>53.324946429681333</c:v>
                </c:pt>
                <c:pt idx="46">
                  <c:v>54.278260950898613</c:v>
                </c:pt>
                <c:pt idx="47">
                  <c:v>55.222188227959222</c:v>
                </c:pt>
                <c:pt idx="48">
                  <c:v>56.156927973983464</c:v>
                </c:pt>
                <c:pt idx="49">
                  <c:v>57.082684513577938</c:v>
                </c:pt>
                <c:pt idx="50">
                  <c:v>57.999666187484799</c:v>
                </c:pt>
                <c:pt idx="51">
                  <c:v>58.908084799220219</c:v>
                </c:pt>
                <c:pt idx="52">
                  <c:v>59.808155102515052</c:v>
                </c:pt>
                <c:pt idx="53">
                  <c:v>60.700094328221496</c:v>
                </c:pt>
                <c:pt idx="54">
                  <c:v>61.58412174923194</c:v>
                </c:pt>
                <c:pt idx="55">
                  <c:v>62.460458281868156</c:v>
                </c:pt>
                <c:pt idx="56">
                  <c:v>63.329326122138347</c:v>
                </c:pt>
                <c:pt idx="57">
                  <c:v>64.190948415218784</c:v>
                </c:pt>
                <c:pt idx="58">
                  <c:v>65.045548956499687</c:v>
                </c:pt>
                <c:pt idx="59">
                  <c:v>65.893351922530996</c:v>
                </c:pt>
                <c:pt idx="60">
                  <c:v>66.734581630216994</c:v>
                </c:pt>
                <c:pt idx="61">
                  <c:v>67.569462322632418</c:v>
                </c:pt>
                <c:pt idx="62">
                  <c:v>68.398217979867709</c:v>
                </c:pt>
                <c:pt idx="63">
                  <c:v>69.221072153352821</c:v>
                </c:pt>
                <c:pt idx="64">
                  <c:v>70.038247822158056</c:v>
                </c:pt>
                <c:pt idx="65">
                  <c:v>70.849967269824333</c:v>
                </c:pt>
                <c:pt idx="66">
                  <c:v>71.656451980332676</c:v>
                </c:pt>
                <c:pt idx="67">
                  <c:v>72.457922551882035</c:v>
                </c:pt>
                <c:pt idx="68">
                  <c:v>73.254598627206462</c:v>
                </c:pt>
                <c:pt idx="69">
                  <c:v>74.046698839224533</c:v>
                </c:pt>
                <c:pt idx="70">
                  <c:v>74.834440770875574</c:v>
                </c:pt>
                <c:pt idx="71">
                  <c:v>75.618040928058136</c:v>
                </c:pt>
                <c:pt idx="72">
                  <c:v>76.397714724647074</c:v>
                </c:pt>
                <c:pt idx="73">
                  <c:v>77.173676478622781</c:v>
                </c:pt>
                <c:pt idx="74">
                  <c:v>77.946139418403334</c:v>
                </c:pt>
                <c:pt idx="75">
                  <c:v>78.715315698523483</c:v>
                </c:pt>
                <c:pt idx="76">
                  <c:v>79.48141642385724</c:v>
                </c:pt>
                <c:pt idx="77">
                  <c:v>80.244651681628554</c:v>
                </c:pt>
                <c:pt idx="78">
                  <c:v>81.005230580501447</c:v>
                </c:pt>
                <c:pt idx="79">
                  <c:v>81.763361296084156</c:v>
                </c:pt>
                <c:pt idx="80">
                  <c:v>82.519251122222386</c:v>
                </c:pt>
                <c:pt idx="81">
                  <c:v>83.273106527493624</c:v>
                </c:pt>
                <c:pt idx="82">
                  <c:v>84.025133216349872</c:v>
                </c:pt>
                <c:pt idx="83">
                  <c:v>84.775536194386973</c:v>
                </c:pt>
                <c:pt idx="84">
                  <c:v>85.524519837247368</c:v>
                </c:pt>
                <c:pt idx="85">
                  <c:v>86.272287962688651</c:v>
                </c:pt>
                <c:pt idx="86">
                  <c:v>87.019043905373692</c:v>
                </c:pt>
                <c:pt idx="87">
                  <c:v>87.764990593956085</c:v>
                </c:pt>
                <c:pt idx="88">
                  <c:v>88.510330630053843</c:v>
                </c:pt>
                <c:pt idx="89">
                  <c:v>89.25526636871605</c:v>
                </c:pt>
                <c:pt idx="90">
                  <c:v>90</c:v>
                </c:pt>
                <c:pt idx="91">
                  <c:v>90.744733631283935</c:v>
                </c:pt>
                <c:pt idx="92">
                  <c:v>91.489669369946157</c:v>
                </c:pt>
                <c:pt idx="93">
                  <c:v>92.235009406043901</c:v>
                </c:pt>
                <c:pt idx="94">
                  <c:v>92.980956094626336</c:v>
                </c:pt>
                <c:pt idx="95">
                  <c:v>93.727712037311349</c:v>
                </c:pt>
                <c:pt idx="96">
                  <c:v>94.475480162752646</c:v>
                </c:pt>
                <c:pt idx="97">
                  <c:v>95.224463805612999</c:v>
                </c:pt>
                <c:pt idx="98">
                  <c:v>95.974866783650128</c:v>
                </c:pt>
                <c:pt idx="99">
                  <c:v>96.726893472506376</c:v>
                </c:pt>
                <c:pt idx="100">
                  <c:v>97.480748877777614</c:v>
                </c:pt>
                <c:pt idx="101">
                  <c:v>98.23663870391583</c:v>
                </c:pt>
                <c:pt idx="102">
                  <c:v>98.994769419498553</c:v>
                </c:pt>
                <c:pt idx="103">
                  <c:v>99.755348318371446</c:v>
                </c:pt>
                <c:pt idx="104">
                  <c:v>100.51858357614276</c:v>
                </c:pt>
                <c:pt idx="105">
                  <c:v>101.28468430147653</c:v>
                </c:pt>
                <c:pt idx="106">
                  <c:v>102.05386058159665</c:v>
                </c:pt>
                <c:pt idx="107">
                  <c:v>102.8263235213772</c:v>
                </c:pt>
                <c:pt idx="108">
                  <c:v>103.60228527535293</c:v>
                </c:pt>
                <c:pt idx="109">
                  <c:v>104.38195907194186</c:v>
                </c:pt>
                <c:pt idx="110">
                  <c:v>105.16555922912441</c:v>
                </c:pt>
                <c:pt idx="111">
                  <c:v>105.95330116077545</c:v>
                </c:pt>
                <c:pt idx="112">
                  <c:v>106.74540137279354</c:v>
                </c:pt>
                <c:pt idx="113">
                  <c:v>107.54207744811796</c:v>
                </c:pt>
                <c:pt idx="114">
                  <c:v>108.34354801966731</c:v>
                </c:pt>
                <c:pt idx="115">
                  <c:v>109.15003273017567</c:v>
                </c:pt>
                <c:pt idx="116">
                  <c:v>109.96175217784196</c:v>
                </c:pt>
                <c:pt idx="117">
                  <c:v>110.77892784664718</c:v>
                </c:pt>
                <c:pt idx="118">
                  <c:v>111.60178202013229</c:v>
                </c:pt>
                <c:pt idx="119">
                  <c:v>112.43053767736758</c:v>
                </c:pt>
                <c:pt idx="120">
                  <c:v>113.26541836978299</c:v>
                </c:pt>
              </c:numCache>
            </c:numRef>
          </c:xVal>
          <c:yVal>
            <c:numRef>
              <c:f>'Ej-2b_Munich'!$J$131:$J$251</c:f>
              <c:numCache>
                <c:formatCode>0.00</c:formatCode>
                <c:ptCount val="121"/>
                <c:pt idx="0">
                  <c:v>41.866666658845851</c:v>
                </c:pt>
                <c:pt idx="1">
                  <c:v>41.858846530981531</c:v>
                </c:pt>
                <c:pt idx="2">
                  <c:v>41.83539424007116</c:v>
                </c:pt>
                <c:pt idx="3">
                  <c:v>41.796334103205609</c:v>
                </c:pt>
                <c:pt idx="4">
                  <c:v>41.74170650573528</c:v>
                </c:pt>
                <c:pt idx="5">
                  <c:v>41.671567715509077</c:v>
                </c:pt>
                <c:pt idx="6">
                  <c:v>41.585989614962031</c:v>
                </c:pt>
                <c:pt idx="7">
                  <c:v>41.485059361898465</c:v>
                </c:pt>
                <c:pt idx="8">
                  <c:v>41.368878982754936</c:v>
                </c:pt>
                <c:pt idx="9">
                  <c:v>41.237564902810774</c:v>
                </c:pt>
                <c:pt idx="10">
                  <c:v>41.091247418410589</c:v>
                </c:pt>
                <c:pt idx="11">
                  <c:v>40.930070116764092</c:v>
                </c:pt>
                <c:pt idx="12">
                  <c:v>40.754189249286647</c:v>
                </c:pt>
                <c:pt idx="13">
                  <c:v>40.563773064737774</c:v>
                </c:pt>
                <c:pt idx="14">
                  <c:v>40.359001108599912</c:v>
                </c:pt>
                <c:pt idx="15">
                  <c:v>40.140063495223075</c:v>
                </c:pt>
                <c:pt idx="16">
                  <c:v>39.90716015924162</c:v>
                </c:pt>
                <c:pt idx="17">
                  <c:v>39.660500092658651</c:v>
                </c:pt>
                <c:pt idx="18">
                  <c:v>39.400300573796194</c:v>
                </c:pt>
                <c:pt idx="19">
                  <c:v>39.126786394037076</c:v>
                </c:pt>
                <c:pt idx="20">
                  <c:v>38.84018908794723</c:v>
                </c:pt>
                <c:pt idx="21">
                  <c:v>38.540746171976714</c:v>
                </c:pt>
                <c:pt idx="22">
                  <c:v>38.228700396504379</c:v>
                </c:pt>
                <c:pt idx="23">
                  <c:v>37.904299015528821</c:v>
                </c:pt>
                <c:pt idx="24">
                  <c:v>37.567793077824064</c:v>
                </c:pt>
                <c:pt idx="25">
                  <c:v>37.219436742886771</c:v>
                </c:pt>
                <c:pt idx="26">
                  <c:v>36.85948662450879</c:v>
                </c:pt>
                <c:pt idx="27">
                  <c:v>36.48820116432433</c:v>
                </c:pt>
                <c:pt idx="28">
                  <c:v>36.105840037212758</c:v>
                </c:pt>
                <c:pt idx="29">
                  <c:v>35.712663589990001</c:v>
                </c:pt>
                <c:pt idx="30">
                  <c:v>35.30893231440119</c:v>
                </c:pt>
                <c:pt idx="31">
                  <c:v>34.894906355036021</c:v>
                </c:pt>
                <c:pt idx="32">
                  <c:v>34.470845052431009</c:v>
                </c:pt>
                <c:pt idx="33">
                  <c:v>34.037006521298935</c:v>
                </c:pt>
                <c:pt idx="34">
                  <c:v>33.5936472635385</c:v>
                </c:pt>
                <c:pt idx="35">
                  <c:v>33.141021815424224</c:v>
                </c:pt>
                <c:pt idx="36">
                  <c:v>32.679382428159251</c:v>
                </c:pt>
                <c:pt idx="37">
                  <c:v>32.208978780789366</c:v>
                </c:pt>
                <c:pt idx="38">
                  <c:v>31.730057724324531</c:v>
                </c:pt>
                <c:pt idx="39">
                  <c:v>31.242863055791688</c:v>
                </c:pt>
                <c:pt idx="40">
                  <c:v>30.74763532084831</c:v>
                </c:pt>
                <c:pt idx="41">
                  <c:v>30.244611643517317</c:v>
                </c:pt>
                <c:pt idx="42">
                  <c:v>29.734025581557233</c:v>
                </c:pt>
                <c:pt idx="43">
                  <c:v>29.216107005956353</c:v>
                </c:pt>
                <c:pt idx="44">
                  <c:v>28.691082003031958</c:v>
                </c:pt>
                <c:pt idx="45">
                  <c:v>28.15917279762342</c:v>
                </c:pt>
                <c:pt idx="46">
                  <c:v>27.620597695889877</c:v>
                </c:pt>
                <c:pt idx="47">
                  <c:v>27.075571046255938</c:v>
                </c:pt>
                <c:pt idx="48">
                  <c:v>26.524303217091109</c:v>
                </c:pt>
                <c:pt idx="49">
                  <c:v>25.967000589758257</c:v>
                </c:pt>
                <c:pt idx="50">
                  <c:v>25.403865565722583</c:v>
                </c:pt>
                <c:pt idx="51">
                  <c:v>24.835096586472503</c:v>
                </c:pt>
                <c:pt idx="52">
                  <c:v>24.260888165067428</c:v>
                </c:pt>
                <c:pt idx="53">
                  <c:v>23.681430928192952</c:v>
                </c:pt>
                <c:pt idx="54">
                  <c:v>23.096911667670398</c:v>
                </c:pt>
                <c:pt idx="55">
                  <c:v>22.50751340043476</c:v>
                </c:pt>
                <c:pt idx="56">
                  <c:v>21.913415436060902</c:v>
                </c:pt>
                <c:pt idx="57">
                  <c:v>21.314793450983842</c:v>
                </c:pt>
                <c:pt idx="58">
                  <c:v>20.711819568621749</c:v>
                </c:pt>
                <c:pt idx="59">
                  <c:v>20.104662444672613</c:v>
                </c:pt>
                <c:pt idx="60">
                  <c:v>19.493487356914613</c:v>
                </c:pt>
                <c:pt idx="61">
                  <c:v>18.878456298897504</c:v>
                </c:pt>
                <c:pt idx="62">
                  <c:v>18.25972807696607</c:v>
                </c:pt>
                <c:pt idx="63">
                  <c:v>17.637458410108508</c:v>
                </c:pt>
                <c:pt idx="64">
                  <c:v>17.01180003217155</c:v>
                </c:pt>
                <c:pt idx="65">
                  <c:v>16.382902796029299</c:v>
                </c:pt>
                <c:pt idx="66">
                  <c:v>15.750913779336102</c:v>
                </c:pt>
                <c:pt idx="67">
                  <c:v>15.115977391534273</c:v>
                </c:pt>
                <c:pt idx="68">
                  <c:v>14.478235481824356</c:v>
                </c:pt>
                <c:pt idx="69">
                  <c:v>13.837827447840922</c:v>
                </c:pt>
                <c:pt idx="70">
                  <c:v>13.194890344808883</c:v>
                </c:pt>
                <c:pt idx="71">
                  <c:v>12.549558994985759</c:v>
                </c:pt>
                <c:pt idx="72">
                  <c:v>11.901966097221816</c:v>
                </c:pt>
                <c:pt idx="73">
                  <c:v>11.252242336496622</c:v>
                </c:pt>
                <c:pt idx="74">
                  <c:v>10.600516493312682</c:v>
                </c:pt>
                <c:pt idx="75">
                  <c:v>9.9469155528489921</c:v>
                </c:pt>
                <c:pt idx="76">
                  <c:v>9.2915648137961426</c:v>
                </c:pt>
                <c:pt idx="77">
                  <c:v>8.6345879968124848</c:v>
                </c:pt>
                <c:pt idx="78">
                  <c:v>7.9761073525572925</c:v>
                </c:pt>
                <c:pt idx="79">
                  <c:v>7.3162437692708551</c:v>
                </c:pt>
                <c:pt idx="80">
                  <c:v>6.6551168798846732</c:v>
                </c:pt>
                <c:pt idx="81">
                  <c:v>5.9928451686572544</c:v>
                </c:pt>
                <c:pt idx="82">
                  <c:v>5.3295460773406091</c:v>
                </c:pt>
                <c:pt idx="83">
                  <c:v>4.6653361108927385</c:v>
                </c:pt>
                <c:pt idx="84">
                  <c:v>4.0003309427592768</c:v>
                </c:pt>
                <c:pt idx="85">
                  <c:v>3.3346455197549147</c:v>
                </c:pt>
                <c:pt idx="86">
                  <c:v>2.6683941665811517</c:v>
                </c:pt>
                <c:pt idx="87">
                  <c:v>2.0016906900231106</c:v>
                </c:pt>
                <c:pt idx="88">
                  <c:v>1.3346484828716285</c:v>
                </c:pt>
                <c:pt idx="89">
                  <c:v>0.66738062762165384</c:v>
                </c:pt>
                <c:pt idx="90">
                  <c:v>0</c:v>
                </c:pt>
                <c:pt idx="91">
                  <c:v>-0.66738062762163963</c:v>
                </c:pt>
                <c:pt idx="92">
                  <c:v>-1.3346484828716285</c:v>
                </c:pt>
                <c:pt idx="93">
                  <c:v>-2.0016906900230964</c:v>
                </c:pt>
                <c:pt idx="94">
                  <c:v>-2.6683941665811659</c:v>
                </c:pt>
                <c:pt idx="95">
                  <c:v>-3.3346455197549147</c:v>
                </c:pt>
                <c:pt idx="96">
                  <c:v>-4.000330942759291</c:v>
                </c:pt>
                <c:pt idx="97">
                  <c:v>-4.6653361108927243</c:v>
                </c:pt>
                <c:pt idx="98">
                  <c:v>-5.3295460773406091</c:v>
                </c:pt>
                <c:pt idx="99">
                  <c:v>-5.9928451686572544</c:v>
                </c:pt>
                <c:pt idx="100">
                  <c:v>-6.6551168798846732</c:v>
                </c:pt>
                <c:pt idx="101">
                  <c:v>-7.3162437692708409</c:v>
                </c:pt>
                <c:pt idx="102">
                  <c:v>-7.9761073525572925</c:v>
                </c:pt>
                <c:pt idx="103">
                  <c:v>-8.6345879968124848</c:v>
                </c:pt>
                <c:pt idx="104">
                  <c:v>-9.2915648137961426</c:v>
                </c:pt>
                <c:pt idx="105">
                  <c:v>-9.9469155528490063</c:v>
                </c:pt>
                <c:pt idx="106">
                  <c:v>-10.600516493312668</c:v>
                </c:pt>
                <c:pt idx="107">
                  <c:v>-11.252242336496607</c:v>
                </c:pt>
                <c:pt idx="108">
                  <c:v>-11.901966097221816</c:v>
                </c:pt>
                <c:pt idx="109">
                  <c:v>-12.549558994985759</c:v>
                </c:pt>
                <c:pt idx="110">
                  <c:v>-13.194890344808883</c:v>
                </c:pt>
                <c:pt idx="111">
                  <c:v>-13.837827447840908</c:v>
                </c:pt>
                <c:pt idx="112">
                  <c:v>-14.478235481824356</c:v>
                </c:pt>
                <c:pt idx="113">
                  <c:v>-15.115977391534273</c:v>
                </c:pt>
                <c:pt idx="114">
                  <c:v>-15.750913779336102</c:v>
                </c:pt>
                <c:pt idx="115">
                  <c:v>-16.382902796029299</c:v>
                </c:pt>
                <c:pt idx="116">
                  <c:v>-17.011800032171564</c:v>
                </c:pt>
                <c:pt idx="117">
                  <c:v>-17.637458410108508</c:v>
                </c:pt>
                <c:pt idx="118">
                  <c:v>-18.25972807696607</c:v>
                </c:pt>
                <c:pt idx="119">
                  <c:v>-18.878456298897504</c:v>
                </c:pt>
                <c:pt idx="120">
                  <c:v>-19.493487356914599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A74A-4ABA-B263-7358985B41F1}"/>
            </c:ext>
          </c:extLst>
        </c:ser>
        <c:ser>
          <c:idx val="26"/>
          <c:order val="22"/>
          <c:tx>
            <c:strRef>
              <c:f>'Ej-2b_Munich'!$P$7</c:f>
              <c:strCache>
                <c:ptCount val="1"/>
                <c:pt idx="0">
                  <c:v>SINV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'Ej-2b_Munich'!$Q$131:$Q$251</c:f>
              <c:numCache>
                <c:formatCode>0.00</c:formatCode>
                <c:ptCount val="121"/>
                <c:pt idx="0">
                  <c:v>9.6693022277186548E-4</c:v>
                </c:pt>
                <c:pt idx="1">
                  <c:v>0.9668949943620373</c:v>
                </c:pt>
                <c:pt idx="2">
                  <c:v>1.9335810673399063</c:v>
                </c:pt>
                <c:pt idx="3">
                  <c:v>2.8998497489099302</c:v>
                </c:pt>
                <c:pt idx="4">
                  <c:v>3.8654934696714069</c:v>
                </c:pt>
                <c:pt idx="5">
                  <c:v>4.8303060059464222</c:v>
                </c:pt>
                <c:pt idx="6">
                  <c:v>5.7940829186755538</c:v>
                </c:pt>
                <c:pt idx="7">
                  <c:v>6.7566219841269337</c:v>
                </c:pt>
                <c:pt idx="8">
                  <c:v>7.7177236145142141</c:v>
                </c:pt>
                <c:pt idx="9">
                  <c:v>8.6771912666949103</c:v>
                </c:pt>
                <c:pt idx="10">
                  <c:v>9.6348318372399184</c:v>
                </c:pt>
                <c:pt idx="11">
                  <c:v>10.590456042267727</c:v>
                </c:pt>
                <c:pt idx="12">
                  <c:v>11.543878780575175</c:v>
                </c:pt>
                <c:pt idx="13">
                  <c:v>12.49491947873126</c:v>
                </c:pt>
                <c:pt idx="14">
                  <c:v>13.44340241694845</c:v>
                </c:pt>
                <c:pt idx="15">
                  <c:v>14.389157034701144</c:v>
                </c:pt>
                <c:pt idx="16">
                  <c:v>15.332018215219577</c:v>
                </c:pt>
                <c:pt idx="17">
                  <c:v>16.271826548146883</c:v>
                </c:pt>
                <c:pt idx="18">
                  <c:v>17.208428569813346</c:v>
                </c:pt>
                <c:pt idx="19">
                  <c:v>18.141676980738339</c:v>
                </c:pt>
                <c:pt idx="20">
                  <c:v>19.071430840133534</c:v>
                </c:pt>
                <c:pt idx="21">
                  <c:v>19.997555737333773</c:v>
                </c:pt>
                <c:pt idx="22">
                  <c:v>20.919923940231108</c:v>
                </c:pt>
                <c:pt idx="23">
                  <c:v>21.838414520929124</c:v>
                </c:pt>
                <c:pt idx="24">
                  <c:v>22.752913458970454</c:v>
                </c:pt>
                <c:pt idx="25">
                  <c:v>23.66331372261299</c:v>
                </c:pt>
                <c:pt idx="26">
                  <c:v>24.569515328747055</c:v>
                </c:pt>
                <c:pt idx="27">
                  <c:v>25.471425382148777</c:v>
                </c:pt>
                <c:pt idx="28">
                  <c:v>26.368958094860783</c:v>
                </c:pt>
                <c:pt idx="29">
                  <c:v>27.262034786570865</c:v>
                </c:pt>
                <c:pt idx="30">
                  <c:v>28.150583866932944</c:v>
                </c:pt>
                <c:pt idx="31">
                  <c:v>29.034540800832946</c:v>
                </c:pt>
                <c:pt idx="32">
                  <c:v>29.913848057651329</c:v>
                </c:pt>
                <c:pt idx="33">
                  <c:v>30.788455045611958</c:v>
                </c:pt>
                <c:pt idx="34">
                  <c:v>31.658318032334989</c:v>
                </c:pt>
                <c:pt idx="35">
                  <c:v>32.523400052727233</c:v>
                </c:pt>
                <c:pt idx="36">
                  <c:v>33.383670805354804</c:v>
                </c:pt>
                <c:pt idx="37">
                  <c:v>34.239106538439422</c:v>
                </c:pt>
                <c:pt idx="38">
                  <c:v>35.089689926612778</c:v>
                </c:pt>
                <c:pt idx="39">
                  <c:v>35.935409939548492</c:v>
                </c:pt>
                <c:pt idx="40">
                  <c:v>36.776261703567094</c:v>
                </c:pt>
                <c:pt idx="41">
                  <c:v>37.612246357283411</c:v>
                </c:pt>
                <c:pt idx="42">
                  <c:v>38.4433709023318</c:v>
                </c:pt>
                <c:pt idx="43">
                  <c:v>39.26964805016771</c:v>
                </c:pt>
                <c:pt idx="44">
                  <c:v>40.09109606590372</c:v>
                </c:pt>
                <c:pt idx="45">
                  <c:v>40.907738610094277</c:v>
                </c:pt>
                <c:pt idx="46">
                  <c:v>41.719604579337343</c:v>
                </c:pt>
                <c:pt idx="47">
                  <c:v>42.526727946514796</c:v>
                </c:pt>
                <c:pt idx="48">
                  <c:v>43.329147601443871</c:v>
                </c:pt>
                <c:pt idx="49">
                  <c:v>44.126907192664177</c:v>
                </c:pt>
                <c:pt idx="50">
                  <c:v>44.920054971034808</c:v>
                </c:pt>
                <c:pt idx="51">
                  <c:v>45.708643635769171</c:v>
                </c:pt>
                <c:pt idx="52">
                  <c:v>46.492730183486081</c:v>
                </c:pt>
                <c:pt idx="53">
                  <c:v>47.272375760810021</c:v>
                </c:pt>
                <c:pt idx="54">
                  <c:v>48.047645521009009</c:v>
                </c:pt>
                <c:pt idx="55">
                  <c:v>48.818608485113316</c:v>
                </c:pt>
                <c:pt idx="56">
                  <c:v>49.585337407919731</c:v>
                </c:pt>
                <c:pt idx="57">
                  <c:v>50.347908649243998</c:v>
                </c:pt>
                <c:pt idx="58">
                  <c:v>51.106402050749452</c:v>
                </c:pt>
                <c:pt idx="59">
                  <c:v>51.86090081864284</c:v>
                </c:pt>
                <c:pt idx="60">
                  <c:v>52.611491412498673</c:v>
                </c:pt>
                <c:pt idx="61">
                  <c:v>53.35826344044068</c:v>
                </c:pt>
                <c:pt idx="62">
                  <c:v>54.101309560884317</c:v>
                </c:pt>
                <c:pt idx="63">
                  <c:v>54.840725391017394</c:v>
                </c:pt>
                <c:pt idx="64">
                  <c:v>55.576609422174712</c:v>
                </c:pt>
                <c:pt idx="65">
                  <c:v>56.309062942242022</c:v>
                </c:pt>
                <c:pt idx="66">
                  <c:v>57.038189965207309</c:v>
                </c:pt>
                <c:pt idx="67">
                  <c:v>57.76409716796195</c:v>
                </c:pt>
                <c:pt idx="68">
                  <c:v>58.486893834442228</c:v>
                </c:pt>
                <c:pt idx="69">
                  <c:v>59.206691807189287</c:v>
                </c:pt>
                <c:pt idx="70">
                  <c:v>59.923605446399364</c:v>
                </c:pt>
                <c:pt idx="71">
                  <c:v>60.637751596527181</c:v>
                </c:pt>
                <c:pt idx="72">
                  <c:v>61.349249560503196</c:v>
                </c:pt>
                <c:pt idx="73">
                  <c:v>62.058221081621042</c:v>
                </c:pt>
                <c:pt idx="74">
                  <c:v>62.764790333151971</c:v>
                </c:pt>
                <c:pt idx="75">
                  <c:v>63.469083915743454</c:v>
                </c:pt>
                <c:pt idx="76">
                  <c:v>64.171230862662227</c:v>
                </c:pt>
                <c:pt idx="77">
                  <c:v>64.871362652946061</c:v>
                </c:pt>
                <c:pt idx="78">
                  <c:v>65.569613232534905</c:v>
                </c:pt>
                <c:pt idx="79">
                  <c:v>66.266119043459085</c:v>
                </c:pt>
                <c:pt idx="80">
                  <c:v>66.961019061170944</c:v>
                </c:pt>
                <c:pt idx="81">
                  <c:v>67.654454840117111</c:v>
                </c:pt>
                <c:pt idx="82">
                  <c:v>68.346570567659214</c:v>
                </c:pt>
                <c:pt idx="83">
                  <c:v>69.037513126464617</c:v>
                </c:pt>
                <c:pt idx="84">
                  <c:v>69.727432165501654</c:v>
                </c:pt>
                <c:pt idx="85">
                  <c:v>70.416480179789829</c:v>
                </c:pt>
                <c:pt idx="86">
                  <c:v>71.104812599071607</c:v>
                </c:pt>
                <c:pt idx="87">
                  <c:v>71.792587885588972</c:v>
                </c:pt>
                <c:pt idx="88">
                  <c:v>72.479967641167903</c:v>
                </c:pt>
                <c:pt idx="89">
                  <c:v>73.16711672383137</c:v>
                </c:pt>
                <c:pt idx="90">
                  <c:v>73.854203374183783</c:v>
                </c:pt>
                <c:pt idx="91">
                  <c:v>74.541399351829511</c:v>
                </c:pt>
                <c:pt idx="92">
                  <c:v>75.228880082111075</c:v>
                </c:pt>
                <c:pt idx="93">
                  <c:v>75.916824813475344</c:v>
                </c:pt>
                <c:pt idx="94">
                  <c:v>76.605416785799704</c:v>
                </c:pt>
                <c:pt idx="95">
                  <c:v>77.294843410034005</c:v>
                </c:pt>
                <c:pt idx="96">
                  <c:v>77.985296459539825</c:v>
                </c:pt>
                <c:pt idx="97">
                  <c:v>78.676972273532584</c:v>
                </c:pt>
                <c:pt idx="98">
                  <c:v>79.370071973058629</c:v>
                </c:pt>
                <c:pt idx="99">
                  <c:v>80.0648016899639</c:v>
                </c:pt>
                <c:pt idx="100">
                  <c:v>80.761372809337246</c:v>
                </c:pt>
                <c:pt idx="101">
                  <c:v>81.46000222593544</c:v>
                </c:pt>
                <c:pt idx="102">
                  <c:v>82.160912615122101</c:v>
                </c:pt>
                <c:pt idx="103">
                  <c:v>82.864332718875616</c:v>
                </c:pt>
                <c:pt idx="104">
                  <c:v>83.570497647442849</c:v>
                </c:pt>
                <c:pt idx="105">
                  <c:v>84.279649197235912</c:v>
                </c:pt>
                <c:pt idx="106">
                  <c:v>84.992036185585349</c:v>
                </c:pt>
                <c:pt idx="107">
                  <c:v>85.707914802978053</c:v>
                </c:pt>
                <c:pt idx="108">
                  <c:v>86.427548983417395</c:v>
                </c:pt>
                <c:pt idx="109">
                  <c:v>87.151210793547449</c:v>
                </c:pt>
                <c:pt idx="110">
                  <c:v>87.879180841181395</c:v>
                </c:pt>
                <c:pt idx="111">
                  <c:v>88.611748703864819</c:v>
                </c:pt>
                <c:pt idx="112">
                  <c:v>89.349213378085096</c:v>
                </c:pt>
                <c:pt idx="113">
                  <c:v>90.091883749708032</c:v>
                </c:pt>
                <c:pt idx="114">
                  <c:v>90.84007908617842</c:v>
                </c:pt>
                <c:pt idx="115">
                  <c:v>91.594129550962265</c:v>
                </c:pt>
                <c:pt idx="116">
                  <c:v>92.354376740627856</c:v>
                </c:pt>
                <c:pt idx="117">
                  <c:v>93.121174244862218</c:v>
                </c:pt>
                <c:pt idx="118">
                  <c:v>93.894888229590194</c:v>
                </c:pt>
                <c:pt idx="119">
                  <c:v>94.675898043203972</c:v>
                </c:pt>
                <c:pt idx="120">
                  <c:v>95.464596845714027</c:v>
                </c:pt>
              </c:numCache>
            </c:numRef>
          </c:xVal>
          <c:yVal>
            <c:numRef>
              <c:f>'Ej-2b_Munich'!$P$131:$P$251</c:f>
              <c:numCache>
                <c:formatCode>0.00</c:formatCode>
                <c:ptCount val="121"/>
                <c:pt idx="0">
                  <c:v>18.416666661035109</c:v>
                </c:pt>
                <c:pt idx="1">
                  <c:v>18.411035349029433</c:v>
                </c:pt>
                <c:pt idx="2">
                  <c:v>18.394144216358015</c:v>
                </c:pt>
                <c:pt idx="3">
                  <c:v>18.366001722825445</c:v>
                </c:pt>
                <c:pt idx="4">
                  <c:v>18.326621936930849</c:v>
                </c:pt>
                <c:pt idx="5">
                  <c:v>18.276024508943564</c:v>
                </c:pt>
                <c:pt idx="6">
                  <c:v>18.214234625579849</c:v>
                </c:pt>
                <c:pt idx="7">
                  <c:v>18.141282952163692</c:v>
                </c:pt>
                <c:pt idx="8">
                  <c:v>18.05720556259115</c:v>
                </c:pt>
                <c:pt idx="9">
                  <c:v>17.962043857482385</c:v>
                </c:pt>
                <c:pt idx="10">
                  <c:v>17.855844470965664</c:v>
                </c:pt>
                <c:pt idx="11">
                  <c:v>17.7386591665949</c:v>
                </c:pt>
                <c:pt idx="12">
                  <c:v>17.610544722953307</c:v>
                </c:pt>
                <c:pt idx="13">
                  <c:v>17.471562809543144</c:v>
                </c:pt>
                <c:pt idx="14">
                  <c:v>17.321779853602081</c:v>
                </c:pt>
                <c:pt idx="15">
                  <c:v>17.161266898522499</c:v>
                </c:pt>
                <c:pt idx="16">
                  <c:v>16.990099454579322</c:v>
                </c:pt>
                <c:pt idx="17">
                  <c:v>16.808357342695871</c:v>
                </c:pt>
                <c:pt idx="18">
                  <c:v>16.616124531994032</c:v>
                </c:pt>
                <c:pt idx="19">
                  <c:v>16.413488971887432</c:v>
                </c:pt>
                <c:pt idx="20">
                  <c:v>16.200542419481337</c:v>
                </c:pt>
                <c:pt idx="21">
                  <c:v>15.977380263043003</c:v>
                </c:pt>
                <c:pt idx="22">
                  <c:v>15.744101342301335</c:v>
                </c:pt>
                <c:pt idx="23">
                  <c:v>15.500807766323433</c:v>
                </c:pt>
                <c:pt idx="24">
                  <c:v>15.247604729700939</c:v>
                </c:pt>
                <c:pt idx="25">
                  <c:v>14.984600327758741</c:v>
                </c:pt>
                <c:pt idx="26">
                  <c:v>14.71190537147551</c:v>
                </c:pt>
                <c:pt idx="27">
                  <c:v>14.429633202777836</c:v>
                </c:pt>
                <c:pt idx="28">
                  <c:v>14.137899510839375</c:v>
                </c:pt>
                <c:pt idx="29">
                  <c:v>13.836822149983689</c:v>
                </c:pt>
                <c:pt idx="30">
                  <c:v>13.526520959753697</c:v>
                </c:pt>
                <c:pt idx="31">
                  <c:v>13.207117587674162</c:v>
                </c:pt>
                <c:pt idx="32">
                  <c:v>12.87873531519493</c:v>
                </c:pt>
                <c:pt idx="33">
                  <c:v>12.541498887263586</c:v>
                </c:pt>
                <c:pt idx="34">
                  <c:v>12.195534345936153</c:v>
                </c:pt>
                <c:pt idx="35">
                  <c:v>11.840968868395336</c:v>
                </c:pt>
                <c:pt idx="36">
                  <c:v>11.477930609704927</c:v>
                </c:pt>
                <c:pt idx="37">
                  <c:v>11.106548550591057</c:v>
                </c:pt>
                <c:pt idx="38">
                  <c:v>10.726952350502145</c:v>
                </c:pt>
                <c:pt idx="39">
                  <c:v>10.339272206161809</c:v>
                </c:pt>
                <c:pt idx="40">
                  <c:v>9.9436387157939947</c:v>
                </c:pt>
                <c:pt idx="41">
                  <c:v>9.5401827491641882</c:v>
                </c:pt>
                <c:pt idx="42">
                  <c:v>9.1290353235484645</c:v>
                </c:pt>
                <c:pt idx="43">
                  <c:v>8.7103274857108204</c:v>
                </c:pt>
                <c:pt idx="44">
                  <c:v>8.2841901999400562</c:v>
                </c:pt>
                <c:pt idx="45">
                  <c:v>7.8507542421706233</c:v>
                </c:pt>
                <c:pt idx="46">
                  <c:v>7.4101501001863852</c:v>
                </c:pt>
                <c:pt idx="47">
                  <c:v>6.9625078798831481</c:v>
                </c:pt>
                <c:pt idx="48">
                  <c:v>6.5079572175450267</c:v>
                </c:pt>
                <c:pt idx="49">
                  <c:v>6.0466271980700697</c:v>
                </c:pt>
                <c:pt idx="50">
                  <c:v>5.578646279064273</c:v>
                </c:pt>
                <c:pt idx="51">
                  <c:v>5.1041422207070184</c:v>
                </c:pt>
                <c:pt idx="52">
                  <c:v>4.6232420212786707</c:v>
                </c:pt>
                <c:pt idx="53">
                  <c:v>4.1360718582290588</c:v>
                </c:pt>
                <c:pt idx="54">
                  <c:v>3.6427570346557445</c:v>
                </c:pt>
                <c:pt idx="55">
                  <c:v>3.1434219310538793</c:v>
                </c:pt>
                <c:pt idx="56">
                  <c:v>2.6381899621917171</c:v>
                </c:pt>
                <c:pt idx="57">
                  <c:v>2.1271835389620009</c:v>
                </c:pt>
                <c:pt idx="58">
                  <c:v>1.6105240350550503</c:v>
                </c:pt>
                <c:pt idx="59">
                  <c:v>1.0883317582980254</c:v>
                </c:pt>
                <c:pt idx="60">
                  <c:v>0.56072592650239983</c:v>
                </c:pt>
                <c:pt idx="61">
                  <c:v>2.7824647663379665E-2</c:v>
                </c:pt>
                <c:pt idx="62">
                  <c:v>-0.5102550956453058</c:v>
                </c:pt>
                <c:pt idx="63">
                  <c:v>-1.0533974578351035</c:v>
                </c:pt>
                <c:pt idx="64">
                  <c:v>-1.601487737975944</c:v>
                </c:pt>
                <c:pt idx="65">
                  <c:v>-2.1544123837267506</c:v>
                </c:pt>
                <c:pt idx="66">
                  <c:v>-2.7120589916662965</c:v>
                </c:pt>
                <c:pt idx="67">
                  <c:v>-3.2743163041624825</c:v>
                </c:pt>
                <c:pt idx="68">
                  <c:v>-3.8410742029130915</c:v>
                </c:pt>
                <c:pt idx="69">
                  <c:v>-4.4122236992840271</c:v>
                </c:pt>
                <c:pt idx="70">
                  <c:v>-4.987656921565744</c:v>
                </c:pt>
                <c:pt idx="71">
                  <c:v>-5.5672670992605333</c:v>
                </c:pt>
                <c:pt idx="72">
                  <c:v>-6.1509485445069458</c:v>
                </c:pt>
                <c:pt idx="73">
                  <c:v>-6.7385966307394654</c:v>
                </c:pt>
                <c:pt idx="74">
                  <c:v>-7.3301077686738836</c:v>
                </c:pt>
                <c:pt idx="75">
                  <c:v>-7.925379379700729</c:v>
                </c:pt>
                <c:pt idx="76">
                  <c:v>-8.5243098667605182</c:v>
                </c:pt>
                <c:pt idx="77">
                  <c:v>-9.1267985827661988</c:v>
                </c:pt>
                <c:pt idx="78">
                  <c:v>-9.7327457966291888</c:v>
                </c:pt>
                <c:pt idx="79">
                  <c:v>-10.342052656936715</c:v>
                </c:pt>
                <c:pt idx="80">
                  <c:v>-10.954621153318286</c:v>
                </c:pt>
                <c:pt idx="81">
                  <c:v>-11.570354075530759</c:v>
                </c:pt>
                <c:pt idx="82">
                  <c:v>-12.189154970280896</c:v>
                </c:pt>
                <c:pt idx="83">
                  <c:v>-12.810928095795447</c:v>
                </c:pt>
                <c:pt idx="84">
                  <c:v>-13.435578374137933</c:v>
                </c:pt>
                <c:pt idx="85">
                  <c:v>-14.063011341262026</c:v>
                </c:pt>
                <c:pt idx="86">
                  <c:v>-14.69313309478035</c:v>
                </c:pt>
                <c:pt idx="87">
                  <c:v>-15.325850239416965</c:v>
                </c:pt>
                <c:pt idx="88">
                  <c:v>-15.961069830101465</c:v>
                </c:pt>
                <c:pt idx="89">
                  <c:v>-16.598699312650112</c:v>
                </c:pt>
                <c:pt idx="90">
                  <c:v>-17.238646461969282</c:v>
                </c:pt>
                <c:pt idx="91">
                  <c:v>-17.880819317703427</c:v>
                </c:pt>
                <c:pt idx="92">
                  <c:v>-18.525126117237718</c:v>
                </c:pt>
                <c:pt idx="93">
                  <c:v>-19.171475225953046</c:v>
                </c:pt>
                <c:pt idx="94">
                  <c:v>-19.819775064617104</c:v>
                </c:pt>
                <c:pt idx="95">
                  <c:v>-20.469934033781811</c:v>
                </c:pt>
                <c:pt idx="96">
                  <c:v>-21.121860435042876</c:v>
                </c:pt>
                <c:pt idx="97">
                  <c:v>-21.775462389001902</c:v>
                </c:pt>
                <c:pt idx="98">
                  <c:v>-22.430647749755806</c:v>
                </c:pt>
                <c:pt idx="99">
                  <c:v>-23.087324015721791</c:v>
                </c:pt>
                <c:pt idx="100">
                  <c:v>-23.745398236588727</c:v>
                </c:pt>
                <c:pt idx="101">
                  <c:v>-24.404776916167208</c:v>
                </c:pt>
                <c:pt idx="102">
                  <c:v>-25.065365910891813</c:v>
                </c:pt>
                <c:pt idx="103">
                  <c:v>-25.727070323708602</c:v>
                </c:pt>
                <c:pt idx="104">
                  <c:v>-26.389794393059347</c:v>
                </c:pt>
                <c:pt idx="105">
                  <c:v>-27.053441376652316</c:v>
                </c:pt>
                <c:pt idx="106">
                  <c:v>-27.717913429684771</c:v>
                </c:pt>
                <c:pt idx="107">
                  <c:v>-28.383111477158337</c:v>
                </c:pt>
                <c:pt idx="108">
                  <c:v>-29.048935079901597</c:v>
                </c:pt>
                <c:pt idx="109">
                  <c:v>-29.715282293886915</c:v>
                </c:pt>
                <c:pt idx="110">
                  <c:v>-30.382049522399527</c:v>
                </c:pt>
                <c:pt idx="111">
                  <c:v>-31.04913136058623</c:v>
                </c:pt>
                <c:pt idx="112">
                  <c:v>-31.716420431879612</c:v>
                </c:pt>
                <c:pt idx="113">
                  <c:v>-32.383807215759987</c:v>
                </c:pt>
                <c:pt idx="114">
                  <c:v>-33.051179866282396</c:v>
                </c:pt>
                <c:pt idx="115">
                  <c:v>-33.718424020760636</c:v>
                </c:pt>
                <c:pt idx="116">
                  <c:v>-34.385422597962204</c:v>
                </c:pt>
                <c:pt idx="117">
                  <c:v>-35.052055585130077</c:v>
                </c:pt>
                <c:pt idx="118">
                  <c:v>-35.718199813107802</c:v>
                </c:pt>
                <c:pt idx="119">
                  <c:v>-36.383728718804662</c:v>
                </c:pt>
                <c:pt idx="120">
                  <c:v>-37.048512094197605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A74A-4ABA-B263-7358985B41F1}"/>
            </c:ext>
          </c:extLst>
        </c:ser>
        <c:ser>
          <c:idx val="27"/>
          <c:order val="23"/>
          <c:tx>
            <c:strRef>
              <c:f>'Ej-2b_Munich'!$R$3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'Ej-2b_Munich'!$T$10:$T$130</c:f>
              <c:numCache>
                <c:formatCode>0.00</c:formatCode>
                <c:ptCount val="121"/>
                <c:pt idx="0">
                  <c:v>-104.30908777201385</c:v>
                </c:pt>
                <c:pt idx="1">
                  <c:v>-103.47543919531185</c:v>
                </c:pt>
                <c:pt idx="2">
                  <c:v>-102.64922964719592</c:v>
                </c:pt>
                <c:pt idx="3">
                  <c:v>-101.8301368702065</c:v>
                </c:pt>
                <c:pt idx="4">
                  <c:v>-101.01784522692914</c:v>
                </c:pt>
                <c:pt idx="5">
                  <c:v>-100.21204558613024</c:v>
                </c:pt>
                <c:pt idx="6">
                  <c:v>-99.412435194848371</c:v>
                </c:pt>
                <c:pt idx="7">
                  <c:v>-98.618717538736391</c:v>
                </c:pt>
                <c:pt idx="8">
                  <c:v>-97.830602192709662</c:v>
                </c:pt>
                <c:pt idx="9">
                  <c:v>-97.047804663736798</c:v>
                </c:pt>
                <c:pt idx="10">
                  <c:v>-96.270046227409921</c:v>
                </c:pt>
                <c:pt idx="11">
                  <c:v>-95.497053759751864</c:v>
                </c:pt>
                <c:pt idx="12">
                  <c:v>-94.728559565554448</c:v>
                </c:pt>
                <c:pt idx="13">
                  <c:v>-93.964301204395269</c:v>
                </c:pt>
                <c:pt idx="14">
                  <c:v>-93.204021315348371</c:v>
                </c:pt>
                <c:pt idx="15">
                  <c:v>-92.447467441285966</c:v>
                </c:pt>
                <c:pt idx="16">
                  <c:v>-91.694391853562976</c:v>
                </c:pt>
                <c:pt idx="17">
                  <c:v>-90.944551377781494</c:v>
                </c:pt>
                <c:pt idx="18">
                  <c:v>-90.19770722124872</c:v>
                </c:pt>
                <c:pt idx="19">
                  <c:v>-89.453624802668472</c:v>
                </c:pt>
                <c:pt idx="20">
                  <c:v>-88.712073584540235</c:v>
                </c:pt>
                <c:pt idx="21">
                  <c:v>-87.972826908683302</c:v>
                </c:pt>
                <c:pt idx="22">
                  <c:v>-87.235661835252913</c:v>
                </c:pt>
                <c:pt idx="23">
                  <c:v>-86.500358985572618</c:v>
                </c:pt>
                <c:pt idx="24">
                  <c:v>-85.766702389069025</c:v>
                </c:pt>
                <c:pt idx="25">
                  <c:v>-85.034479334563798</c:v>
                </c:pt>
                <c:pt idx="26">
                  <c:v>-84.303480226150413</c:v>
                </c:pt>
                <c:pt idx="27">
                  <c:v>-83.573498443861027</c:v>
                </c:pt>
                <c:pt idx="28">
                  <c:v>-82.844330209310002</c:v>
                </c:pt>
                <c:pt idx="29">
                  <c:v>-82.115774456486207</c:v>
                </c:pt>
                <c:pt idx="30">
                  <c:v>-81.387632707854976</c:v>
                </c:pt>
                <c:pt idx="31">
                  <c:v>-80.659708955921303</c:v>
                </c:pt>
                <c:pt idx="32">
                  <c:v>-79.931809550401809</c:v>
                </c:pt>
                <c:pt idx="33">
                  <c:v>-79.203743091147885</c:v>
                </c:pt>
                <c:pt idx="34">
                  <c:v>-78.4753203269632</c:v>
                </c:pt>
                <c:pt idx="35">
                  <c:v>-77.746354060458529</c:v>
                </c:pt>
                <c:pt idx="36">
                  <c:v>-77.016659059090358</c:v>
                </c:pt>
                <c:pt idx="37">
                  <c:v>-76.286051972534068</c:v>
                </c:pt>
                <c:pt idx="38">
                  <c:v>-75.554351256547946</c:v>
                </c:pt>
                <c:pt idx="39">
                  <c:v>-74.821377103492125</c:v>
                </c:pt>
                <c:pt idx="40">
                  <c:v>-74.086951379673877</c:v>
                </c:pt>
                <c:pt idx="41">
                  <c:v>-73.350897569700734</c:v>
                </c:pt>
                <c:pt idx="42">
                  <c:v>-72.613040728032061</c:v>
                </c:pt>
                <c:pt idx="43">
                  <c:v>-71.873207437930844</c:v>
                </c:pt>
                <c:pt idx="44">
                  <c:v>-71.131225778028366</c:v>
                </c:pt>
                <c:pt idx="45">
                  <c:v>-70.386925296725224</c:v>
                </c:pt>
                <c:pt idx="46">
                  <c:v>-69.640136994664843</c:v>
                </c:pt>
                <c:pt idx="47">
                  <c:v>-68.890693315525937</c:v>
                </c:pt>
                <c:pt idx="48">
                  <c:v>-68.138428145392453</c:v>
                </c:pt>
                <c:pt idx="49">
                  <c:v>-67.383176820970107</c:v>
                </c:pt>
                <c:pt idx="50">
                  <c:v>-66.624776146929065</c:v>
                </c:pt>
                <c:pt idx="51">
                  <c:v>-65.863064422662077</c:v>
                </c:pt>
                <c:pt idx="52">
                  <c:v>-65.097881478755269</c:v>
                </c:pt>
                <c:pt idx="53">
                  <c:v>-64.329068723477107</c:v>
                </c:pt>
                <c:pt idx="54">
                  <c:v>-63.556469199595462</c:v>
                </c:pt>
                <c:pt idx="55">
                  <c:v>-62.779927651837895</c:v>
                </c:pt>
                <c:pt idx="56">
                  <c:v>-61.999290605310641</c:v>
                </c:pt>
                <c:pt idx="57">
                  <c:v>-61.214406455192943</c:v>
                </c:pt>
                <c:pt idx="58">
                  <c:v>-60.42512556801762</c:v>
                </c:pt>
                <c:pt idx="59">
                  <c:v>-59.631300394844239</c:v>
                </c:pt>
                <c:pt idx="60">
                  <c:v>-58.832785596619615</c:v>
                </c:pt>
                <c:pt idx="61">
                  <c:v>-58.02943818200702</c:v>
                </c:pt>
                <c:pt idx="62">
                  <c:v>-57.221117657946706</c:v>
                </c:pt>
                <c:pt idx="63">
                  <c:v>-56.407686193186755</c:v>
                </c:pt>
                <c:pt idx="64">
                  <c:v>-55.589008794995841</c:v>
                </c:pt>
                <c:pt idx="65">
                  <c:v>-54.764953499233137</c:v>
                </c:pt>
                <c:pt idx="66">
                  <c:v>-53.935391573912838</c:v>
                </c:pt>
                <c:pt idx="67">
                  <c:v>-53.100197736351589</c:v>
                </c:pt>
                <c:pt idx="68">
                  <c:v>-52.259250383933775</c:v>
                </c:pt>
                <c:pt idx="69">
                  <c:v>-51.41243183846867</c:v>
                </c:pt>
                <c:pt idx="70">
                  <c:v>-50.559628604043084</c:v>
                </c:pt>
                <c:pt idx="71">
                  <c:v>-49.700731638195798</c:v>
                </c:pt>
                <c:pt idx="72">
                  <c:v>-48.835636636154398</c:v>
                </c:pt>
                <c:pt idx="73">
                  <c:v>-47.964244327779504</c:v>
                </c:pt>
                <c:pt idx="74">
                  <c:v>-47.086460786757705</c:v>
                </c:pt>
                <c:pt idx="75">
                  <c:v>-46.202197751472113</c:v>
                </c:pt>
                <c:pt idx="76">
                  <c:v>-45.311372956856729</c:v>
                </c:pt>
                <c:pt idx="77">
                  <c:v>-44.413910476411885</c:v>
                </c:pt>
                <c:pt idx="78">
                  <c:v>-43.509741073416407</c:v>
                </c:pt>
                <c:pt idx="79">
                  <c:v>-42.598802560229004</c:v>
                </c:pt>
                <c:pt idx="80">
                  <c:v>-41.681040164413133</c:v>
                </c:pt>
                <c:pt idx="81">
                  <c:v>-40.756406900262697</c:v>
                </c:pt>
                <c:pt idx="82">
                  <c:v>-39.824863944137817</c:v>
                </c:pt>
                <c:pt idx="83">
                  <c:v>-38.886381011851654</c:v>
                </c:pt>
                <c:pt idx="84">
                  <c:v>-37.94093673617661</c:v>
                </c:pt>
                <c:pt idx="85">
                  <c:v>-36.988519042366384</c:v>
                </c:pt>
                <c:pt idx="86">
                  <c:v>-36.029125519418614</c:v>
                </c:pt>
                <c:pt idx="87">
                  <c:v>-35.062763784637745</c:v>
                </c:pt>
                <c:pt idx="88">
                  <c:v>-34.089451838895556</c:v>
                </c:pt>
                <c:pt idx="89">
                  <c:v>-33.109218409836942</c:v>
                </c:pt>
                <c:pt idx="90">
                  <c:v>-32.122103280140706</c:v>
                </c:pt>
                <c:pt idx="91">
                  <c:v>-31.128157597820415</c:v>
                </c:pt>
                <c:pt idx="92">
                  <c:v>-30.127444165449646</c:v>
                </c:pt>
                <c:pt idx="93">
                  <c:v>-29.120037705110654</c:v>
                </c:pt>
                <c:pt idx="94">
                  <c:v>-28.106025095814619</c:v>
                </c:pt>
                <c:pt idx="95">
                  <c:v>-27.085505580111196</c:v>
                </c:pt>
                <c:pt idx="96">
                  <c:v>-26.058590936615815</c:v>
                </c:pt>
                <c:pt idx="97">
                  <c:v>-25.025405615221519</c:v>
                </c:pt>
                <c:pt idx="98">
                  <c:v>-23.986086831846293</c:v>
                </c:pt>
                <c:pt idx="99">
                  <c:v>-22.940784619687246</c:v>
                </c:pt>
                <c:pt idx="100">
                  <c:v>-21.889661834116986</c:v>
                </c:pt>
                <c:pt idx="101">
                  <c:v>-20.832894108568599</c:v>
                </c:pt>
                <c:pt idx="102">
                  <c:v>-19.770669759007674</c:v>
                </c:pt>
                <c:pt idx="103">
                  <c:v>-18.703189634889117</c:v>
                </c:pt>
                <c:pt idx="104">
                  <c:v>-17.630666914839644</c:v>
                </c:pt>
                <c:pt idx="105">
                  <c:v>-16.553326845689767</c:v>
                </c:pt>
                <c:pt idx="106">
                  <c:v>-15.471406423906419</c:v>
                </c:pt>
                <c:pt idx="107">
                  <c:v>-14.385154018932081</c:v>
                </c:pt>
                <c:pt idx="108">
                  <c:v>-13.294828938430948</c:v>
                </c:pt>
                <c:pt idx="109">
                  <c:v>-12.200700935957537</c:v>
                </c:pt>
                <c:pt idx="110">
                  <c:v>-11.103049662096034</c:v>
                </c:pt>
                <c:pt idx="111">
                  <c:v>-10.002164060668632</c:v>
                </c:pt>
                <c:pt idx="112">
                  <c:v>-8.8983417121605672</c:v>
                </c:pt>
                <c:pt idx="113">
                  <c:v>-7.7918881270547713</c:v>
                </c:pt>
                <c:pt idx="114">
                  <c:v>-6.6831159923064902</c:v>
                </c:pt>
                <c:pt idx="115">
                  <c:v>-5.5723443746964305</c:v>
                </c:pt>
                <c:pt idx="116">
                  <c:v>-4.4598978852870044</c:v>
                </c:pt>
                <c:pt idx="117">
                  <c:v>-3.3461058096444942</c:v>
                </c:pt>
                <c:pt idx="118">
                  <c:v>-2.2313012088934556</c:v>
                </c:pt>
                <c:pt idx="119">
                  <c:v>-1.1158199970046858</c:v>
                </c:pt>
                <c:pt idx="120">
                  <c:v>-1.1158772564134575E-3</c:v>
                </c:pt>
              </c:numCache>
            </c:numRef>
          </c:xVal>
          <c:yVal>
            <c:numRef>
              <c:f>'Ej-2b_Munich'!$S$10:$S$130</c:f>
              <c:numCache>
                <c:formatCode>0.00</c:formatCode>
                <c:ptCount val="121"/>
                <c:pt idx="0">
                  <c:v>-29.355933091551762</c:v>
                </c:pt>
                <c:pt idx="1">
                  <c:v>-28.708059775350023</c:v>
                </c:pt>
                <c:pt idx="2">
                  <c:v>-28.057933515796535</c:v>
                </c:pt>
                <c:pt idx="3">
                  <c:v>-27.405708677356088</c:v>
                </c:pt>
                <c:pt idx="4">
                  <c:v>-26.751535758954091</c:v>
                </c:pt>
                <c:pt idx="5">
                  <c:v>-26.09556159619045</c:v>
                </c:pt>
                <c:pt idx="6">
                  <c:v>-25.437929557844157</c:v>
                </c:pt>
                <c:pt idx="7">
                  <c:v>-24.778779736695512</c:v>
                </c:pt>
                <c:pt idx="8">
                  <c:v>-24.118249134725843</c:v>
                </c:pt>
                <c:pt idx="9">
                  <c:v>-23.456471842780829</c:v>
                </c:pt>
                <c:pt idx="10">
                  <c:v>-22.793579214805717</c:v>
                </c:pt>
                <c:pt idx="11">
                  <c:v>-22.129700036778928</c:v>
                </c:pt>
                <c:pt idx="12">
                  <c:v>-21.464960690484745</c:v>
                </c:pt>
                <c:pt idx="13">
                  <c:v>-20.79948531227727</c:v>
                </c:pt>
                <c:pt idx="14">
                  <c:v>-20.133395946996032</c:v>
                </c:pt>
                <c:pt idx="15">
                  <c:v>-19.466812697199998</c:v>
                </c:pt>
                <c:pt idx="16">
                  <c:v>-18.799853867890832</c:v>
                </c:pt>
                <c:pt idx="17">
                  <c:v>-18.132636106898175</c:v>
                </c:pt>
                <c:pt idx="18">
                  <c:v>-17.465274541100456</c:v>
                </c:pt>
                <c:pt idx="19">
                  <c:v>-16.797882908654444</c:v>
                </c:pt>
                <c:pt idx="20">
                  <c:v>-16.130573687404151</c:v>
                </c:pt>
                <c:pt idx="21">
                  <c:v>-15.463458219637559</c:v>
                </c:pt>
                <c:pt idx="22">
                  <c:v>-14.796646833355283</c:v>
                </c:pt>
                <c:pt idx="23">
                  <c:v>-14.130248960211361</c:v>
                </c:pt>
                <c:pt idx="24">
                  <c:v>-13.464373250280772</c:v>
                </c:pt>
                <c:pt idx="25">
                  <c:v>-12.799127683802723</c:v>
                </c:pt>
                <c:pt idx="26">
                  <c:v>-12.134619680042874</c:v>
                </c:pt>
                <c:pt idx="27">
                  <c:v>-11.47095620341068</c:v>
                </c:pt>
                <c:pt idx="28">
                  <c:v>-10.808243866961107</c:v>
                </c:pt>
                <c:pt idx="29">
                  <c:v>-10.146589033403046</c:v>
                </c:pt>
                <c:pt idx="30">
                  <c:v>-9.4860979137288126</c:v>
                </c:pt>
                <c:pt idx="31">
                  <c:v>-8.8268766635710421</c:v>
                </c:pt>
                <c:pt idx="32">
                  <c:v>-8.1690314773859711</c:v>
                </c:pt>
                <c:pt idx="33">
                  <c:v>-7.5126686805526219</c:v>
                </c:pt>
                <c:pt idx="34">
                  <c:v>-6.8578948194695784</c:v>
                </c:pt>
                <c:pt idx="35">
                  <c:v>-6.2048167497218856</c:v>
                </c:pt>
                <c:pt idx="36">
                  <c:v>-5.5535417223811692</c:v>
                </c:pt>
                <c:pt idx="37">
                  <c:v>-4.9041774684933728</c:v>
                </c:pt>
                <c:pt idx="38">
                  <c:v>-4.2568322817979549</c:v>
                </c:pt>
                <c:pt idx="39">
                  <c:v>-3.6116150997133758</c:v>
                </c:pt>
                <c:pt idx="40">
                  <c:v>-2.9686355826125919</c:v>
                </c:pt>
                <c:pt idx="41">
                  <c:v>-2.3280041914024423</c:v>
                </c:pt>
                <c:pt idx="42">
                  <c:v>-1.6898322634095138</c:v>
                </c:pt>
                <c:pt idx="43">
                  <c:v>-1.0542320865640846</c:v>
                </c:pt>
                <c:pt idx="44">
                  <c:v>-0.42131697186205486</c:v>
                </c:pt>
                <c:pt idx="45">
                  <c:v>0.208798675927099</c:v>
                </c:pt>
                <c:pt idx="46">
                  <c:v>0.83599928935051082</c:v>
                </c:pt>
                <c:pt idx="47">
                  <c:v>1.4601680712174954</c:v>
                </c:pt>
                <c:pt idx="48">
                  <c:v>2.0811869294702774</c:v>
                </c:pt>
                <c:pt idx="49">
                  <c:v>2.6989364140639651</c:v>
                </c:pt>
                <c:pt idx="50">
                  <c:v>3.3132956559530129</c:v>
                </c:pt>
                <c:pt idx="51">
                  <c:v>3.9241423082966094</c:v>
                </c:pt>
                <c:pt idx="52">
                  <c:v>4.5313524900095246</c:v>
                </c:pt>
                <c:pt idx="53">
                  <c:v>5.1348007318006808</c:v>
                </c:pt>
                <c:pt idx="54">
                  <c:v>5.7343599248572019</c:v>
                </c:pt>
                <c:pt idx="55">
                  <c:v>6.3299012723475414</c:v>
                </c:pt>
                <c:pt idx="56">
                  <c:v>6.9212942439339855</c:v>
                </c:pt>
                <c:pt idx="57">
                  <c:v>7.5084065335007324</c:v>
                </c:pt>
                <c:pt idx="58">
                  <c:v>8.0911040203219073</c:v>
                </c:pt>
                <c:pt idx="59">
                  <c:v>8.6692507339093225</c:v>
                </c:pt>
                <c:pt idx="60">
                  <c:v>9.2427088227984342</c:v>
                </c:pt>
                <c:pt idx="61">
                  <c:v>9.811338527547079</c:v>
                </c:pt>
                <c:pt idx="62">
                  <c:v>10.374998158239393</c:v>
                </c:pt>
                <c:pt idx="63">
                  <c:v>10.933544076803656</c:v>
                </c:pt>
                <c:pt idx="64">
                  <c:v>11.486830684469467</c:v>
                </c:pt>
                <c:pt idx="65">
                  <c:v>12.034710414706311</c:v>
                </c:pt>
                <c:pt idx="66">
                  <c:v>12.577033731999606</c:v>
                </c:pt>
                <c:pt idx="67">
                  <c:v>13.113649136836045</c:v>
                </c:pt>
                <c:pt idx="68">
                  <c:v>13.644403177282769</c:v>
                </c:pt>
                <c:pt idx="69">
                  <c:v>14.169140467556915</c:v>
                </c:pt>
                <c:pt idx="70">
                  <c:v>14.687703713992619</c:v>
                </c:pt>
                <c:pt idx="71">
                  <c:v>15.199933748821238</c:v>
                </c:pt>
                <c:pt idx="72">
                  <c:v>15.705669572186309</c:v>
                </c:pt>
                <c:pt idx="73">
                  <c:v>16.204748402819575</c:v>
                </c:pt>
                <c:pt idx="74">
                  <c:v>16.697005737804261</c:v>
                </c:pt>
                <c:pt idx="75">
                  <c:v>17.182275421850562</c:v>
                </c:pt>
                <c:pt idx="76">
                  <c:v>17.660389726502032</c:v>
                </c:pt>
                <c:pt idx="77">
                  <c:v>18.131179439681716</c:v>
                </c:pt>
                <c:pt idx="78">
                  <c:v>18.594473965973734</c:v>
                </c:pt>
                <c:pt idx="79">
                  <c:v>19.050101438015815</c:v>
                </c:pt>
                <c:pt idx="80">
                  <c:v>19.497888839356222</c:v>
                </c:pt>
                <c:pt idx="81">
                  <c:v>19.937662139097782</c:v>
                </c:pt>
                <c:pt idx="82">
                  <c:v>20.369246438617864</c:v>
                </c:pt>
                <c:pt idx="83">
                  <c:v>20.792466130611388</c:v>
                </c:pt>
                <c:pt idx="84">
                  <c:v>21.207145070656892</c:v>
                </c:pt>
                <c:pt idx="85">
                  <c:v>21.613106761451817</c:v>
                </c:pt>
                <c:pt idx="86">
                  <c:v>22.010174549802315</c:v>
                </c:pt>
                <c:pt idx="87">
                  <c:v>22.398171836385529</c:v>
                </c:pt>
                <c:pt idx="88">
                  <c:v>22.776922298228172</c:v>
                </c:pt>
                <c:pt idx="89">
                  <c:v>23.146250123764474</c:v>
                </c:pt>
                <c:pt idx="90">
                  <c:v>23.505980260248705</c:v>
                </c:pt>
                <c:pt idx="91">
                  <c:v>23.855938673204847</c:v>
                </c:pt>
                <c:pt idx="92">
                  <c:v>24.195952617495735</c:v>
                </c:pt>
                <c:pt idx="93">
                  <c:v>24.525850919490907</c:v>
                </c:pt>
                <c:pt idx="94">
                  <c:v>24.845464269702674</c:v>
                </c:pt>
                <c:pt idx="95">
                  <c:v>25.15462552514866</c:v>
                </c:pt>
                <c:pt idx="96">
                  <c:v>25.453170020583826</c:v>
                </c:pt>
                <c:pt idx="97">
                  <c:v>25.740935887629703</c:v>
                </c:pt>
                <c:pt idx="98">
                  <c:v>26.017764380712372</c:v>
                </c:pt>
                <c:pt idx="99">
                  <c:v>26.283500208606405</c:v>
                </c:pt>
                <c:pt idx="100">
                  <c:v>26.537991870270879</c:v>
                </c:pt>
                <c:pt idx="101">
                  <c:v>26.781091993556544</c:v>
                </c:pt>
                <c:pt idx="102">
                  <c:v>27.012657675263334</c:v>
                </c:pt>
                <c:pt idx="103">
                  <c:v>27.232550820934996</c:v>
                </c:pt>
                <c:pt idx="104">
                  <c:v>27.440638482695583</c:v>
                </c:pt>
                <c:pt idx="105">
                  <c:v>27.63679319336218</c:v>
                </c:pt>
                <c:pt idx="106">
                  <c:v>27.820893295010841</c:v>
                </c:pt>
                <c:pt idx="107">
                  <c:v>27.992823260131189</c:v>
                </c:pt>
                <c:pt idx="108">
                  <c:v>28.152474003479114</c:v>
                </c:pt>
                <c:pt idx="109">
                  <c:v>28.299743182729316</c:v>
                </c:pt>
                <c:pt idx="110">
                  <c:v>28.434535486040744</c:v>
                </c:pt>
                <c:pt idx="111">
                  <c:v>28.556762904678116</c:v>
                </c:pt>
                <c:pt idx="112">
                  <c:v>28.66634498888402</c:v>
                </c:pt>
                <c:pt idx="113">
                  <c:v>28.763209085266773</c:v>
                </c:pt>
                <c:pt idx="114">
                  <c:v>28.847290554061033</c:v>
                </c:pt>
                <c:pt idx="115">
                  <c:v>28.918532964728676</c:v>
                </c:pt>
                <c:pt idx="116">
                  <c:v>28.976888268497845</c:v>
                </c:pt>
                <c:pt idx="117">
                  <c:v>29.022316946585313</c:v>
                </c:pt>
                <c:pt idx="118">
                  <c:v>29.054788133010952</c:v>
                </c:pt>
                <c:pt idx="119">
                  <c:v>29.074279711091251</c:v>
                </c:pt>
                <c:pt idx="120">
                  <c:v>29.080778376389368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74A-4ABA-B263-7358985B4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5136"/>
        <c:axId val="56236672"/>
      </c:scatterChart>
      <c:valAx>
        <c:axId val="72607232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2664606242"/>
              <c:y val="0.908222491419341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72609152"/>
        <c:crosses val="autoZero"/>
        <c:crossBetween val="midCat"/>
        <c:majorUnit val="30"/>
      </c:valAx>
      <c:valAx>
        <c:axId val="72609152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72607232"/>
        <c:crossesAt val="0"/>
        <c:crossBetween val="midCat"/>
        <c:majorUnit val="10"/>
      </c:valAx>
      <c:valAx>
        <c:axId val="56235136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56236672"/>
        <c:crossesAt val="0"/>
        <c:crossBetween val="midCat"/>
      </c:valAx>
      <c:valAx>
        <c:axId val="56236672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330"/>
            </a:pPr>
            <a:endParaRPr lang="es-ES"/>
          </a:p>
        </c:txPr>
        <c:crossAx val="56235136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</a:t>
            </a:r>
          </a:p>
        </c:rich>
      </c:tx>
      <c:layout>
        <c:manualLayout>
          <c:xMode val="edge"/>
          <c:yMode val="edge"/>
          <c:x val="6.1943276507912232E-2"/>
          <c:y val="3.6693317181506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4784697642E-2"/>
          <c:y val="0.10325059708788119"/>
          <c:w val="0.87085150599556327"/>
          <c:h val="0.722754020855137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'Ej-2c_CMex'!$D$7</c:f>
              <c:strCache>
                <c:ptCount val="1"/>
                <c:pt idx="0">
                  <c:v>SVER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'Ej-2c_CMex'!$E$10:$E$130</c:f>
              <c:numCache>
                <c:formatCode>0.00</c:formatCode>
                <c:ptCount val="121"/>
                <c:pt idx="0">
                  <c:v>-123.61105570213815</c:v>
                </c:pt>
                <c:pt idx="1">
                  <c:v>-123.11867181933408</c:v>
                </c:pt>
                <c:pt idx="2">
                  <c:v>-122.63603425600152</c:v>
                </c:pt>
                <c:pt idx="3">
                  <c:v>-122.16289466529831</c:v>
                </c:pt>
                <c:pt idx="4">
                  <c:v>-121.69901134519577</c:v>
                </c:pt>
                <c:pt idx="5">
                  <c:v>-121.2441492102131</c:v>
                </c:pt>
                <c:pt idx="6">
                  <c:v>-120.79807974718948</c:v>
                </c:pt>
                <c:pt idx="7">
                  <c:v>-120.36058095737408</c:v>
                </c:pt>
                <c:pt idx="8">
                  <c:v>-119.93143728689896</c:v>
                </c:pt>
                <c:pt idx="9">
                  <c:v>-119.51043954750223</c:v>
                </c:pt>
                <c:pt idx="10">
                  <c:v>-119.09738482918705</c:v>
                </c:pt>
                <c:pt idx="11">
                  <c:v>-118.6920764063358</c:v>
                </c:pt>
                <c:pt idx="12">
                  <c:v>-118.29432363864726</c:v>
                </c:pt>
                <c:pt idx="13">
                  <c:v>-117.90394186812632</c:v>
                </c:pt>
                <c:pt idx="14">
                  <c:v>-117.52075231323059</c:v>
                </c:pt>
                <c:pt idx="15">
                  <c:v>-117.14458196116506</c:v>
                </c:pt>
                <c:pt idx="16">
                  <c:v>-116.77526345921453</c:v>
                </c:pt>
                <c:pt idx="17">
                  <c:v>-116.41263500591079</c:v>
                </c:pt>
                <c:pt idx="18">
                  <c:v>-116.05654024275111</c:v>
                </c:pt>
                <c:pt idx="19">
                  <c:v>-115.70682814711058</c:v>
                </c:pt>
                <c:pt idx="20">
                  <c:v>-115.36335292692665</c:v>
                </c:pt>
                <c:pt idx="21">
                  <c:v>-115.02597391767792</c:v>
                </c:pt>
                <c:pt idx="22">
                  <c:v>-114.69455548212888</c:v>
                </c:pt>
                <c:pt idx="23">
                  <c:v>-114.36896691327001</c:v>
                </c:pt>
                <c:pt idx="24">
                  <c:v>-114.04908234084556</c:v>
                </c:pt>
                <c:pt idx="25">
                  <c:v>-113.73478064183088</c:v>
                </c:pt>
                <c:pt idx="26">
                  <c:v>-113.42594535519554</c:v>
                </c:pt>
                <c:pt idx="27">
                  <c:v>-113.12246460126836</c:v>
                </c:pt>
                <c:pt idx="28">
                  <c:v>-112.82423100600548</c:v>
                </c:pt>
                <c:pt idx="29">
                  <c:v>-112.53114163045117</c:v>
                </c:pt>
                <c:pt idx="30">
                  <c:v>-112.24309790567612</c:v>
                </c:pt>
                <c:pt idx="31">
                  <c:v>-111.96000557347524</c:v>
                </c:pt>
                <c:pt idx="32">
                  <c:v>-111.68177463311007</c:v>
                </c:pt>
                <c:pt idx="33">
                  <c:v>-111.40831929438755</c:v>
                </c:pt>
                <c:pt idx="34">
                  <c:v>-111.13955793737833</c:v>
                </c:pt>
                <c:pt idx="35">
                  <c:v>-110.8754130790927</c:v>
                </c:pt>
                <c:pt idx="36">
                  <c:v>-110.61581134745289</c:v>
                </c:pt>
                <c:pt idx="37">
                  <c:v>-110.36068346292464</c:v>
                </c:pt>
                <c:pt idx="38">
                  <c:v>-110.10996422820054</c:v>
                </c:pt>
                <c:pt idx="39">
                  <c:v>-109.86359252636267</c:v>
                </c:pt>
                <c:pt idx="40">
                  <c:v>-109.621511327992</c:v>
                </c:pt>
                <c:pt idx="41">
                  <c:v>-109.38366770773882</c:v>
                </c:pt>
                <c:pt idx="42">
                  <c:v>-109.15001287092107</c:v>
                </c:pt>
                <c:pt idx="43">
                  <c:v>-108.92050219077829</c:v>
                </c:pt>
                <c:pt idx="44">
                  <c:v>-108.69509525707653</c:v>
                </c:pt>
                <c:pt idx="45">
                  <c:v>-108.47375593683776</c:v>
                </c:pt>
                <c:pt idx="46">
                  <c:v>-108.25645244805381</c:v>
                </c:pt>
                <c:pt idx="47">
                  <c:v>-108.04315744734411</c:v>
                </c:pt>
                <c:pt idx="48">
                  <c:v>-107.83384813262721</c:v>
                </c:pt>
                <c:pt idx="49">
                  <c:v>-107.62850636200226</c:v>
                </c:pt>
                <c:pt idx="50">
                  <c:v>-107.42711879017808</c:v>
                </c:pt>
                <c:pt idx="51">
                  <c:v>-107.22967702394814</c:v>
                </c:pt>
                <c:pt idx="52">
                  <c:v>-107.03617779839117</c:v>
                </c:pt>
                <c:pt idx="53">
                  <c:v>-106.84662317568313</c:v>
                </c:pt>
                <c:pt idx="54">
                  <c:v>-106.66102076864009</c:v>
                </c:pt>
                <c:pt idx="55">
                  <c:v>-106.47938399137617</c:v>
                </c:pt>
                <c:pt idx="56">
                  <c:v>-106.30173233976426</c:v>
                </c:pt>
                <c:pt idx="57">
                  <c:v>-106.1280917047312</c:v>
                </c:pt>
                <c:pt idx="58">
                  <c:v>-105.95849472181352</c:v>
                </c:pt>
                <c:pt idx="59">
                  <c:v>-105.79298116085117</c:v>
                </c:pt>
                <c:pt idx="60">
                  <c:v>-105.63159836021411</c:v>
                </c:pt>
                <c:pt idx="61">
                  <c:v>-105.47440171055227</c:v>
                </c:pt>
                <c:pt idx="62">
                  <c:v>-105.32145519374491</c:v>
                </c:pt>
                <c:pt idx="63">
                  <c:v>-105.1728319835177</c:v>
                </c:pt>
                <c:pt idx="64">
                  <c:v>-105.02861511511298</c:v>
                </c:pt>
                <c:pt idx="65">
                  <c:v>-104.88889823246203</c:v>
                </c:pt>
                <c:pt idx="66">
                  <c:v>-104.75378642254591</c:v>
                </c:pt>
                <c:pt idx="67">
                  <c:v>-104.62339714807541</c:v>
                </c:pt>
                <c:pt idx="68">
                  <c:v>-104.49786129130662</c:v>
                </c:pt>
                <c:pt idx="69">
                  <c:v>-104.37732432378907</c:v>
                </c:pt>
                <c:pt idx="70">
                  <c:v>-104.26194761916811</c:v>
                </c:pt>
                <c:pt idx="71">
                  <c:v>-104.15190992890805</c:v>
                </c:pt>
                <c:pt idx="72">
                  <c:v>-104.04740904404655</c:v>
                </c:pt>
                <c:pt idx="73">
                  <c:v>-103.94866366994144</c:v>
                </c:pt>
                <c:pt idx="74">
                  <c:v>-103.85591554555432</c:v>
                </c:pt>
                <c:pt idx="75">
                  <c:v>-103.76943184428926</c:v>
                </c:pt>
                <c:pt idx="76">
                  <c:v>-103.68950789996575</c:v>
                </c:pt>
                <c:pt idx="77">
                  <c:v>-103.61647030939822</c:v>
                </c:pt>
                <c:pt idx="78">
                  <c:v>-103.55068047258307</c:v>
                </c:pt>
                <c:pt idx="79">
                  <c:v>-103.49253864304612</c:v>
                </c:pt>
                <c:pt idx="80">
                  <c:v>-103.44248857496358</c:v>
                </c:pt>
                <c:pt idx="81">
                  <c:v>-103.40102287085401</c:v>
                </c:pt>
                <c:pt idx="82">
                  <c:v>-103.36868915473734</c:v>
                </c:pt>
                <c:pt idx="83">
                  <c:v>-103.34609722167868</c:v>
                </c:pt>
                <c:pt idx="84">
                  <c:v>-103.33392734688282</c:v>
                </c:pt>
                <c:pt idx="85">
                  <c:v>-103.33293997767244</c:v>
                </c:pt>
                <c:pt idx="86">
                  <c:v>-103.34398708197291</c:v>
                </c:pt>
                <c:pt idx="87">
                  <c:v>-103.36802549023905</c:v>
                </c:pt>
                <c:pt idx="88">
                  <c:v>-103.40613264792286</c:v>
                </c:pt>
                <c:pt idx="89">
                  <c:v>-103.45952529768897</c:v>
                </c:pt>
                <c:pt idx="90">
                  <c:v>-103.52958174146512</c:v>
                </c:pt>
                <c:pt idx="91">
                  <c:v>-103.61786850127879</c:v>
                </c:pt>
                <c:pt idx="92">
                  <c:v>-103.72617241720803</c:v>
                </c:pt>
                <c:pt idx="93">
                  <c:v>-103.85653950783926</c:v>
                </c:pt>
                <c:pt idx="94">
                  <c:v>-104.01132229711212</c:v>
                </c:pt>
                <c:pt idx="95">
                  <c:v>-104.19323781443035</c:v>
                </c:pt>
                <c:pt idx="96">
                  <c:v>-104.40543914895787</c:v>
                </c:pt>
                <c:pt idx="97">
                  <c:v>-104.65160435014073</c:v>
                </c:pt>
                <c:pt idx="98">
                  <c:v>-104.93604770929979</c:v>
                </c:pt>
                <c:pt idx="99">
                  <c:v>-105.26386016844658</c:v>
                </c:pt>
                <c:pt idx="100">
                  <c:v>-105.64108798205984</c:v>
                </c:pt>
                <c:pt idx="101">
                  <c:v>-106.07496209988122</c:v>
                </c:pt>
                <c:pt idx="102">
                  <c:v>-106.57419548177941</c:v>
                </c:pt>
                <c:pt idx="103">
                  <c:v>-107.14937235599677</c:v>
                </c:pt>
                <c:pt idx="104">
                  <c:v>-107.81346328042919</c:v>
                </c:pt>
                <c:pt idx="105">
                  <c:v>-108.58251426328621</c:v>
                </c:pt>
                <c:pt idx="106">
                  <c:v>-109.47657941226102</c:v>
                </c:pt>
                <c:pt idx="107">
                  <c:v>-110.52099799921166</c:v>
                </c:pt>
                <c:pt idx="108">
                  <c:v>-111.74816336410996</c:v>
                </c:pt>
                <c:pt idx="109">
                  <c:v>-113.19999936283273</c:v>
                </c:pt>
                <c:pt idx="110">
                  <c:v>-114.93145741497308</c:v>
                </c:pt>
                <c:pt idx="111">
                  <c:v>-117.01547630282172</c:v>
                </c:pt>
                <c:pt idx="112">
                  <c:v>-119.54998651035864</c:v>
                </c:pt>
                <c:pt idx="113">
                  <c:v>-122.66758544809542</c:v>
                </c:pt>
                <c:pt idx="114">
                  <c:v>-126.54809314768764</c:v>
                </c:pt>
                <c:pt idx="115">
                  <c:v>-131.43222715403084</c:v>
                </c:pt>
                <c:pt idx="116">
                  <c:v>-137.62828650002825</c:v>
                </c:pt>
                <c:pt idx="117">
                  <c:v>-145.48750652689046</c:v>
                </c:pt>
                <c:pt idx="118">
                  <c:v>-155.29513486718011</c:v>
                </c:pt>
                <c:pt idx="119">
                  <c:v>-167.01874952846271</c:v>
                </c:pt>
                <c:pt idx="120">
                  <c:v>-179.9867824365665</c:v>
                </c:pt>
              </c:numCache>
            </c:numRef>
          </c:xVal>
          <c:yVal>
            <c:numRef>
              <c:f>'Ej-2c_CMex'!$D$10:$D$130</c:f>
              <c:numCache>
                <c:formatCode>0.00</c:formatCode>
                <c:ptCount val="121"/>
                <c:pt idx="0">
                  <c:v>-17.447503540611777</c:v>
                </c:pt>
                <c:pt idx="1">
                  <c:v>-16.66007234960091</c:v>
                </c:pt>
                <c:pt idx="2">
                  <c:v>-15.868258008714832</c:v>
                </c:pt>
                <c:pt idx="3">
                  <c:v>-15.072202661823738</c:v>
                </c:pt>
                <c:pt idx="4">
                  <c:v>-14.272043279607345</c:v>
                </c:pt>
                <c:pt idx="5">
                  <c:v>-13.467911855381772</c:v>
                </c:pt>
                <c:pt idx="6">
                  <c:v>-12.659935595169244</c:v>
                </c:pt>
                <c:pt idx="7">
                  <c:v>-11.848237101930494</c:v>
                </c:pt>
                <c:pt idx="8">
                  <c:v>-11.032934553923283</c:v>
                </c:pt>
                <c:pt idx="9">
                  <c:v>-10.214141877185668</c:v>
                </c:pt>
                <c:pt idx="10">
                  <c:v>-9.3919689121745193</c:v>
                </c:pt>
                <c:pt idx="11">
                  <c:v>-8.5665215746158623</c:v>
                </c:pt>
                <c:pt idx="12">
                  <c:v>-7.7379020106460104</c:v>
                </c:pt>
                <c:pt idx="13">
                  <c:v>-6.9062087463408659</c:v>
                </c:pt>
                <c:pt idx="14">
                  <c:v>-6.0715368317463856</c:v>
                </c:pt>
                <c:pt idx="15">
                  <c:v>-5.2339779795351831</c:v>
                </c:pt>
                <c:pt idx="16">
                  <c:v>-4.3936206984247832</c:v>
                </c:pt>
                <c:pt idx="17">
                  <c:v>-3.5505504215002333</c:v>
                </c:pt>
                <c:pt idx="18">
                  <c:v>-2.7048496295902567</c:v>
                </c:pt>
                <c:pt idx="19">
                  <c:v>-1.8565979698497443</c:v>
                </c:pt>
                <c:pt idx="20">
                  <c:v>-1.0058723697049317</c:v>
                </c:pt>
                <c:pt idx="21">
                  <c:v>-0.15274714631833319</c:v>
                </c:pt>
                <c:pt idx="22">
                  <c:v>0.70270588826788583</c:v>
                </c:pt>
                <c:pt idx="23">
                  <c:v>1.560417326152475</c:v>
                </c:pt>
                <c:pt idx="24">
                  <c:v>2.4203200666027698</c:v>
                </c:pt>
                <c:pt idx="25">
                  <c:v>3.2823492229338882</c:v>
                </c:pt>
                <c:pt idx="26">
                  <c:v>4.1464420330864726</c:v>
                </c:pt>
                <c:pt idx="27">
                  <c:v>5.0125377737521575</c:v>
                </c:pt>
                <c:pt idx="28">
                  <c:v>5.880577677898799</c:v>
                </c:pt>
                <c:pt idx="29">
                  <c:v>6.7505048555503606</c:v>
                </c:pt>
                <c:pt idx="30">
                  <c:v>7.6222642176800122</c:v>
                </c:pt>
                <c:pt idx="31">
                  <c:v>8.4958024030775192</c:v>
                </c:pt>
                <c:pt idx="32">
                  <c:v>9.3710677080558185</c:v>
                </c:pt>
                <c:pt idx="33">
                  <c:v>10.248010018864989</c:v>
                </c:pt>
                <c:pt idx="34">
                  <c:v>11.126580746684766</c:v>
                </c:pt>
                <c:pt idx="35">
                  <c:v>12.006732765070097</c:v>
                </c:pt>
                <c:pt idx="36">
                  <c:v>12.888420349727383</c:v>
                </c:pt>
                <c:pt idx="37">
                  <c:v>13.771599120501847</c:v>
                </c:pt>
                <c:pt idx="38">
                  <c:v>14.656225985459074</c:v>
                </c:pt>
                <c:pt idx="39">
                  <c:v>15.542259086946487</c:v>
                </c:pt>
                <c:pt idx="40">
                  <c:v>16.429657749522718</c:v>
                </c:pt>
                <c:pt idx="41">
                  <c:v>17.318382429644743</c:v>
                </c:pt>
                <c:pt idx="42">
                  <c:v>18.208394667004228</c:v>
                </c:pt>
                <c:pt idx="43">
                  <c:v>19.099657037406345</c:v>
                </c:pt>
                <c:pt idx="44">
                  <c:v>19.992133107084769</c:v>
                </c:pt>
                <c:pt idx="45">
                  <c:v>20.885787388347367</c:v>
                </c:pt>
                <c:pt idx="46">
                  <c:v>21.780585296447228</c:v>
                </c:pt>
                <c:pt idx="47">
                  <c:v>22.67649310757335</c:v>
                </c:pt>
                <c:pt idx="48">
                  <c:v>23.573477917854191</c:v>
                </c:pt>
                <c:pt idx="49">
                  <c:v>24.471507603266176</c:v>
                </c:pt>
                <c:pt idx="50">
                  <c:v>25.370550780336202</c:v>
                </c:pt>
                <c:pt idx="51">
                  <c:v>26.270576767525519</c:v>
                </c:pt>
                <c:pt idx="52">
                  <c:v>27.171555547177341</c:v>
                </c:pt>
                <c:pt idx="53">
                  <c:v>28.073457727906415</c:v>
                </c:pt>
                <c:pt idx="54">
                  <c:v>28.976254507302926</c:v>
                </c:pt>
                <c:pt idx="55">
                  <c:v>29.879917634815769</c:v>
                </c:pt>
                <c:pt idx="56">
                  <c:v>30.784419374671998</c:v>
                </c:pt>
                <c:pt idx="57">
                  <c:v>31.689732468679487</c:v>
                </c:pt>
                <c:pt idx="58">
                  <c:v>32.595830098746788</c:v>
                </c:pt>
                <c:pt idx="59">
                  <c:v>33.50268584894215</c:v>
                </c:pt>
                <c:pt idx="60">
                  <c:v>34.410273666895002</c:v>
                </c:pt>
                <c:pt idx="61">
                  <c:v>35.318567824325932</c:v>
                </c:pt>
                <c:pt idx="62">
                  <c:v>36.227542876467048</c:v>
                </c:pt>
                <c:pt idx="63">
                  <c:v>37.137173620109394</c:v>
                </c:pt>
                <c:pt idx="64">
                  <c:v>38.047435049982319</c:v>
                </c:pt>
                <c:pt idx="65">
                  <c:v>38.958302313134126</c:v>
                </c:pt>
                <c:pt idx="66">
                  <c:v>39.869750660940262</c:v>
                </c:pt>
                <c:pt idx="67">
                  <c:v>40.781755398316051</c:v>
                </c:pt>
                <c:pt idx="68">
                  <c:v>41.69429182965181</c:v>
                </c:pt>
                <c:pt idx="69">
                  <c:v>42.607335200919358</c:v>
                </c:pt>
                <c:pt idx="70">
                  <c:v>43.520860637317234</c:v>
                </c:pt>
                <c:pt idx="71">
                  <c:v>44.434843075725524</c:v>
                </c:pt>
                <c:pt idx="72">
                  <c:v>45.349257191126291</c:v>
                </c:pt>
                <c:pt idx="73">
                  <c:v>46.264077316009377</c:v>
                </c:pt>
                <c:pt idx="74">
                  <c:v>47.179277351620811</c:v>
                </c:pt>
                <c:pt idx="75">
                  <c:v>48.094830669715506</c:v>
                </c:pt>
                <c:pt idx="76">
                  <c:v>49.010710003242693</c:v>
                </c:pt>
                <c:pt idx="77">
                  <c:v>49.926887324109494</c:v>
                </c:pt>
                <c:pt idx="78">
                  <c:v>50.843333705827185</c:v>
                </c:pt>
                <c:pt idx="79">
                  <c:v>51.760019168429366</c:v>
                </c:pt>
                <c:pt idx="80">
                  <c:v>52.676912502545761</c:v>
                </c:pt>
                <c:pt idx="81">
                  <c:v>53.593981068895509</c:v>
                </c:pt>
                <c:pt idx="82">
                  <c:v>54.511190568701039</c:v>
                </c:pt>
                <c:pt idx="83">
                  <c:v>55.42850477958175</c:v>
                </c:pt>
                <c:pt idx="84">
                  <c:v>56.345885250314858</c:v>
                </c:pt>
                <c:pt idx="85">
                  <c:v>57.263290946389198</c:v>
                </c:pt>
                <c:pt idx="86">
                  <c:v>58.180677836441838</c:v>
                </c:pt>
                <c:pt idx="87">
                  <c:v>59.09799840734874</c:v>
                </c:pt>
                <c:pt idx="88">
                  <c:v>60.015201092796801</c:v>
                </c:pt>
                <c:pt idx="89">
                  <c:v>60.93222959640056</c:v>
                </c:pt>
                <c:pt idx="90">
                  <c:v>61.849022085583542</c:v>
                </c:pt>
                <c:pt idx="91">
                  <c:v>62.765510226170129</c:v>
                </c:pt>
                <c:pt idx="92">
                  <c:v>63.681618019443206</c:v>
                </c:pt>
                <c:pt idx="93">
                  <c:v>64.597260392651577</c:v>
                </c:pt>
                <c:pt idx="94">
                  <c:v>65.512341479665821</c:v>
                </c:pt>
                <c:pt idx="95">
                  <c:v>66.426752509376342</c:v>
                </c:pt>
                <c:pt idx="96">
                  <c:v>67.340369193639333</c:v>
                </c:pt>
                <c:pt idx="97">
                  <c:v>68.253048471432692</c:v>
                </c:pt>
                <c:pt idx="98">
                  <c:v>69.164624417501841</c:v>
                </c:pt>
                <c:pt idx="99">
                  <c:v>70.074903056441116</c:v>
                </c:pt>
                <c:pt idx="100">
                  <c:v>70.983655728376135</c:v>
                </c:pt>
                <c:pt idx="101">
                  <c:v>71.890610517374313</c:v>
                </c:pt>
                <c:pt idx="102">
                  <c:v>72.795441058844872</c:v>
                </c:pt>
                <c:pt idx="103">
                  <c:v>73.697751757183326</c:v>
                </c:pt>
                <c:pt idx="104">
                  <c:v>74.597058022142534</c:v>
                </c:pt>
                <c:pt idx="105">
                  <c:v>75.4927594959765</c:v>
                </c:pt>
                <c:pt idx="106">
                  <c:v>76.384103270661683</c:v>
                </c:pt>
                <c:pt idx="107">
                  <c:v>77.270132584698132</c:v>
                </c:pt>
                <c:pt idx="108">
                  <c:v>78.149614110019428</c:v>
                </c:pt>
                <c:pt idx="109">
                  <c:v>79.020933138625153</c:v>
                </c:pt>
                <c:pt idx="110">
                  <c:v>79.881939838201305</c:v>
                </c:pt>
                <c:pt idx="111">
                  <c:v>80.729719774766778</c:v>
                </c:pt>
                <c:pt idx="112">
                  <c:v>81.56024581909756</c:v>
                </c:pt>
                <c:pt idx="113">
                  <c:v>82.367843454993377</c:v>
                </c:pt>
                <c:pt idx="114">
                  <c:v>83.144365947907545</c:v>
                </c:pt>
                <c:pt idx="115">
                  <c:v>83.87793932440178</c:v>
                </c:pt>
                <c:pt idx="116">
                  <c:v>84.551153340067813</c:v>
                </c:pt>
                <c:pt idx="117">
                  <c:v>85.138832824032249</c:v>
                </c:pt>
                <c:pt idx="118">
                  <c:v>85.606490699643032</c:v>
                </c:pt>
                <c:pt idx="119">
                  <c:v>85.912697731635177</c:v>
                </c:pt>
                <c:pt idx="120">
                  <c:v>86.019999891250833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BD-4B1A-B8EF-041E85DD2312}"/>
            </c:ext>
          </c:extLst>
        </c:ser>
        <c:ser>
          <c:idx val="2"/>
          <c:order val="1"/>
          <c:tx>
            <c:strRef>
              <c:f>'Ej-2c_CMex'!$J$7</c:f>
              <c:strCache>
                <c:ptCount val="1"/>
                <c:pt idx="0">
                  <c:v>EQUI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'Ej-2c_CMex'!$K$10:$K$130</c:f>
              <c:numCache>
                <c:formatCode>0.00</c:formatCode>
                <c:ptCount val="121"/>
                <c:pt idx="0">
                  <c:v>-100.89275394569681</c:v>
                </c:pt>
                <c:pt idx="1">
                  <c:v>-100.46784130860644</c:v>
                </c:pt>
                <c:pt idx="2">
                  <c:v>-100.04993784934554</c:v>
                </c:pt>
                <c:pt idx="3">
                  <c:v>-99.638666472247749</c:v>
                </c:pt>
                <c:pt idx="4">
                  <c:v>-99.233667179093544</c:v>
                </c:pt>
                <c:pt idx="5">
                  <c:v>-98.834595891152787</c:v>
                </c:pt>
                <c:pt idx="6">
                  <c:v>-98.441123349246951</c:v>
                </c:pt>
                <c:pt idx="7">
                  <c:v>-98.052934085608555</c:v>
                </c:pt>
                <c:pt idx="8">
                  <c:v>-97.669725461785248</c:v>
                </c:pt>
                <c:pt idx="9">
                  <c:v>-97.291206767268747</c:v>
                </c:pt>
                <c:pt idx="10">
                  <c:v>-96.917098373930088</c:v>
                </c:pt>
                <c:pt idx="11">
                  <c:v>-96.547130941709852</c:v>
                </c:pt>
                <c:pt idx="12">
                  <c:v>-96.181044671350733</c:v>
                </c:pt>
                <c:pt idx="13">
                  <c:v>-95.818588600269749</c:v>
                </c:pt>
                <c:pt idx="14">
                  <c:v>-95.459519937950645</c:v>
                </c:pt>
                <c:pt idx="15">
                  <c:v>-95.103603437496659</c:v>
                </c:pt>
                <c:pt idx="16">
                  <c:v>-94.750610800219121</c:v>
                </c:pt>
                <c:pt idx="17">
                  <c:v>-94.400320110353235</c:v>
                </c:pt>
                <c:pt idx="18">
                  <c:v>-94.052515297186304</c:v>
                </c:pt>
                <c:pt idx="19">
                  <c:v>-93.706985622061026</c:v>
                </c:pt>
                <c:pt idx="20">
                  <c:v>-93.363525187875567</c:v>
                </c:pt>
                <c:pt idx="21">
                  <c:v>-93.021932468845847</c:v>
                </c:pt>
                <c:pt idx="22">
                  <c:v>-92.68200985842347</c:v>
                </c:pt>
                <c:pt idx="23">
                  <c:v>-92.343563233378447</c:v>
                </c:pt>
                <c:pt idx="24">
                  <c:v>-92.006401532156161</c:v>
                </c:pt>
                <c:pt idx="25">
                  <c:v>-91.670336345708478</c:v>
                </c:pt>
                <c:pt idx="26">
                  <c:v>-91.335181519075803</c:v>
                </c:pt>
                <c:pt idx="27">
                  <c:v>-91.000752762064366</c:v>
                </c:pt>
                <c:pt idx="28">
                  <c:v>-90.666867267418525</c:v>
                </c:pt>
                <c:pt idx="29">
                  <c:v>-90.333343334934725</c:v>
                </c:pt>
                <c:pt idx="30">
                  <c:v>-90</c:v>
                </c:pt>
                <c:pt idx="31">
                  <c:v>-89.666656665065275</c:v>
                </c:pt>
                <c:pt idx="32">
                  <c:v>-89.333132732581461</c:v>
                </c:pt>
                <c:pt idx="33">
                  <c:v>-88.99924723793562</c:v>
                </c:pt>
                <c:pt idx="34">
                  <c:v>-88.664818480924211</c:v>
                </c:pt>
                <c:pt idx="35">
                  <c:v>-88.329663654291522</c:v>
                </c:pt>
                <c:pt idx="36">
                  <c:v>-87.993598467843825</c:v>
                </c:pt>
                <c:pt idx="37">
                  <c:v>-87.656436766621553</c:v>
                </c:pt>
                <c:pt idx="38">
                  <c:v>-87.31799014157653</c:v>
                </c:pt>
                <c:pt idx="39">
                  <c:v>-86.978067531154153</c:v>
                </c:pt>
                <c:pt idx="40">
                  <c:v>-86.636474812124419</c:v>
                </c:pt>
                <c:pt idx="41">
                  <c:v>-86.293014377938974</c:v>
                </c:pt>
                <c:pt idx="42">
                  <c:v>-85.947484702813696</c:v>
                </c:pt>
                <c:pt idx="43">
                  <c:v>-85.599679889646765</c:v>
                </c:pt>
                <c:pt idx="44">
                  <c:v>-85.249389199780879</c:v>
                </c:pt>
                <c:pt idx="45">
                  <c:v>-84.896396562503341</c:v>
                </c:pt>
                <c:pt idx="46">
                  <c:v>-84.54048006204934</c:v>
                </c:pt>
                <c:pt idx="47">
                  <c:v>-84.181411399730251</c:v>
                </c:pt>
                <c:pt idx="48">
                  <c:v>-83.818955328649267</c:v>
                </c:pt>
                <c:pt idx="49">
                  <c:v>-83.452869058290133</c:v>
                </c:pt>
                <c:pt idx="50">
                  <c:v>-83.082901626069898</c:v>
                </c:pt>
                <c:pt idx="51">
                  <c:v>-82.708793232731239</c:v>
                </c:pt>
                <c:pt idx="52">
                  <c:v>-82.330274538214752</c:v>
                </c:pt>
                <c:pt idx="53">
                  <c:v>-81.947065914391445</c:v>
                </c:pt>
                <c:pt idx="54">
                  <c:v>-81.558876650753064</c:v>
                </c:pt>
                <c:pt idx="55">
                  <c:v>-81.165404108847198</c:v>
                </c:pt>
                <c:pt idx="56">
                  <c:v>-80.766332820906456</c:v>
                </c:pt>
                <c:pt idx="57">
                  <c:v>-80.361333527752237</c:v>
                </c:pt>
                <c:pt idx="58">
                  <c:v>-79.950062150654446</c:v>
                </c:pt>
                <c:pt idx="59">
                  <c:v>-79.532158691393562</c:v>
                </c:pt>
                <c:pt idx="60">
                  <c:v>-79.107246054303175</c:v>
                </c:pt>
                <c:pt idx="61">
                  <c:v>-78.674928783565136</c:v>
                </c:pt>
                <c:pt idx="62">
                  <c:v>-78.234791708485005</c:v>
                </c:pt>
                <c:pt idx="63">
                  <c:v>-77.786398488894406</c:v>
                </c:pt>
                <c:pt idx="64">
                  <c:v>-77.329290052206161</c:v>
                </c:pt>
                <c:pt idx="65">
                  <c:v>-76.862982912990972</c:v>
                </c:pt>
                <c:pt idx="66">
                  <c:v>-76.386967365254065</c:v>
                </c:pt>
                <c:pt idx="67">
                  <c:v>-75.900705536868642</c:v>
                </c:pt>
                <c:pt idx="68">
                  <c:v>-75.403629294881128</c:v>
                </c:pt>
                <c:pt idx="69">
                  <c:v>-74.895137989647409</c:v>
                </c:pt>
                <c:pt idx="70">
                  <c:v>-74.374596025007492</c:v>
                </c:pt>
                <c:pt idx="71">
                  <c:v>-73.841330240976276</c:v>
                </c:pt>
                <c:pt idx="72">
                  <c:v>-73.294627094748904</c:v>
                </c:pt>
                <c:pt idx="73">
                  <c:v>-72.733729625226104</c:v>
                </c:pt>
                <c:pt idx="74">
                  <c:v>-72.157834185806436</c:v>
                </c:pt>
                <c:pt idx="75">
                  <c:v>-71.566086929930492</c:v>
                </c:pt>
                <c:pt idx="76">
                  <c:v>-70.957580033878898</c:v>
                </c:pt>
                <c:pt idx="77">
                  <c:v>-70.331347641725742</c:v>
                </c:pt>
                <c:pt idx="78">
                  <c:v>-69.686361518266153</c:v>
                </c:pt>
                <c:pt idx="79">
                  <c:v>-69.02152639734274</c:v>
                </c:pt>
                <c:pt idx="80">
                  <c:v>-68.335675015508571</c:v>
                </c:pt>
                <c:pt idx="81">
                  <c:v>-67.627562824657375</c:v>
                </c:pt>
                <c:pt idx="82">
                  <c:v>-66.895862382473751</c:v>
                </c:pt>
                <c:pt idx="83">
                  <c:v>-66.139157426735693</c:v>
                </c:pt>
                <c:pt idx="84">
                  <c:v>-65.355936649180734</c:v>
                </c:pt>
                <c:pt idx="85">
                  <c:v>-64.544587197488653</c:v>
                </c:pt>
                <c:pt idx="86">
                  <c:v>-63.703387950758071</c:v>
                </c:pt>
                <c:pt idx="87">
                  <c:v>-62.830502635655947</c:v>
                </c:pt>
                <c:pt idx="88">
                  <c:v>-61.923972878405841</c:v>
                </c:pt>
                <c:pt idx="89">
                  <c:v>-60.981711323381496</c:v>
                </c:pt>
                <c:pt idx="90">
                  <c:v>-60.001494993983066</c:v>
                </c:pt>
                <c:pt idx="91">
                  <c:v>-58.980959127630975</c:v>
                </c:pt>
                <c:pt idx="92">
                  <c:v>-57.917591786309373</c:v>
                </c:pt>
                <c:pt idx="93">
                  <c:v>-56.808729629492881</c:v>
                </c:pt>
                <c:pt idx="94">
                  <c:v>-55.651555339930219</c:v>
                </c:pt>
                <c:pt idx="95">
                  <c:v>-54.44309731691741</c:v>
                </c:pt>
                <c:pt idx="96">
                  <c:v>-53.180232398143872</c:v>
                </c:pt>
                <c:pt idx="97">
                  <c:v>-51.859692540661385</c:v>
                </c:pt>
                <c:pt idx="98">
                  <c:v>-50.478076582869306</c:v>
                </c:pt>
                <c:pt idx="99">
                  <c:v>-49.031868418487377</c:v>
                </c:pt>
                <c:pt idx="100">
                  <c:v>-47.517463131607421</c:v>
                </c:pt>
                <c:pt idx="101">
                  <c:v>-45.93120285383187</c:v>
                </c:pt>
                <c:pt idx="102">
                  <c:v>-44.269424286019621</c:v>
                </c:pt>
                <c:pt idx="103">
                  <c:v>-42.528519942436652</c:v>
                </c:pt>
                <c:pt idx="104">
                  <c:v>-40.705015174167457</c:v>
                </c:pt>
                <c:pt idx="105">
                  <c:v>-38.795662845742264</c:v>
                </c:pt>
                <c:pt idx="106">
                  <c:v>-36.797557093037263</c:v>
                </c:pt>
                <c:pt idx="107">
                  <c:v>-34.708266789727915</c:v>
                </c:pt>
                <c:pt idx="108">
                  <c:v>-32.525988101668489</c:v>
                </c:pt>
                <c:pt idx="109">
                  <c:v>-30.249713740001805</c:v>
                </c:pt>
                <c:pt idx="110">
                  <c:v>-27.879414208704492</c:v>
                </c:pt>
                <c:pt idx="111">
                  <c:v>-25.416223540742156</c:v>
                </c:pt>
                <c:pt idx="112">
                  <c:v>-22.862618917470154</c:v>
                </c:pt>
                <c:pt idx="113">
                  <c:v>-20.222580520399763</c:v>
                </c:pt>
                <c:pt idx="114">
                  <c:v>-17.50171549859672</c:v>
                </c:pt>
                <c:pt idx="115">
                  <c:v>-14.707328710754236</c:v>
                </c:pt>
                <c:pt idx="116">
                  <c:v>-11.848423613528603</c:v>
                </c:pt>
                <c:pt idx="117">
                  <c:v>-8.9356198740029633</c:v>
                </c:pt>
                <c:pt idx="118">
                  <c:v>-5.9809801902237387</c:v>
                </c:pt>
                <c:pt idx="119">
                  <c:v>-2.9977470722889459</c:v>
                </c:pt>
                <c:pt idx="120">
                  <c:v>-3.0001818524934805E-3</c:v>
                </c:pt>
              </c:numCache>
            </c:numRef>
          </c:xVal>
          <c:yVal>
            <c:numRef>
              <c:f>'Ej-2c_CMex'!$J$10:$J$130</c:f>
              <c:numCache>
                <c:formatCode>0.00</c:formatCode>
                <c:ptCount val="121"/>
                <c:pt idx="0">
                  <c:v>-28.125736373589874</c:v>
                </c:pt>
                <c:pt idx="1">
                  <c:v>-27.199253319737934</c:v>
                </c:pt>
                <c:pt idx="2">
                  <c:v>-26.271510297217446</c:v>
                </c:pt>
                <c:pt idx="3">
                  <c:v>-25.342576666592208</c:v>
                </c:pt>
                <c:pt idx="4">
                  <c:v>-24.412518458276125</c:v>
                </c:pt>
                <c:pt idx="5">
                  <c:v>-23.481398614000227</c:v>
                </c:pt>
                <c:pt idx="6">
                  <c:v>-22.549277210732271</c:v>
                </c:pt>
                <c:pt idx="7">
                  <c:v>-21.616211668604834</c:v>
                </c:pt>
                <c:pt idx="8">
                  <c:v>-20.682256944268858</c:v>
                </c:pt>
                <c:pt idx="9">
                  <c:v>-19.747465710959986</c:v>
                </c:pt>
                <c:pt idx="10">
                  <c:v>-18.811888526452194</c:v>
                </c:pt>
                <c:pt idx="11">
                  <c:v>-17.87557398996934</c:v>
                </c:pt>
                <c:pt idx="12">
                  <c:v>-16.938568889033249</c:v>
                </c:pt>
                <c:pt idx="13">
                  <c:v>-16.000918337143332</c:v>
                </c:pt>
                <c:pt idx="14">
                  <c:v>-15.062665903108353</c:v>
                </c:pt>
                <c:pt idx="15">
                  <c:v>-14.123853732783402</c:v>
                </c:pt>
                <c:pt idx="16">
                  <c:v>-13.184522663905156</c:v>
                </c:pt>
                <c:pt idx="17">
                  <c:v>-12.244712334664186</c:v>
                </c:pt>
                <c:pt idx="18">
                  <c:v>-11.304461286604621</c:v>
                </c:pt>
                <c:pt idx="19">
                  <c:v>-10.363807062397825</c:v>
                </c:pt>
                <c:pt idx="20">
                  <c:v>-9.4227862989986306</c:v>
                </c:pt>
                <c:pt idx="21">
                  <c:v>-8.4814348166572842</c:v>
                </c:pt>
                <c:pt idx="22">
                  <c:v>-7.5397877042301218</c:v>
                </c:pt>
                <c:pt idx="23">
                  <c:v>-6.5978794012046222</c:v>
                </c:pt>
                <c:pt idx="24">
                  <c:v>-5.6557437768308603</c:v>
                </c:pt>
                <c:pt idx="25">
                  <c:v>-4.7134142067299933</c:v>
                </c:pt>
                <c:pt idx="26">
                  <c:v>-3.7709236473330776</c:v>
                </c:pt>
                <c:pt idx="27">
                  <c:v>-2.8283047084874795</c:v>
                </c:pt>
                <c:pt idx="28">
                  <c:v>-1.8855897245556577</c:v>
                </c:pt>
                <c:pt idx="29">
                  <c:v>-0.94281082432004837</c:v>
                </c:pt>
                <c:pt idx="30">
                  <c:v>0</c:v>
                </c:pt>
                <c:pt idx="31">
                  <c:v>0.94281082432004837</c:v>
                </c:pt>
                <c:pt idx="32">
                  <c:v>1.8855897245556577</c:v>
                </c:pt>
                <c:pt idx="33">
                  <c:v>2.8283047084874937</c:v>
                </c:pt>
                <c:pt idx="34">
                  <c:v>3.7709236473330634</c:v>
                </c:pt>
                <c:pt idx="35">
                  <c:v>4.7134142067299933</c:v>
                </c:pt>
                <c:pt idx="36">
                  <c:v>5.6557437768308603</c:v>
                </c:pt>
                <c:pt idx="37">
                  <c:v>6.5978794012046365</c:v>
                </c:pt>
                <c:pt idx="38">
                  <c:v>7.5397877042301218</c:v>
                </c:pt>
                <c:pt idx="39">
                  <c:v>8.4814348166572984</c:v>
                </c:pt>
                <c:pt idx="40">
                  <c:v>9.4227862989986448</c:v>
                </c:pt>
                <c:pt idx="41">
                  <c:v>10.363807062397825</c:v>
                </c:pt>
                <c:pt idx="42">
                  <c:v>11.304461286604621</c:v>
                </c:pt>
                <c:pt idx="43">
                  <c:v>12.244712334664186</c:v>
                </c:pt>
                <c:pt idx="44">
                  <c:v>13.184522663905156</c:v>
                </c:pt>
                <c:pt idx="45">
                  <c:v>14.123853732783402</c:v>
                </c:pt>
                <c:pt idx="46">
                  <c:v>15.062665903108368</c:v>
                </c:pt>
                <c:pt idx="47">
                  <c:v>16.000918337143347</c:v>
                </c:pt>
                <c:pt idx="48">
                  <c:v>16.938568889033249</c:v>
                </c:pt>
                <c:pt idx="49">
                  <c:v>17.875573989969354</c:v>
                </c:pt>
                <c:pt idx="50">
                  <c:v>18.811888526452208</c:v>
                </c:pt>
                <c:pt idx="51">
                  <c:v>19.74746571096</c:v>
                </c:pt>
                <c:pt idx="52">
                  <c:v>20.682256944268843</c:v>
                </c:pt>
                <c:pt idx="53">
                  <c:v>21.616211668604834</c:v>
                </c:pt>
                <c:pt idx="54">
                  <c:v>22.549277210732257</c:v>
                </c:pt>
                <c:pt idx="55">
                  <c:v>23.481398614000241</c:v>
                </c:pt>
                <c:pt idx="56">
                  <c:v>24.412518458276125</c:v>
                </c:pt>
                <c:pt idx="57">
                  <c:v>25.342576666592237</c:v>
                </c:pt>
                <c:pt idx="58">
                  <c:v>26.271510297217453</c:v>
                </c:pt>
                <c:pt idx="59">
                  <c:v>27.199253319737942</c:v>
                </c:pt>
                <c:pt idx="60">
                  <c:v>28.125736373589902</c:v>
                </c:pt>
                <c:pt idx="61">
                  <c:v>29.050886507329288</c:v>
                </c:pt>
                <c:pt idx="62">
                  <c:v>29.974626896749001</c:v>
                </c:pt>
                <c:pt idx="63">
                  <c:v>30.89687653975836</c:v>
                </c:pt>
                <c:pt idx="64">
                  <c:v>31.817549925723796</c:v>
                </c:pt>
                <c:pt idx="65">
                  <c:v>32.736556676728213</c:v>
                </c:pt>
                <c:pt idx="66">
                  <c:v>33.653801157938815</c:v>
                </c:pt>
                <c:pt idx="67">
                  <c:v>34.569182053975688</c:v>
                </c:pt>
                <c:pt idx="68">
                  <c:v>35.482591907842334</c:v>
                </c:pt>
                <c:pt idx="69">
                  <c:v>36.39391661861297</c:v>
                </c:pt>
                <c:pt idx="70">
                  <c:v>37.303034893663799</c:v>
                </c:pt>
                <c:pt idx="71">
                  <c:v>38.209817650785304</c:v>
                </c:pt>
                <c:pt idx="72">
                  <c:v>39.114127365013566</c:v>
                </c:pt>
                <c:pt idx="73">
                  <c:v>40.015817354468609</c:v>
                </c:pt>
                <c:pt idx="74">
                  <c:v>40.914730998881993</c:v>
                </c:pt>
                <c:pt idx="75">
                  <c:v>41.810700883830016</c:v>
                </c:pt>
                <c:pt idx="76">
                  <c:v>42.70354786296194</c:v>
                </c:pt>
                <c:pt idx="77">
                  <c:v>43.593080029719914</c:v>
                </c:pt>
                <c:pt idx="78">
                  <c:v>44.479091589189856</c:v>
                </c:pt>
                <c:pt idx="79">
                  <c:v>45.361361619801073</c:v>
                </c:pt>
                <c:pt idx="80">
                  <c:v>46.239652713611846</c:v>
                </c:pt>
                <c:pt idx="81">
                  <c:v>47.113709482886527</c:v>
                </c:pt>
                <c:pt idx="82">
                  <c:v>47.983256919603008</c:v>
                </c:pt>
                <c:pt idx="83">
                  <c:v>48.847998593449702</c:v>
                </c:pt>
                <c:pt idx="84">
                  <c:v>49.707614672812532</c:v>
                </c:pt>
                <c:pt idx="85">
                  <c:v>50.561759752264535</c:v>
                </c:pt>
                <c:pt idx="86">
                  <c:v>51.410060469219189</c:v>
                </c:pt>
                <c:pt idx="87">
                  <c:v>52.252112891789395</c:v>
                </c:pt>
                <c:pt idx="88">
                  <c:v>53.087479659629729</c:v>
                </c:pt>
                <c:pt idx="89">
                  <c:v>53.915686859800886</c:v>
                </c:pt>
                <c:pt idx="90">
                  <c:v>54.736220620699484</c:v>
                </c:pt>
                <c:pt idx="91">
                  <c:v>55.548523409132727</c:v>
                </c:pt>
                <c:pt idx="92">
                  <c:v>56.351990019053666</c:v>
                </c:pt>
                <c:pt idx="93">
                  <c:v>57.145963245777175</c:v>
                </c:pt>
                <c:pt idx="94">
                  <c:v>57.929729247255004</c:v>
                </c:pt>
                <c:pt idx="95">
                  <c:v>58.702512604921807</c:v>
                </c:pt>
                <c:pt idx="96">
                  <c:v>59.463471111601656</c:v>
                </c:pt>
                <c:pt idx="97">
                  <c:v>60.211690334010719</c:v>
                </c:pt>
                <c:pt idx="98">
                  <c:v>60.946178023669376</c:v>
                </c:pt>
                <c:pt idx="99">
                  <c:v>61.665858483812357</c:v>
                </c:pt>
                <c:pt idx="100">
                  <c:v>62.369567042435882</c:v>
                </c:pt>
                <c:pt idx="101">
                  <c:v>63.056044834091509</c:v>
                </c:pt>
                <c:pt idx="102">
                  <c:v>63.723934156186687</c:v>
                </c:pt>
                <c:pt idx="103">
                  <c:v>64.371774739398234</c:v>
                </c:pt>
                <c:pt idx="104">
                  <c:v>64.998001355104762</c:v>
                </c:pt>
                <c:pt idx="105">
                  <c:v>65.60094327232045</c:v>
                </c:pt>
                <c:pt idx="106">
                  <c:v>66.178826166557926</c:v>
                </c:pt>
                <c:pt idx="107">
                  <c:v>66.729777163840552</c:v>
                </c:pt>
                <c:pt idx="108">
                  <c:v>67.251833760857295</c:v>
                </c:pt>
                <c:pt idx="109">
                  <c:v>67.742957378443492</c:v>
                </c:pt>
                <c:pt idx="110">
                  <c:v>68.201052257453327</c:v>
                </c:pt>
                <c:pt idx="111">
                  <c:v>68.623990268683585</c:v>
                </c:pt>
                <c:pt idx="112">
                  <c:v>69.009641958424055</c:v>
                </c:pt>
                <c:pt idx="113">
                  <c:v>69.355913772678264</c:v>
                </c:pt>
                <c:pt idx="114">
                  <c:v>69.660790895847327</c:v>
                </c:pt>
                <c:pt idx="115">
                  <c:v>69.922384527313454</c:v>
                </c:pt>
                <c:pt idx="116">
                  <c:v>70.138981755758749</c:v>
                </c:pt>
                <c:pt idx="117">
                  <c:v>70.309095561217205</c:v>
                </c:pt>
                <c:pt idx="118">
                  <c:v>70.43151198701473</c:v>
                </c:pt>
                <c:pt idx="119">
                  <c:v>70.505331291074896</c:v>
                </c:pt>
                <c:pt idx="120">
                  <c:v>70.529999975315633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BD-4B1A-B8EF-041E85DD2312}"/>
            </c:ext>
          </c:extLst>
        </c:ser>
        <c:ser>
          <c:idx val="4"/>
          <c:order val="2"/>
          <c:tx>
            <c:strRef>
              <c:f>'Ej-2c_CMex'!$P$7</c:f>
              <c:strCache>
                <c:ptCount val="1"/>
                <c:pt idx="0">
                  <c:v>SINV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'Ej-2c_CMex'!$Q$10:$Q$130</c:f>
              <c:numCache>
                <c:formatCode>0.00</c:formatCode>
                <c:ptCount val="121"/>
                <c:pt idx="0">
                  <c:v>-74.368401639785873</c:v>
                </c:pt>
                <c:pt idx="1">
                  <c:v>-74.20701883914883</c:v>
                </c:pt>
                <c:pt idx="2">
                  <c:v>-74.041505278186477</c:v>
                </c:pt>
                <c:pt idx="3">
                  <c:v>-73.871908295268796</c:v>
                </c:pt>
                <c:pt idx="4">
                  <c:v>-73.698267660235743</c:v>
                </c:pt>
                <c:pt idx="5">
                  <c:v>-73.520616008623833</c:v>
                </c:pt>
                <c:pt idx="6">
                  <c:v>-73.338979231359914</c:v>
                </c:pt>
                <c:pt idx="7">
                  <c:v>-73.153376824316865</c:v>
                </c:pt>
                <c:pt idx="8">
                  <c:v>-72.963822201608835</c:v>
                </c:pt>
                <c:pt idx="9">
                  <c:v>-72.770322976051844</c:v>
                </c:pt>
                <c:pt idx="10">
                  <c:v>-72.572881209821915</c:v>
                </c:pt>
                <c:pt idx="11">
                  <c:v>-72.371493637997744</c:v>
                </c:pt>
                <c:pt idx="12">
                  <c:v>-72.16615186737279</c:v>
                </c:pt>
                <c:pt idx="13">
                  <c:v>-71.956842552655885</c:v>
                </c:pt>
                <c:pt idx="14">
                  <c:v>-71.743547551946179</c:v>
                </c:pt>
                <c:pt idx="15">
                  <c:v>-71.526244063162238</c:v>
                </c:pt>
                <c:pt idx="16">
                  <c:v>-71.304904742923469</c:v>
                </c:pt>
                <c:pt idx="17">
                  <c:v>-71.079497809221706</c:v>
                </c:pt>
                <c:pt idx="18">
                  <c:v>-70.849987129078926</c:v>
                </c:pt>
                <c:pt idx="19">
                  <c:v>-70.616332292261177</c:v>
                </c:pt>
                <c:pt idx="20">
                  <c:v>-70.378488672008004</c:v>
                </c:pt>
                <c:pt idx="21">
                  <c:v>-70.136407473637334</c:v>
                </c:pt>
                <c:pt idx="22">
                  <c:v>-69.890035771799461</c:v>
                </c:pt>
                <c:pt idx="23">
                  <c:v>-69.639316537075359</c:v>
                </c:pt>
                <c:pt idx="24">
                  <c:v>-69.38418865254711</c:v>
                </c:pt>
                <c:pt idx="25">
                  <c:v>-69.124586920907305</c:v>
                </c:pt>
                <c:pt idx="26">
                  <c:v>-68.860442062621672</c:v>
                </c:pt>
                <c:pt idx="27">
                  <c:v>-68.591680705612447</c:v>
                </c:pt>
                <c:pt idx="28">
                  <c:v>-68.318225366889934</c:v>
                </c:pt>
                <c:pt idx="29">
                  <c:v>-68.039994426524757</c:v>
                </c:pt>
                <c:pt idx="30">
                  <c:v>-67.756902094323877</c:v>
                </c:pt>
                <c:pt idx="31">
                  <c:v>-67.468858369548826</c:v>
                </c:pt>
                <c:pt idx="32">
                  <c:v>-67.17576899399451</c:v>
                </c:pt>
                <c:pt idx="33">
                  <c:v>-66.877535398731638</c:v>
                </c:pt>
                <c:pt idx="34">
                  <c:v>-66.574054644804477</c:v>
                </c:pt>
                <c:pt idx="35">
                  <c:v>-66.265219358169119</c:v>
                </c:pt>
                <c:pt idx="36">
                  <c:v>-65.950917659154442</c:v>
                </c:pt>
                <c:pt idx="37">
                  <c:v>-65.631033086729985</c:v>
                </c:pt>
                <c:pt idx="38">
                  <c:v>-65.305444517871109</c:v>
                </c:pt>
                <c:pt idx="39">
                  <c:v>-64.974026082322069</c:v>
                </c:pt>
                <c:pt idx="40">
                  <c:v>-64.636647073073348</c:v>
                </c:pt>
                <c:pt idx="41">
                  <c:v>-64.293171852889401</c:v>
                </c:pt>
                <c:pt idx="42">
                  <c:v>-63.943459757248881</c:v>
                </c:pt>
                <c:pt idx="43">
                  <c:v>-63.587364994089221</c:v>
                </c:pt>
                <c:pt idx="44">
                  <c:v>-63.224736540785472</c:v>
                </c:pt>
                <c:pt idx="45">
                  <c:v>-62.855418038834927</c:v>
                </c:pt>
                <c:pt idx="46">
                  <c:v>-62.479247686769391</c:v>
                </c:pt>
                <c:pt idx="47">
                  <c:v>-62.096058131873676</c:v>
                </c:pt>
                <c:pt idx="48">
                  <c:v>-61.705676361352737</c:v>
                </c:pt>
                <c:pt idx="49">
                  <c:v>-61.307923593664206</c:v>
                </c:pt>
                <c:pt idx="50">
                  <c:v>-60.902615170812922</c:v>
                </c:pt>
                <c:pt idx="51">
                  <c:v>-60.489560452497734</c:v>
                </c:pt>
                <c:pt idx="52">
                  <c:v>-60.068562713101038</c:v>
                </c:pt>
                <c:pt idx="53">
                  <c:v>-59.639419042625917</c:v>
                </c:pt>
                <c:pt idx="54">
                  <c:v>-59.201920252810517</c:v>
                </c:pt>
                <c:pt idx="55">
                  <c:v>-58.755850789786905</c:v>
                </c:pt>
                <c:pt idx="56">
                  <c:v>-58.300988654804229</c:v>
                </c:pt>
                <c:pt idx="57">
                  <c:v>-57.837105334701697</c:v>
                </c:pt>
                <c:pt idx="58">
                  <c:v>-57.363965743998477</c:v>
                </c:pt>
                <c:pt idx="59">
                  <c:v>-56.881328180665918</c:v>
                </c:pt>
                <c:pt idx="60">
                  <c:v>-56.388944297861826</c:v>
                </c:pt>
                <c:pt idx="61">
                  <c:v>-55.886559094138846</c:v>
                </c:pt>
                <c:pt idx="62">
                  <c:v>-55.373910924889671</c:v>
                </c:pt>
                <c:pt idx="63">
                  <c:v>-54.850731538060089</c:v>
                </c:pt>
                <c:pt idx="64">
                  <c:v>-54.316746137448462</c:v>
                </c:pt>
                <c:pt idx="65">
                  <c:v>-53.771673477215309</c:v>
                </c:pt>
                <c:pt idx="66">
                  <c:v>-53.215225991550376</c:v>
                </c:pt>
                <c:pt idx="67">
                  <c:v>-52.647109963783372</c:v>
                </c:pt>
                <c:pt idx="68">
                  <c:v>-52.067025739580103</c:v>
                </c:pt>
                <c:pt idx="69">
                  <c:v>-51.474667989232636</c:v>
                </c:pt>
                <c:pt idx="70">
                  <c:v>-50.869726024428253</c:v>
                </c:pt>
                <c:pt idx="71">
                  <c:v>-50.251884175265417</c:v>
                </c:pt>
                <c:pt idx="72">
                  <c:v>-49.620822233664946</c:v>
                </c:pt>
                <c:pt idx="73">
                  <c:v>-48.97621596970221</c:v>
                </c:pt>
                <c:pt idx="74">
                  <c:v>-48.317737727745317</c:v>
                </c:pt>
                <c:pt idx="75">
                  <c:v>-47.645057109621348</c:v>
                </c:pt>
                <c:pt idx="76">
                  <c:v>-46.957841752332435</c:v>
                </c:pt>
                <c:pt idx="77">
                  <c:v>-46.255758208093624</c:v>
                </c:pt>
                <c:pt idx="78">
                  <c:v>-45.538472934648127</c:v>
                </c:pt>
                <c:pt idx="79">
                  <c:v>-44.805653403914185</c:v>
                </c:pt>
                <c:pt idx="80">
                  <c:v>-44.056969337010642</c:v>
                </c:pt>
                <c:pt idx="81">
                  <c:v>-43.292094073570773</c:v>
                </c:pt>
                <c:pt idx="82">
                  <c:v>-42.510706082960191</c:v>
                </c:pt>
                <c:pt idx="83">
                  <c:v>-41.712490624534162</c:v>
                </c:pt>
                <c:pt idx="84">
                  <c:v>-40.897141563373594</c:v>
                </c:pt>
                <c:pt idx="85">
                  <c:v>-40.064363346990831</c:v>
                </c:pt>
                <c:pt idx="86">
                  <c:v>-39.213873147264678</c:v>
                </c:pt>
                <c:pt idx="87">
                  <c:v>-38.345403170312196</c:v>
                </c:pt>
                <c:pt idx="88">
                  <c:v>-37.45870313510013</c:v>
                </c:pt>
                <c:pt idx="89">
                  <c:v>-36.55354291930864</c:v>
                </c:pt>
                <c:pt idx="90">
                  <c:v>-35.62971536825917</c:v>
                </c:pt>
                <c:pt idx="91">
                  <c:v>-34.687039259585234</c:v>
                </c:pt>
                <c:pt idx="92">
                  <c:v>-33.725362412746946</c:v>
                </c:pt>
                <c:pt idx="93">
                  <c:v>-32.744564928471718</c:v>
                </c:pt>
                <c:pt idx="94">
                  <c:v>-31.744562538757208</c:v>
                </c:pt>
                <c:pt idx="95">
                  <c:v>-30.725310043234234</c:v>
                </c:pt>
                <c:pt idx="96">
                  <c:v>-29.686804802515642</c:v>
                </c:pt>
                <c:pt idx="97">
                  <c:v>-28.629090253729746</c:v>
                </c:pt>
                <c:pt idx="98">
                  <c:v>-27.552259407868142</c:v>
                </c:pt>
                <c:pt idx="99">
                  <c:v>-26.456458283002039</c:v>
                </c:pt>
                <c:pt idx="100">
                  <c:v>-25.341889222014832</c:v>
                </c:pt>
                <c:pt idx="101">
                  <c:v>-24.20881403844853</c:v>
                </c:pt>
                <c:pt idx="102">
                  <c:v>-23.057556929611195</c:v>
                </c:pt>
                <c:pt idx="103">
                  <c:v>-21.888507092468686</c:v>
                </c:pt>
                <c:pt idx="104">
                  <c:v>-20.702120975325052</c:v>
                </c:pt>
                <c:pt idx="105">
                  <c:v>-19.498924097135607</c:v>
                </c:pt>
                <c:pt idx="106">
                  <c:v>-18.279512366757608</c:v>
                </c:pt>
                <c:pt idx="107">
                  <c:v>-17.044552836751386</c:v>
                </c:pt>
                <c:pt idx="108">
                  <c:v>-15.794783830699552</c:v>
                </c:pt>
                <c:pt idx="109">
                  <c:v>-14.531014389532762</c:v>
                </c:pt>
                <c:pt idx="110">
                  <c:v>-13.254122991112126</c:v>
                </c:pt>
                <c:pt idx="111">
                  <c:v>-11.965055508268509</c:v>
                </c:pt>
                <c:pt idx="112">
                  <c:v>-10.664822383515578</c:v>
                </c:pt>
                <c:pt idx="113">
                  <c:v>-9.354495013482337</c:v>
                </c:pt>
                <c:pt idx="114">
                  <c:v>-8.035201352390537</c:v>
                </c:pt>
                <c:pt idx="115">
                  <c:v>-6.7081207611887415</c:v>
                </c:pt>
                <c:pt idx="116">
                  <c:v>-5.3744781466549885</c:v>
                </c:pt>
                <c:pt idx="117">
                  <c:v>-4.0355374523288967</c:v>
                </c:pt>
                <c:pt idx="118">
                  <c:v>-2.6925945798089361</c:v>
                </c:pt>
                <c:pt idx="119">
                  <c:v>-1.3469698341348708</c:v>
                </c:pt>
                <c:pt idx="120">
                  <c:v>-1.3471942150837801E-3</c:v>
                </c:pt>
              </c:numCache>
            </c:numRef>
          </c:xVal>
          <c:yVal>
            <c:numRef>
              <c:f>'Ej-2c_CMex'!$P$10:$P$130</c:f>
              <c:numCache>
                <c:formatCode>0.00</c:formatCode>
                <c:ptCount val="121"/>
                <c:pt idx="0">
                  <c:v>-34.410273666894966</c:v>
                </c:pt>
                <c:pt idx="1">
                  <c:v>-33.502685848942136</c:v>
                </c:pt>
                <c:pt idx="2">
                  <c:v>-32.595830098746788</c:v>
                </c:pt>
                <c:pt idx="3">
                  <c:v>-31.689732468679466</c:v>
                </c:pt>
                <c:pt idx="4">
                  <c:v>-30.784419374672026</c:v>
                </c:pt>
                <c:pt idx="5">
                  <c:v>-29.87991763481574</c:v>
                </c:pt>
                <c:pt idx="6">
                  <c:v>-28.976254507302926</c:v>
                </c:pt>
                <c:pt idx="7">
                  <c:v>-28.073457727906415</c:v>
                </c:pt>
                <c:pt idx="8">
                  <c:v>-27.171555547177334</c:v>
                </c:pt>
                <c:pt idx="9">
                  <c:v>-26.270576767525512</c:v>
                </c:pt>
                <c:pt idx="10">
                  <c:v>-25.370550780336202</c:v>
                </c:pt>
                <c:pt idx="11">
                  <c:v>-24.471507603266176</c:v>
                </c:pt>
                <c:pt idx="12">
                  <c:v>-23.573477917854191</c:v>
                </c:pt>
                <c:pt idx="13">
                  <c:v>-22.676493107573336</c:v>
                </c:pt>
                <c:pt idx="14">
                  <c:v>-21.780585296447214</c:v>
                </c:pt>
                <c:pt idx="15">
                  <c:v>-20.885787388347367</c:v>
                </c:pt>
                <c:pt idx="16">
                  <c:v>-19.992133107084769</c:v>
                </c:pt>
                <c:pt idx="17">
                  <c:v>-19.099657037406345</c:v>
                </c:pt>
                <c:pt idx="18">
                  <c:v>-18.208394667004228</c:v>
                </c:pt>
                <c:pt idx="19">
                  <c:v>-17.318382429644743</c:v>
                </c:pt>
                <c:pt idx="20">
                  <c:v>-16.429657749522704</c:v>
                </c:pt>
                <c:pt idx="21">
                  <c:v>-15.542259086946473</c:v>
                </c:pt>
                <c:pt idx="22">
                  <c:v>-14.656225985459059</c:v>
                </c:pt>
                <c:pt idx="23">
                  <c:v>-13.771599120501847</c:v>
                </c:pt>
                <c:pt idx="24">
                  <c:v>-12.888420349727397</c:v>
                </c:pt>
                <c:pt idx="25">
                  <c:v>-12.006732765070097</c:v>
                </c:pt>
                <c:pt idx="26">
                  <c:v>-11.126580746684766</c:v>
                </c:pt>
                <c:pt idx="27">
                  <c:v>-10.248010018864974</c:v>
                </c:pt>
                <c:pt idx="28">
                  <c:v>-9.3710677080558042</c:v>
                </c:pt>
                <c:pt idx="29">
                  <c:v>-8.4958024030775192</c:v>
                </c:pt>
                <c:pt idx="30">
                  <c:v>-7.6222642176800122</c:v>
                </c:pt>
                <c:pt idx="31">
                  <c:v>-6.7505048555503464</c:v>
                </c:pt>
                <c:pt idx="32">
                  <c:v>-5.8805776778987848</c:v>
                </c:pt>
                <c:pt idx="33">
                  <c:v>-5.0125377737521575</c:v>
                </c:pt>
                <c:pt idx="34">
                  <c:v>-4.1464420330864868</c:v>
                </c:pt>
                <c:pt idx="35">
                  <c:v>-3.2823492229338882</c:v>
                </c:pt>
                <c:pt idx="36">
                  <c:v>-2.4203200666027698</c:v>
                </c:pt>
                <c:pt idx="37">
                  <c:v>-1.560417326152475</c:v>
                </c:pt>
                <c:pt idx="38">
                  <c:v>-0.70270588826787161</c:v>
                </c:pt>
                <c:pt idx="39">
                  <c:v>0.15274714631833319</c:v>
                </c:pt>
                <c:pt idx="40">
                  <c:v>1.0058723697049459</c:v>
                </c:pt>
                <c:pt idx="41">
                  <c:v>1.8565979698497586</c:v>
                </c:pt>
                <c:pt idx="42">
                  <c:v>2.7048496295902567</c:v>
                </c:pt>
                <c:pt idx="43">
                  <c:v>3.5505504215002333</c:v>
                </c:pt>
                <c:pt idx="44">
                  <c:v>4.3936206984247832</c:v>
                </c:pt>
                <c:pt idx="45">
                  <c:v>5.2339779795351831</c:v>
                </c:pt>
                <c:pt idx="46">
                  <c:v>6.0715368317463998</c:v>
                </c:pt>
                <c:pt idx="47">
                  <c:v>6.9062087463408659</c:v>
                </c:pt>
                <c:pt idx="48">
                  <c:v>7.7379020106460246</c:v>
                </c:pt>
                <c:pt idx="49">
                  <c:v>8.5665215746158765</c:v>
                </c:pt>
                <c:pt idx="50">
                  <c:v>9.3919689121745336</c:v>
                </c:pt>
                <c:pt idx="51">
                  <c:v>10.214141877185668</c:v>
                </c:pt>
                <c:pt idx="52">
                  <c:v>11.032934553923283</c:v>
                </c:pt>
                <c:pt idx="53">
                  <c:v>11.848237101930494</c:v>
                </c:pt>
                <c:pt idx="54">
                  <c:v>12.659935595169244</c:v>
                </c:pt>
                <c:pt idx="55">
                  <c:v>13.467911855381786</c:v>
                </c:pt>
                <c:pt idx="56">
                  <c:v>14.272043279607331</c:v>
                </c:pt>
                <c:pt idx="57">
                  <c:v>15.072202661823752</c:v>
                </c:pt>
                <c:pt idx="58">
                  <c:v>15.868258008714832</c:v>
                </c:pt>
                <c:pt idx="59">
                  <c:v>16.660072349600924</c:v>
                </c:pt>
                <c:pt idx="60">
                  <c:v>17.447503540611791</c:v>
                </c:pt>
                <c:pt idx="61">
                  <c:v>18.230404063230679</c:v>
                </c:pt>
                <c:pt idx="62">
                  <c:v>19.008620817393748</c:v>
                </c:pt>
                <c:pt idx="63">
                  <c:v>19.781994909394058</c:v>
                </c:pt>
                <c:pt idx="64">
                  <c:v>20.550361434912219</c:v>
                </c:pt>
                <c:pt idx="65">
                  <c:v>21.313549257579197</c:v>
                </c:pt>
                <c:pt idx="66">
                  <c:v>22.07138078357049</c:v>
                </c:pt>
                <c:pt idx="67">
                  <c:v>22.82367173283717</c:v>
                </c:pt>
                <c:pt idx="68">
                  <c:v>23.570230907697734</c:v>
                </c:pt>
                <c:pt idx="69">
                  <c:v>24.310859959646649</c:v>
                </c:pt>
                <c:pt idx="70">
                  <c:v>25.045353155384277</c:v>
                </c:pt>
                <c:pt idx="71">
                  <c:v>25.773497143234351</c:v>
                </c:pt>
                <c:pt idx="72">
                  <c:v>26.495070721296919</c:v>
                </c:pt>
                <c:pt idx="73">
                  <c:v>27.209844608881085</c:v>
                </c:pt>
                <c:pt idx="74">
                  <c:v>27.917581222978889</c:v>
                </c:pt>
                <c:pt idx="75">
                  <c:v>28.618034461775743</c:v>
                </c:pt>
                <c:pt idx="76">
                  <c:v>29.310949497447474</c:v>
                </c:pt>
                <c:pt idx="77">
                  <c:v>29.996062580766349</c:v>
                </c:pt>
                <c:pt idx="78">
                  <c:v>30.673100860329683</c:v>
                </c:pt>
                <c:pt idx="79">
                  <c:v>31.341782219533727</c:v>
                </c:pt>
                <c:pt idx="80">
                  <c:v>32.0018151347386</c:v>
                </c:pt>
                <c:pt idx="81">
                  <c:v>32.652898558408346</c:v>
                </c:pt>
                <c:pt idx="82">
                  <c:v>33.294721831355695</c:v>
                </c:pt>
                <c:pt idx="83">
                  <c:v>33.926964628574645</c:v>
                </c:pt>
                <c:pt idx="84">
                  <c:v>34.549296943494092</c:v>
                </c:pt>
                <c:pt idx="85">
                  <c:v>35.161379115831174</c:v>
                </c:pt>
                <c:pt idx="86">
                  <c:v>35.762861908550668</c:v>
                </c:pt>
                <c:pt idx="87">
                  <c:v>36.353386639739426</c:v>
                </c:pt>
                <c:pt idx="88">
                  <c:v>36.932585375469621</c:v>
                </c:pt>
                <c:pt idx="89">
                  <c:v>37.50008118993842</c:v>
                </c:pt>
                <c:pt idx="90">
                  <c:v>38.055488499318386</c:v>
                </c:pt>
                <c:pt idx="91">
                  <c:v>38.598413475817374</c:v>
                </c:pt>
                <c:pt idx="92">
                  <c:v>39.128454548408783</c:v>
                </c:pt>
                <c:pt idx="93">
                  <c:v>39.645202996534053</c:v>
                </c:pt>
                <c:pt idx="94">
                  <c:v>40.148243642778901</c:v>
                </c:pt>
                <c:pt idx="95">
                  <c:v>40.637155650062624</c:v>
                </c:pt>
                <c:pt idx="96">
                  <c:v>41.111513428235085</c:v>
                </c:pt>
                <c:pt idx="97">
                  <c:v>41.570887654131923</c:v>
                </c:pt>
                <c:pt idx="98">
                  <c:v>42.014846408077581</c:v>
                </c:pt>
                <c:pt idx="99">
                  <c:v>42.442956428537855</c:v>
                </c:pt>
                <c:pt idx="100">
                  <c:v>42.854784485100012</c:v>
                </c:pt>
                <c:pt idx="101">
                  <c:v>43.24989886820191</c:v>
                </c:pt>
                <c:pt idx="102">
                  <c:v>43.627870992047768</c:v>
                </c:pt>
                <c:pt idx="103">
                  <c:v>43.988277104957106</c:v>
                </c:pt>
                <c:pt idx="104">
                  <c:v>44.330700099022657</c:v>
                </c:pt>
                <c:pt idx="105">
                  <c:v>44.65473140844351</c:v>
                </c:pt>
                <c:pt idx="106">
                  <c:v>44.959972983304397</c:v>
                </c:pt>
                <c:pt idx="107">
                  <c:v>45.246039322954417</c:v>
                </c:pt>
                <c:pt idx="108">
                  <c:v>45.512559550575133</c:v>
                </c:pt>
                <c:pt idx="109">
                  <c:v>45.759179508103628</c:v>
                </c:pt>
                <c:pt idx="110">
                  <c:v>45.985563848481284</c:v>
                </c:pt>
                <c:pt idx="111">
                  <c:v>46.191398100330787</c:v>
                </c:pt>
                <c:pt idx="112">
                  <c:v>46.376390678714422</c:v>
                </c:pt>
                <c:pt idx="113">
                  <c:v>46.54027481468566</c:v>
                </c:pt>
                <c:pt idx="114">
                  <c:v>46.682810375991217</c:v>
                </c:pt>
                <c:pt idx="115">
                  <c:v>46.803785551572936</c:v>
                </c:pt>
                <c:pt idx="116">
                  <c:v>46.903018373501695</c:v>
                </c:pt>
                <c:pt idx="117">
                  <c:v>46.980358051661348</c:v>
                </c:pt>
                <c:pt idx="118">
                  <c:v>47.035686098882557</c:v>
                </c:pt>
                <c:pt idx="119">
                  <c:v>47.068917227259583</c:v>
                </c:pt>
                <c:pt idx="120">
                  <c:v>47.079999988915787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BD-4B1A-B8EF-041E85DD2312}"/>
            </c:ext>
          </c:extLst>
        </c:ser>
        <c:ser>
          <c:idx val="5"/>
          <c:order val="3"/>
          <c:tx>
            <c:strRef>
              <c:f>'Ej-2c_CMex'!$W$9</c:f>
              <c:strCache>
                <c:ptCount val="1"/>
                <c:pt idx="0">
                  <c:v>w = -8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'Ej-2c_CMex'!$V$10:$V$14</c:f>
              <c:numCache>
                <c:formatCode>0.00</c:formatCode>
                <c:ptCount val="5"/>
                <c:pt idx="0">
                  <c:v>-123.61105570213815</c:v>
                </c:pt>
                <c:pt idx="1">
                  <c:v>-112.70378649194338</c:v>
                </c:pt>
                <c:pt idx="2">
                  <c:v>-100.89275394569681</c:v>
                </c:pt>
                <c:pt idx="3">
                  <c:v>-88.080752177931615</c:v>
                </c:pt>
                <c:pt idx="4">
                  <c:v>-74.368401639785873</c:v>
                </c:pt>
              </c:numCache>
            </c:numRef>
          </c:xVal>
          <c:yVal>
            <c:numRef>
              <c:f>'Ej-2c_CMex'!$W$10:$W$14</c:f>
              <c:numCache>
                <c:formatCode>0.00</c:formatCode>
                <c:ptCount val="5"/>
                <c:pt idx="0">
                  <c:v>-17.447503540611777</c:v>
                </c:pt>
                <c:pt idx="1">
                  <c:v>-22.322210227969606</c:v>
                </c:pt>
                <c:pt idx="2">
                  <c:v>-28.125736373589874</c:v>
                </c:pt>
                <c:pt idx="3">
                  <c:v>-31.958567949192528</c:v>
                </c:pt>
                <c:pt idx="4">
                  <c:v>-34.410273666894966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BD-4B1A-B8EF-041E85DD2312}"/>
            </c:ext>
          </c:extLst>
        </c:ser>
        <c:ser>
          <c:idx val="6"/>
          <c:order val="4"/>
          <c:tx>
            <c:strRef>
              <c:f>'Ej-2c_CMex'!$X$9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'Ej-2c_CMex'!$V$25:$V$29</c:f>
              <c:numCache>
                <c:formatCode>0.00</c:formatCode>
                <c:ptCount val="5"/>
                <c:pt idx="0">
                  <c:v>-117.14458196116506</c:v>
                </c:pt>
                <c:pt idx="1">
                  <c:v>-106.27203108909072</c:v>
                </c:pt>
                <c:pt idx="2">
                  <c:v>-95.103603437496659</c:v>
                </c:pt>
                <c:pt idx="3">
                  <c:v>-83.537728847177519</c:v>
                </c:pt>
                <c:pt idx="4">
                  <c:v>-71.526244063162238</c:v>
                </c:pt>
              </c:numCache>
            </c:numRef>
          </c:xVal>
          <c:yVal>
            <c:numRef>
              <c:f>'Ej-2c_CMex'!$X$25:$X$29</c:f>
              <c:numCache>
                <c:formatCode>0.00</c:formatCode>
                <c:ptCount val="5"/>
                <c:pt idx="0">
                  <c:v>-5.2339779795351831</c:v>
                </c:pt>
                <c:pt idx="1">
                  <c:v>-9.8571919381136297</c:v>
                </c:pt>
                <c:pt idx="2">
                  <c:v>-14.123853732783402</c:v>
                </c:pt>
                <c:pt idx="3">
                  <c:v>-17.858135700796851</c:v>
                </c:pt>
                <c:pt idx="4">
                  <c:v>-20.885787388347367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BD-4B1A-B8EF-041E85DD2312}"/>
            </c:ext>
          </c:extLst>
        </c:ser>
        <c:ser>
          <c:idx val="7"/>
          <c:order val="5"/>
          <c:tx>
            <c:strRef>
              <c:f>'Ej-2c_CMex'!$Y$9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'Ej-2c_CMex'!$V$40:$V$44</c:f>
              <c:numCache>
                <c:formatCode>0.00</c:formatCode>
                <c:ptCount val="5"/>
                <c:pt idx="0">
                  <c:v>-112.24309790567612</c:v>
                </c:pt>
                <c:pt idx="1">
                  <c:v>-101.07156700960884</c:v>
                </c:pt>
                <c:pt idx="2">
                  <c:v>-90</c:v>
                </c:pt>
                <c:pt idx="3">
                  <c:v>-78.928432990391158</c:v>
                </c:pt>
                <c:pt idx="4">
                  <c:v>-67.756902094323877</c:v>
                </c:pt>
              </c:numCache>
            </c:numRef>
          </c:xVal>
          <c:yVal>
            <c:numRef>
              <c:f>'Ej-2c_CMex'!$Y$40:$Y$44</c:f>
              <c:numCache>
                <c:formatCode>0.00</c:formatCode>
                <c:ptCount val="5"/>
                <c:pt idx="0">
                  <c:v>7.6222642176800122</c:v>
                </c:pt>
                <c:pt idx="1">
                  <c:v>3.8838516721804552</c:v>
                </c:pt>
                <c:pt idx="2">
                  <c:v>0</c:v>
                </c:pt>
                <c:pt idx="3">
                  <c:v>-3.883851672180441</c:v>
                </c:pt>
                <c:pt idx="4">
                  <c:v>-7.6222642176800122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BD-4B1A-B8EF-041E85DD2312}"/>
            </c:ext>
          </c:extLst>
        </c:ser>
        <c:ser>
          <c:idx val="8"/>
          <c:order val="6"/>
          <c:tx>
            <c:strRef>
              <c:f>'Ej-2c_CMex'!$Z$9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'Ej-2c_CMex'!$V$55:$V$59</c:f>
              <c:numCache>
                <c:formatCode>0.00</c:formatCode>
                <c:ptCount val="5"/>
                <c:pt idx="0">
                  <c:v>-108.47375593683776</c:v>
                </c:pt>
                <c:pt idx="1">
                  <c:v>-96.462271152822481</c:v>
                </c:pt>
                <c:pt idx="2">
                  <c:v>-84.896396562503341</c:v>
                </c:pt>
                <c:pt idx="3">
                  <c:v>-73.727968910909283</c:v>
                </c:pt>
                <c:pt idx="4">
                  <c:v>-62.855418038834927</c:v>
                </c:pt>
              </c:numCache>
            </c:numRef>
          </c:xVal>
          <c:yVal>
            <c:numRef>
              <c:f>'Ej-2c_CMex'!$Z$55:$Z$59</c:f>
              <c:numCache>
                <c:formatCode>0.00</c:formatCode>
                <c:ptCount val="5"/>
                <c:pt idx="0">
                  <c:v>20.885787388347367</c:v>
                </c:pt>
                <c:pt idx="1">
                  <c:v>17.858135700796836</c:v>
                </c:pt>
                <c:pt idx="2">
                  <c:v>14.123853732783402</c:v>
                </c:pt>
                <c:pt idx="3">
                  <c:v>9.8571919381136297</c:v>
                </c:pt>
                <c:pt idx="4">
                  <c:v>5.2339779795351831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BD-4B1A-B8EF-041E85DD2312}"/>
            </c:ext>
          </c:extLst>
        </c:ser>
        <c:ser>
          <c:idx val="9"/>
          <c:order val="7"/>
          <c:tx>
            <c:strRef>
              <c:f>'Ej-2c_CMex'!$AA$9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'Ej-2c_CMex'!$V$70:$V$74</c:f>
              <c:numCache>
                <c:formatCode>0.00</c:formatCode>
                <c:ptCount val="5"/>
                <c:pt idx="0">
                  <c:v>-105.63159836021411</c:v>
                </c:pt>
                <c:pt idx="1">
                  <c:v>-91.919247822068371</c:v>
                </c:pt>
                <c:pt idx="2">
                  <c:v>-79.107246054303175</c:v>
                </c:pt>
                <c:pt idx="3">
                  <c:v>-67.29621350805661</c:v>
                </c:pt>
                <c:pt idx="4">
                  <c:v>-56.388944297861826</c:v>
                </c:pt>
              </c:numCache>
            </c:numRef>
          </c:xVal>
          <c:yVal>
            <c:numRef>
              <c:f>'Ej-2c_CMex'!$AA$70:$AA$74</c:f>
              <c:numCache>
                <c:formatCode>0.00</c:formatCode>
                <c:ptCount val="5"/>
                <c:pt idx="0">
                  <c:v>34.410273666895002</c:v>
                </c:pt>
                <c:pt idx="1">
                  <c:v>31.958567949192556</c:v>
                </c:pt>
                <c:pt idx="2">
                  <c:v>28.125736373589902</c:v>
                </c:pt>
                <c:pt idx="3">
                  <c:v>23.193502967836096</c:v>
                </c:pt>
                <c:pt idx="4">
                  <c:v>17.447503540611791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BD-4B1A-B8EF-041E85DD2312}"/>
            </c:ext>
          </c:extLst>
        </c:ser>
        <c:ser>
          <c:idx val="10"/>
          <c:order val="8"/>
          <c:tx>
            <c:strRef>
              <c:f>'Ej-2c_CMex'!$AB$9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'Ej-2c_CMex'!$V$85:$V$89</c:f>
              <c:numCache>
                <c:formatCode>0.00</c:formatCode>
                <c:ptCount val="5"/>
                <c:pt idx="0">
                  <c:v>-103.76943184428926</c:v>
                </c:pt>
                <c:pt idx="1">
                  <c:v>-86.761410608834467</c:v>
                </c:pt>
                <c:pt idx="2">
                  <c:v>-71.566086929930492</c:v>
                </c:pt>
                <c:pt idx="3">
                  <c:v>-58.615047944628685</c:v>
                </c:pt>
                <c:pt idx="4">
                  <c:v>-47.645057109621348</c:v>
                </c:pt>
              </c:numCache>
            </c:numRef>
          </c:xVal>
          <c:yVal>
            <c:numRef>
              <c:f>'Ej-2c_CMex'!$AB$85:$AB$89</c:f>
              <c:numCache>
                <c:formatCode>0.00</c:formatCode>
                <c:ptCount val="5"/>
                <c:pt idx="0">
                  <c:v>48.094830669715506</c:v>
                </c:pt>
                <c:pt idx="1">
                  <c:v>46.09537791140734</c:v>
                </c:pt>
                <c:pt idx="2">
                  <c:v>41.810700883830016</c:v>
                </c:pt>
                <c:pt idx="3">
                  <c:v>35.804895613890679</c:v>
                </c:pt>
                <c:pt idx="4">
                  <c:v>28.618034461775743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3BD-4B1A-B8EF-041E85DD2312}"/>
            </c:ext>
          </c:extLst>
        </c:ser>
        <c:ser>
          <c:idx val="11"/>
          <c:order val="9"/>
          <c:tx>
            <c:strRef>
              <c:f>'Ej-2c_CMex'!$AC$9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'Ej-2c_CMex'!$V$100:$V$104</c:f>
              <c:numCache>
                <c:formatCode>0.00</c:formatCode>
                <c:ptCount val="5"/>
                <c:pt idx="0">
                  <c:v>-103.52958174146512</c:v>
                </c:pt>
                <c:pt idx="1">
                  <c:v>-79.46551418687632</c:v>
                </c:pt>
                <c:pt idx="2">
                  <c:v>-60.001494993983066</c:v>
                </c:pt>
                <c:pt idx="3">
                  <c:v>-45.911766440125575</c:v>
                </c:pt>
                <c:pt idx="4">
                  <c:v>-35.62971536825917</c:v>
                </c:pt>
              </c:numCache>
            </c:numRef>
          </c:xVal>
          <c:yVal>
            <c:numRef>
              <c:f>'Ej-2c_CMex'!$AC$100:$AC$104</c:f>
              <c:numCache>
                <c:formatCode>0.00</c:formatCode>
                <c:ptCount val="5"/>
                <c:pt idx="0">
                  <c:v>61.849022085583542</c:v>
                </c:pt>
                <c:pt idx="1">
                  <c:v>60.134859573221654</c:v>
                </c:pt>
                <c:pt idx="2">
                  <c:v>54.736220620699484</c:v>
                </c:pt>
                <c:pt idx="3">
                  <c:v>47.031763785355807</c:v>
                </c:pt>
                <c:pt idx="4">
                  <c:v>38.055488499318386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3BD-4B1A-B8EF-041E85DD2312}"/>
            </c:ext>
          </c:extLst>
        </c:ser>
        <c:ser>
          <c:idx val="12"/>
          <c:order val="10"/>
          <c:tx>
            <c:strRef>
              <c:f>'Ej-2c_CMex'!$AD$9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'Ej-2c_CMex'!$V$115:$V$119</c:f>
              <c:numCache>
                <c:formatCode>0.00</c:formatCode>
                <c:ptCount val="5"/>
                <c:pt idx="0">
                  <c:v>-108.58251426328621</c:v>
                </c:pt>
                <c:pt idx="1">
                  <c:v>-63.992043954640742</c:v>
                </c:pt>
                <c:pt idx="2">
                  <c:v>-38.795662845742264</c:v>
                </c:pt>
                <c:pt idx="3">
                  <c:v>-26.565286574438442</c:v>
                </c:pt>
                <c:pt idx="4">
                  <c:v>-19.498924097135607</c:v>
                </c:pt>
              </c:numCache>
            </c:numRef>
          </c:xVal>
          <c:yVal>
            <c:numRef>
              <c:f>'Ej-2c_CMex'!$AD$115:$AD$119</c:f>
              <c:numCache>
                <c:formatCode>0.00</c:formatCode>
                <c:ptCount val="5"/>
                <c:pt idx="0">
                  <c:v>75.4927594959765</c:v>
                </c:pt>
                <c:pt idx="1">
                  <c:v>73.621998438453886</c:v>
                </c:pt>
                <c:pt idx="2">
                  <c:v>65.60094327232045</c:v>
                </c:pt>
                <c:pt idx="3">
                  <c:v>55.482596858949329</c:v>
                </c:pt>
                <c:pt idx="4">
                  <c:v>44.65473140844351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3BD-4B1A-B8EF-041E85DD2312}"/>
            </c:ext>
          </c:extLst>
        </c:ser>
        <c:ser>
          <c:idx val="13"/>
          <c:order val="11"/>
          <c:tx>
            <c:strRef>
              <c:f>'Ej-2c_CMex'!$AE$9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'Ej-2c_CMex'!$V$131:$V$135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'Ej-2c_CMex'!$AE$131:$AE$135</c:f>
              <c:numCache>
                <c:formatCode>0.00</c:formatCode>
                <c:ptCount val="5"/>
                <c:pt idx="0">
                  <c:v>86.019999891250833</c:v>
                </c:pt>
                <c:pt idx="1">
                  <c:v>82.254999940221992</c:v>
                </c:pt>
                <c:pt idx="2">
                  <c:v>70.529999975315633</c:v>
                </c:pt>
                <c:pt idx="3">
                  <c:v>58.804999984446539</c:v>
                </c:pt>
                <c:pt idx="4">
                  <c:v>47.079999988915787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3BD-4B1A-B8EF-041E85DD2312}"/>
            </c:ext>
          </c:extLst>
        </c:ser>
        <c:ser>
          <c:idx val="14"/>
          <c:order val="12"/>
          <c:tx>
            <c:strRef>
              <c:f>'Ej-2c_CMex'!$AF$9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'Ej-2c_CMex'!$V$146:$V$150</c:f>
              <c:numCache>
                <c:formatCode>0.00</c:formatCode>
                <c:ptCount val="5"/>
                <c:pt idx="0">
                  <c:v>108.58251426328621</c:v>
                </c:pt>
                <c:pt idx="1">
                  <c:v>63.992043954640742</c:v>
                </c:pt>
                <c:pt idx="2">
                  <c:v>38.795662845742264</c:v>
                </c:pt>
                <c:pt idx="3">
                  <c:v>26.565286574438442</c:v>
                </c:pt>
                <c:pt idx="4">
                  <c:v>19.498924097135607</c:v>
                </c:pt>
              </c:numCache>
            </c:numRef>
          </c:xVal>
          <c:yVal>
            <c:numRef>
              <c:f>'Ej-2c_CMex'!$AF$146:$AF$150</c:f>
              <c:numCache>
                <c:formatCode>0.00</c:formatCode>
                <c:ptCount val="5"/>
                <c:pt idx="0">
                  <c:v>75.4927594959765</c:v>
                </c:pt>
                <c:pt idx="1">
                  <c:v>73.621998438453886</c:v>
                </c:pt>
                <c:pt idx="2">
                  <c:v>65.60094327232045</c:v>
                </c:pt>
                <c:pt idx="3">
                  <c:v>55.482596858949329</c:v>
                </c:pt>
                <c:pt idx="4">
                  <c:v>44.65473140844351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3BD-4B1A-B8EF-041E85DD2312}"/>
            </c:ext>
          </c:extLst>
        </c:ser>
        <c:ser>
          <c:idx val="15"/>
          <c:order val="13"/>
          <c:tx>
            <c:strRef>
              <c:f>'Ej-2c_CMex'!$AG$9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'Ej-2c_CMex'!$V$161:$V$165</c:f>
              <c:numCache>
                <c:formatCode>0.00</c:formatCode>
                <c:ptCount val="5"/>
                <c:pt idx="0">
                  <c:v>103.52958174146512</c:v>
                </c:pt>
                <c:pt idx="1">
                  <c:v>79.46551418687632</c:v>
                </c:pt>
                <c:pt idx="2">
                  <c:v>60.001494993983066</c:v>
                </c:pt>
                <c:pt idx="3">
                  <c:v>45.911766440125575</c:v>
                </c:pt>
                <c:pt idx="4">
                  <c:v>35.62971536825917</c:v>
                </c:pt>
              </c:numCache>
            </c:numRef>
          </c:xVal>
          <c:yVal>
            <c:numRef>
              <c:f>'Ej-2c_CMex'!$AG$161:$AG$165</c:f>
              <c:numCache>
                <c:formatCode>0.00</c:formatCode>
                <c:ptCount val="5"/>
                <c:pt idx="0">
                  <c:v>61.849022085583542</c:v>
                </c:pt>
                <c:pt idx="1">
                  <c:v>60.134859573221654</c:v>
                </c:pt>
                <c:pt idx="2">
                  <c:v>54.736220620699484</c:v>
                </c:pt>
                <c:pt idx="3">
                  <c:v>47.031763785355807</c:v>
                </c:pt>
                <c:pt idx="4">
                  <c:v>38.055488499318386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3BD-4B1A-B8EF-041E85DD2312}"/>
            </c:ext>
          </c:extLst>
        </c:ser>
        <c:ser>
          <c:idx val="16"/>
          <c:order val="14"/>
          <c:tx>
            <c:strRef>
              <c:f>'Ej-2c_CMex'!$AH$9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'Ej-2c_CMex'!$V$176:$V$180</c:f>
              <c:numCache>
                <c:formatCode>0.00</c:formatCode>
                <c:ptCount val="5"/>
                <c:pt idx="0">
                  <c:v>103.76943184428926</c:v>
                </c:pt>
                <c:pt idx="1">
                  <c:v>86.761410608834467</c:v>
                </c:pt>
                <c:pt idx="2">
                  <c:v>71.566086929930492</c:v>
                </c:pt>
                <c:pt idx="3">
                  <c:v>58.615047944628685</c:v>
                </c:pt>
                <c:pt idx="4">
                  <c:v>47.645057109621348</c:v>
                </c:pt>
              </c:numCache>
            </c:numRef>
          </c:xVal>
          <c:yVal>
            <c:numRef>
              <c:f>'Ej-2c_CMex'!$AH$176:$AH$180</c:f>
              <c:numCache>
                <c:formatCode>0.00</c:formatCode>
                <c:ptCount val="5"/>
                <c:pt idx="0">
                  <c:v>48.094830669715506</c:v>
                </c:pt>
                <c:pt idx="1">
                  <c:v>46.09537791140734</c:v>
                </c:pt>
                <c:pt idx="2">
                  <c:v>41.810700883830016</c:v>
                </c:pt>
                <c:pt idx="3">
                  <c:v>35.804895613890679</c:v>
                </c:pt>
                <c:pt idx="4">
                  <c:v>28.618034461775743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3BD-4B1A-B8EF-041E85DD2312}"/>
            </c:ext>
          </c:extLst>
        </c:ser>
        <c:ser>
          <c:idx val="17"/>
          <c:order val="15"/>
          <c:tx>
            <c:strRef>
              <c:f>'Ej-2c_CMex'!$AI$9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'Ej-2c_CMex'!$V$191:$V$195</c:f>
              <c:numCache>
                <c:formatCode>0.00</c:formatCode>
                <c:ptCount val="5"/>
                <c:pt idx="0">
                  <c:v>105.63159836021411</c:v>
                </c:pt>
                <c:pt idx="1">
                  <c:v>91.919247822068371</c:v>
                </c:pt>
                <c:pt idx="2">
                  <c:v>79.107246054303175</c:v>
                </c:pt>
                <c:pt idx="3">
                  <c:v>67.29621350805661</c:v>
                </c:pt>
                <c:pt idx="4">
                  <c:v>56.388944297861826</c:v>
                </c:pt>
              </c:numCache>
            </c:numRef>
          </c:xVal>
          <c:yVal>
            <c:numRef>
              <c:f>'Ej-2c_CMex'!$AI$191:$AI$195</c:f>
              <c:numCache>
                <c:formatCode>0.00</c:formatCode>
                <c:ptCount val="5"/>
                <c:pt idx="0">
                  <c:v>34.410273666895002</c:v>
                </c:pt>
                <c:pt idx="1">
                  <c:v>31.958567949192556</c:v>
                </c:pt>
                <c:pt idx="2">
                  <c:v>28.125736373589902</c:v>
                </c:pt>
                <c:pt idx="3">
                  <c:v>23.193502967836096</c:v>
                </c:pt>
                <c:pt idx="4">
                  <c:v>17.447503540611791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3BD-4B1A-B8EF-041E85DD2312}"/>
            </c:ext>
          </c:extLst>
        </c:ser>
        <c:ser>
          <c:idx val="18"/>
          <c:order val="16"/>
          <c:tx>
            <c:strRef>
              <c:f>'Ej-2c_CMex'!$AJ$9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'Ej-2c_CMex'!$V$206:$V$210</c:f>
              <c:numCache>
                <c:formatCode>0.00</c:formatCode>
                <c:ptCount val="5"/>
                <c:pt idx="0">
                  <c:v>108.47375593683776</c:v>
                </c:pt>
                <c:pt idx="1">
                  <c:v>96.462271152822481</c:v>
                </c:pt>
                <c:pt idx="2">
                  <c:v>84.896396562503341</c:v>
                </c:pt>
                <c:pt idx="3">
                  <c:v>73.727968910909283</c:v>
                </c:pt>
                <c:pt idx="4">
                  <c:v>62.855418038834927</c:v>
                </c:pt>
              </c:numCache>
            </c:numRef>
          </c:xVal>
          <c:yVal>
            <c:numRef>
              <c:f>'Ej-2c_CMex'!$AJ$206:$AJ$210</c:f>
              <c:numCache>
                <c:formatCode>0.00</c:formatCode>
                <c:ptCount val="5"/>
                <c:pt idx="0">
                  <c:v>20.885787388347367</c:v>
                </c:pt>
                <c:pt idx="1">
                  <c:v>17.858135700796836</c:v>
                </c:pt>
                <c:pt idx="2">
                  <c:v>14.123853732783402</c:v>
                </c:pt>
                <c:pt idx="3">
                  <c:v>9.8571919381136297</c:v>
                </c:pt>
                <c:pt idx="4">
                  <c:v>5.2339779795351831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3BD-4B1A-B8EF-041E85DD2312}"/>
            </c:ext>
          </c:extLst>
        </c:ser>
        <c:ser>
          <c:idx val="19"/>
          <c:order val="17"/>
          <c:tx>
            <c:strRef>
              <c:f>'Ej-2c_CMex'!$AK$9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'Ej-2c_CMex'!$V$221:$V$225</c:f>
              <c:numCache>
                <c:formatCode>0.00</c:formatCode>
                <c:ptCount val="5"/>
                <c:pt idx="0">
                  <c:v>112.24309790567612</c:v>
                </c:pt>
                <c:pt idx="1">
                  <c:v>101.07156700960884</c:v>
                </c:pt>
                <c:pt idx="2">
                  <c:v>90</c:v>
                </c:pt>
                <c:pt idx="3">
                  <c:v>78.928432990391158</c:v>
                </c:pt>
                <c:pt idx="4">
                  <c:v>67.756902094323877</c:v>
                </c:pt>
              </c:numCache>
            </c:numRef>
          </c:xVal>
          <c:yVal>
            <c:numRef>
              <c:f>'Ej-2c_CMex'!$AK$221:$AK$225</c:f>
              <c:numCache>
                <c:formatCode>0.00</c:formatCode>
                <c:ptCount val="5"/>
                <c:pt idx="0">
                  <c:v>7.6222642176800122</c:v>
                </c:pt>
                <c:pt idx="1">
                  <c:v>3.8838516721804552</c:v>
                </c:pt>
                <c:pt idx="2">
                  <c:v>0</c:v>
                </c:pt>
                <c:pt idx="3">
                  <c:v>-3.883851672180441</c:v>
                </c:pt>
                <c:pt idx="4">
                  <c:v>-7.6222642176800122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3BD-4B1A-B8EF-041E85DD2312}"/>
            </c:ext>
          </c:extLst>
        </c:ser>
        <c:ser>
          <c:idx val="20"/>
          <c:order val="18"/>
          <c:tx>
            <c:strRef>
              <c:f>'Ej-2c_CMex'!$AL$9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'Ej-2c_CMex'!$V$236:$V$240</c:f>
              <c:numCache>
                <c:formatCode>0.00</c:formatCode>
                <c:ptCount val="5"/>
                <c:pt idx="0">
                  <c:v>117.14458196116506</c:v>
                </c:pt>
                <c:pt idx="1">
                  <c:v>106.27203108909072</c:v>
                </c:pt>
                <c:pt idx="2">
                  <c:v>95.103603437496659</c:v>
                </c:pt>
                <c:pt idx="3">
                  <c:v>83.537728847177519</c:v>
                </c:pt>
                <c:pt idx="4">
                  <c:v>71.526244063162238</c:v>
                </c:pt>
              </c:numCache>
            </c:numRef>
          </c:xVal>
          <c:yVal>
            <c:numRef>
              <c:f>'Ej-2c_CMex'!$AL$236:$AL$240</c:f>
              <c:numCache>
                <c:formatCode>0.00</c:formatCode>
                <c:ptCount val="5"/>
                <c:pt idx="0">
                  <c:v>-5.2339779795351831</c:v>
                </c:pt>
                <c:pt idx="1">
                  <c:v>-9.8571919381136297</c:v>
                </c:pt>
                <c:pt idx="2">
                  <c:v>-14.123853732783402</c:v>
                </c:pt>
                <c:pt idx="3">
                  <c:v>-17.858135700796851</c:v>
                </c:pt>
                <c:pt idx="4">
                  <c:v>-20.885787388347367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3BD-4B1A-B8EF-041E85DD2312}"/>
            </c:ext>
          </c:extLst>
        </c:ser>
        <c:ser>
          <c:idx val="21"/>
          <c:order val="19"/>
          <c:tx>
            <c:strRef>
              <c:f>'Ej-2c_CMex'!$AM$9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'Ej-2c_CMex'!$V$251:$V$255</c:f>
              <c:numCache>
                <c:formatCode>0.00</c:formatCode>
                <c:ptCount val="5"/>
                <c:pt idx="0">
                  <c:v>123.61105570213815</c:v>
                </c:pt>
                <c:pt idx="1">
                  <c:v>112.70378649194338</c:v>
                </c:pt>
                <c:pt idx="2">
                  <c:v>100.89275394569681</c:v>
                </c:pt>
                <c:pt idx="3">
                  <c:v>88.080752177931615</c:v>
                </c:pt>
                <c:pt idx="4">
                  <c:v>74.368401639785873</c:v>
                </c:pt>
              </c:numCache>
            </c:numRef>
          </c:xVal>
          <c:yVal>
            <c:numRef>
              <c:f>'Ej-2c_CMex'!$AM$251:$AM$255</c:f>
              <c:numCache>
                <c:formatCode>0.00</c:formatCode>
                <c:ptCount val="5"/>
                <c:pt idx="0">
                  <c:v>-17.447503540611777</c:v>
                </c:pt>
                <c:pt idx="1">
                  <c:v>-23.193502967836068</c:v>
                </c:pt>
                <c:pt idx="2">
                  <c:v>-28.125736373589874</c:v>
                </c:pt>
                <c:pt idx="3">
                  <c:v>-31.958567949192528</c:v>
                </c:pt>
                <c:pt idx="4">
                  <c:v>-34.410273666894966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3BD-4B1A-B8EF-041E85DD2312}"/>
            </c:ext>
          </c:extLst>
        </c:ser>
        <c:ser>
          <c:idx val="28"/>
          <c:order val="24"/>
          <c:tx>
            <c:strRef>
              <c:f>'Ej-2c_CMex'!$R$3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'Ej-2c_CMex'!$T$131:$T$251</c:f>
              <c:numCache>
                <c:formatCode>0.00</c:formatCode>
                <c:ptCount val="121"/>
                <c:pt idx="0">
                  <c:v>1.8272461503380404E-3</c:v>
                </c:pt>
                <c:pt idx="1">
                  <c:v>1.8267037300800473</c:v>
                </c:pt>
                <c:pt idx="2">
                  <c:v>3.6501600967025118</c:v>
                </c:pt>
                <c:pt idx="3">
                  <c:v>5.4671579044544574</c:v>
                </c:pt>
                <c:pt idx="4">
                  <c:v>7.2745572948378996</c:v>
                </c:pt>
                <c:pt idx="5">
                  <c:v>9.0693229679235614</c:v>
                </c:pt>
                <c:pt idx="6">
                  <c:v>10.848554606859407</c:v>
                </c:pt>
                <c:pt idx="7">
                  <c:v>12.609513792547268</c:v>
                </c:pt>
                <c:pt idx="8">
                  <c:v>14.34964686155781</c:v>
                </c:pt>
                <c:pt idx="9">
                  <c:v>16.066603342429541</c:v>
                </c:pt>
                <c:pt idx="10">
                  <c:v>17.758249791374393</c:v>
                </c:pt>
                <c:pt idx="11">
                  <c:v>19.422679026435926</c:v>
                </c:pt>
                <c:pt idx="12">
                  <c:v>21.058214919510306</c:v>
                </c:pt>
                <c:pt idx="13">
                  <c:v>22.6634130410281</c:v>
                </c:pt>
                <c:pt idx="14">
                  <c:v>24.237057557962007</c:v>
                </c:pt>
                <c:pt idx="15">
                  <c:v>25.778154860372474</c:v>
                </c:pt>
                <c:pt idx="16">
                  <c:v>27.285924435557497</c:v>
                </c:pt>
                <c:pt idx="17">
                  <c:v>28.759787524616939</c:v>
                </c:pt>
                <c:pt idx="18">
                  <c:v>30.199354087814765</c:v>
                </c:pt>
                <c:pt idx="19">
                  <c:v>31.604408577251494</c:v>
                </c:pt>
                <c:pt idx="20">
                  <c:v>32.974894973036619</c:v>
                </c:pt>
                <c:pt idx="21">
                  <c:v>34.310901487199402</c:v>
                </c:pt>
                <c:pt idx="22">
                  <c:v>35.612645282351643</c:v>
                </c:pt>
                <c:pt idx="23">
                  <c:v>36.880457493306039</c:v>
                </c:pt>
                <c:pt idx="24">
                  <c:v>38.114768782396872</c:v>
                </c:pt>
                <c:pt idx="25">
                  <c:v>39.31609560532948</c:v>
                </c:pt>
                <c:pt idx="26">
                  <c:v>40.485027315475875</c:v>
                </c:pt>
                <c:pt idx="27">
                  <c:v>41.622214191504249</c:v>
                </c:pt>
                <c:pt idx="28">
                  <c:v>42.728356436444095</c:v>
                </c:pt>
                <c:pt idx="29">
                  <c:v>43.804194165718314</c:v>
                </c:pt>
                <c:pt idx="30">
                  <c:v>44.850498377017061</c:v>
                </c:pt>
                <c:pt idx="31">
                  <c:v>45.868062875647865</c:v>
                </c:pt>
                <c:pt idx="32">
                  <c:v>46.857697114567912</c:v>
                </c:pt>
                <c:pt idx="33">
                  <c:v>47.820219898042239</c:v>
                </c:pt>
                <c:pt idx="34">
                  <c:v>48.756453891115306</c:v>
                </c:pt>
                <c:pt idx="35">
                  <c:v>49.66722087321638</c:v>
                </c:pt>
                <c:pt idx="36">
                  <c:v>50.553337672668647</c:v>
                </c:pt>
                <c:pt idx="37">
                  <c:v>51.415612719128589</c:v>
                </c:pt>
                <c:pt idx="38">
                  <c:v>52.254843152606981</c:v>
                </c:pt>
                <c:pt idx="39">
                  <c:v>53.071812430342234</c:v>
                </c:pt>
                <c:pt idx="40">
                  <c:v>53.867288376100483</c:v>
                </c:pt>
                <c:pt idx="41">
                  <c:v>54.64202162021359</c:v>
                </c:pt>
                <c:pt idx="42">
                  <c:v>55.396744382638907</c:v>
                </c:pt>
                <c:pt idx="43">
                  <c:v>56.132169555374041</c:v>
                </c:pt>
                <c:pt idx="44">
                  <c:v>56.848990044572865</c:v>
                </c:pt>
                <c:pt idx="45">
                  <c:v>57.547878336598295</c:v>
                </c:pt>
                <c:pt idx="46">
                  <c:v>58.229486255951571</c:v>
                </c:pt>
                <c:pt idx="47">
                  <c:v>58.894444886501063</c:v>
                </c:pt>
                <c:pt idx="48">
                  <c:v>59.543364630668073</c:v>
                </c:pt>
                <c:pt idx="49">
                  <c:v>60.176835384205205</c:v>
                </c:pt>
                <c:pt idx="50">
                  <c:v>60.795426806921711</c:v>
                </c:pt>
                <c:pt idx="51">
                  <c:v>61.399688672174719</c:v>
                </c:pt>
                <c:pt idx="52">
                  <c:v>61.990151280166131</c:v>
                </c:pt>
                <c:pt idx="53">
                  <c:v>62.567325922074986</c:v>
                </c:pt>
                <c:pt idx="54">
                  <c:v>63.131705383830649</c:v>
                </c:pt>
                <c:pt idx="55">
                  <c:v>63.683764479907424</c:v>
                </c:pt>
                <c:pt idx="56">
                  <c:v>64.223960608915746</c:v>
                </c:pt>
                <c:pt idx="57">
                  <c:v>64.752734323992968</c:v>
                </c:pt>
                <c:pt idx="58">
                  <c:v>65.270509912075269</c:v>
                </c:pt>
                <c:pt idx="59">
                  <c:v>65.777695977075908</c:v>
                </c:pt>
                <c:pt idx="60">
                  <c:v>66.274686022818855</c:v>
                </c:pt>
                <c:pt idx="61">
                  <c:v>66.761859032293188</c:v>
                </c:pt>
                <c:pt idx="62">
                  <c:v>67.239580040414552</c:v>
                </c:pt>
                <c:pt idx="63">
                  <c:v>67.708200698017862</c:v>
                </c:pt>
                <c:pt idx="64">
                  <c:v>68.168059825268273</c:v>
                </c:pt>
                <c:pt idx="65">
                  <c:v>68.619483953076056</c:v>
                </c:pt>
                <c:pt idx="66">
                  <c:v>69.062787851441684</c:v>
                </c:pt>
                <c:pt idx="67">
                  <c:v>69.498275043949917</c:v>
                </c:pt>
                <c:pt idx="68">
                  <c:v>69.926238307879188</c:v>
                </c:pt>
                <c:pt idx="69">
                  <c:v>70.34696015960364</c:v>
                </c:pt>
                <c:pt idx="70">
                  <c:v>70.760713325142802</c:v>
                </c:pt>
                <c:pt idx="71">
                  <c:v>71.167761195864486</c:v>
                </c:pt>
                <c:pt idx="72">
                  <c:v>71.568358269471119</c:v>
                </c:pt>
                <c:pt idx="73">
                  <c:v>71.962750576505599</c:v>
                </c:pt>
                <c:pt idx="74">
                  <c:v>72.351176092699276</c:v>
                </c:pt>
                <c:pt idx="75">
                  <c:v>72.733865137556435</c:v>
                </c:pt>
                <c:pt idx="76">
                  <c:v>73.111040759629461</c:v>
                </c:pt>
                <c:pt idx="77">
                  <c:v>73.482919108986394</c:v>
                </c:pt>
                <c:pt idx="78">
                  <c:v>73.849709797412771</c:v>
                </c:pt>
                <c:pt idx="79">
                  <c:v>74.211616246920727</c:v>
                </c:pt>
                <c:pt idx="80">
                  <c:v>74.568836027164636</c:v>
                </c:pt>
                <c:pt idx="81">
                  <c:v>74.921561182383485</c:v>
                </c:pt>
                <c:pt idx="82">
                  <c:v>75.269978548507055</c:v>
                </c:pt>
                <c:pt idx="83">
                  <c:v>75.614270061077264</c:v>
                </c:pt>
                <c:pt idx="84">
                  <c:v>75.954613054648263</c:v>
                </c:pt>
                <c:pt idx="85">
                  <c:v>76.291180554339519</c:v>
                </c:pt>
                <c:pt idx="86">
                  <c:v>76.624141560226406</c:v>
                </c:pt>
                <c:pt idx="87">
                  <c:v>76.953661325262743</c:v>
                </c:pt>
                <c:pt idx="88">
                  <c:v>77.279901627440481</c:v>
                </c:pt>
                <c:pt idx="89">
                  <c:v>77.603021036903371</c:v>
                </c:pt>
                <c:pt idx="90">
                  <c:v>77.923175178744316</c:v>
                </c:pt>
                <c:pt idx="91">
                  <c:v>78.240516992231846</c:v>
                </c:pt>
                <c:pt idx="92">
                  <c:v>78.555196987228143</c:v>
                </c:pt>
                <c:pt idx="93">
                  <c:v>78.867363498582392</c:v>
                </c:pt>
                <c:pt idx="94">
                  <c:v>79.177162939306896</c:v>
                </c:pt>
                <c:pt idx="95">
                  <c:v>79.484740053371624</c:v>
                </c:pt>
                <c:pt idx="96">
                  <c:v>79.790238168985638</c:v>
                </c:pt>
                <c:pt idx="97">
                  <c:v>80.093799453271686</c:v>
                </c:pt>
                <c:pt idx="98">
                  <c:v>80.395565169283344</c:v>
                </c:pt>
                <c:pt idx="99">
                  <c:v>80.695675936365092</c:v>
                </c:pt>
                <c:pt idx="100">
                  <c:v>80.994271994911713</c:v>
                </c:pt>
                <c:pt idx="101">
                  <c:v>81.291493476650444</c:v>
                </c:pt>
                <c:pt idx="102">
                  <c:v>81.587480681642262</c:v>
                </c:pt>
                <c:pt idx="103">
                  <c:v>81.88237436328501</c:v>
                </c:pt>
                <c:pt idx="104">
                  <c:v>82.176316022696398</c:v>
                </c:pt>
                <c:pt idx="105">
                  <c:v>82.469448213964725</c:v>
                </c:pt>
                <c:pt idx="106">
                  <c:v>82.761914861879134</c:v>
                </c:pt>
                <c:pt idx="107">
                  <c:v>83.053861593891114</c:v>
                </c:pt>
                <c:pt idx="108">
                  <c:v>83.345436088218619</c:v>
                </c:pt>
                <c:pt idx="109">
                  <c:v>83.636788440183523</c:v>
                </c:pt>
                <c:pt idx="110">
                  <c:v>83.928071549077984</c:v>
                </c:pt>
                <c:pt idx="111">
                  <c:v>84.219441528085611</c:v>
                </c:pt>
                <c:pt idx="112">
                  <c:v>84.511058140046174</c:v>
                </c:pt>
                <c:pt idx="113">
                  <c:v>84.80308526215012</c:v>
                </c:pt>
                <c:pt idx="114">
                  <c:v>85.095691382986701</c:v>
                </c:pt>
                <c:pt idx="115">
                  <c:v>85.389050135754772</c:v>
                </c:pt>
                <c:pt idx="116">
                  <c:v>85.683340871882336</c:v>
                </c:pt>
                <c:pt idx="117">
                  <c:v>85.978749279800127</c:v>
                </c:pt>
                <c:pt idx="118">
                  <c:v>86.2754680541845</c:v>
                </c:pt>
                <c:pt idx="119">
                  <c:v>86.573697621635588</c:v>
                </c:pt>
                <c:pt idx="120">
                  <c:v>86.873646929503394</c:v>
                </c:pt>
              </c:numCache>
            </c:numRef>
          </c:xVal>
          <c:yVal>
            <c:numRef>
              <c:f>'Ej-2c_CMex'!$S$131:$S$251</c:f>
              <c:numCache>
                <c:formatCode>0.00</c:formatCode>
                <c:ptCount val="121"/>
                <c:pt idx="0">
                  <c:v>57.744111701187848</c:v>
                </c:pt>
                <c:pt idx="1">
                  <c:v>57.729081328985636</c:v>
                </c:pt>
                <c:pt idx="2">
                  <c:v>57.684032152861299</c:v>
                </c:pt>
                <c:pt idx="3">
                  <c:v>57.609089560959013</c:v>
                </c:pt>
                <c:pt idx="4">
                  <c:v>57.504460581820538</c:v>
                </c:pt>
                <c:pt idx="5">
                  <c:v>57.370431074277867</c:v>
                </c:pt>
                <c:pt idx="6">
                  <c:v>57.207361898088415</c:v>
                </c:pt>
                <c:pt idx="7">
                  <c:v>57.015684197632417</c:v>
                </c:pt>
                <c:pt idx="8">
                  <c:v>56.79589393810118</c:v>
                </c:pt>
                <c:pt idx="9">
                  <c:v>56.548545848582719</c:v>
                </c:pt>
                <c:pt idx="10">
                  <c:v>56.27424693397424</c:v>
                </c:pt>
                <c:pt idx="11">
                  <c:v>55.973649717962012</c:v>
                </c:pt>
                <c:pt idx="12">
                  <c:v>55.647445373106208</c:v>
                </c:pt>
                <c:pt idx="13">
                  <c:v>55.296356882392054</c:v>
                </c:pt>
                <c:pt idx="14">
                  <c:v>54.92113236071831</c:v>
                </c:pt>
                <c:pt idx="15">
                  <c:v>54.522538646032288</c:v>
                </c:pt>
                <c:pt idx="16">
                  <c:v>54.101355249504664</c:v>
                </c:pt>
                <c:pt idx="17">
                  <c:v>53.658368733457635</c:v>
                </c:pt>
                <c:pt idx="18">
                  <c:v>53.194367565727532</c:v>
                </c:pt>
                <c:pt idx="19">
                  <c:v>52.710137480543388</c:v>
                </c:pt>
                <c:pt idx="20">
                  <c:v>52.206457359396566</c:v>
                </c:pt>
                <c:pt idx="21">
                  <c:v>51.684095631101926</c:v>
                </c:pt>
                <c:pt idx="22">
                  <c:v>51.143807178456811</c:v>
                </c:pt>
                <c:pt idx="23">
                  <c:v>50.586330729580865</c:v>
                </c:pt>
                <c:pt idx="24">
                  <c:v>50.012386705037223</c:v>
                </c:pt>
                <c:pt idx="25">
                  <c:v>49.422675486978861</c:v>
                </c:pt>
                <c:pt idx="26">
                  <c:v>48.817876073570417</c:v>
                </c:pt>
                <c:pt idx="27">
                  <c:v>48.198645080515782</c:v>
                </c:pt>
                <c:pt idx="28">
                  <c:v>47.565616051386257</c:v>
                </c:pt>
                <c:pt idx="29">
                  <c:v>46.91939903931879</c:v>
                </c:pt>
                <c:pt idx="30">
                  <c:v>46.260580424286196</c:v>
                </c:pt>
                <c:pt idx="31">
                  <c:v>45.589722932311382</c:v>
                </c:pt>
                <c:pt idx="32">
                  <c:v>44.907365825520607</c:v>
                </c:pt>
                <c:pt idx="33">
                  <c:v>44.214025234648005</c:v>
                </c:pt>
                <c:pt idx="34">
                  <c:v>43.510194608396318</c:v>
                </c:pt>
                <c:pt idx="35">
                  <c:v>42.796345256829483</c:v>
                </c:pt>
                <c:pt idx="36">
                  <c:v>42.07292696865089</c:v>
                </c:pt>
                <c:pt idx="37">
                  <c:v>41.340368684758666</c:v>
                </c:pt>
                <c:pt idx="38">
                  <c:v>40.599079212831512</c:v>
                </c:pt>
                <c:pt idx="39">
                  <c:v>39.849447969867853</c:v>
                </c:pt>
                <c:pt idx="40">
                  <c:v>39.09184574156864</c:v>
                </c:pt>
                <c:pt idx="41">
                  <c:v>38.326625449220181</c:v>
                </c:pt>
                <c:pt idx="42">
                  <c:v>37.554122916301822</c:v>
                </c:pt>
                <c:pt idx="43">
                  <c:v>36.774657628427477</c:v>
                </c:pt>
                <c:pt idx="44">
                  <c:v>35.988533481438118</c:v>
                </c:pt>
                <c:pt idx="45">
                  <c:v>35.196039513511032</c:v>
                </c:pt>
                <c:pt idx="46">
                  <c:v>34.397450618055331</c:v>
                </c:pt>
                <c:pt idx="47">
                  <c:v>33.593028234934941</c:v>
                </c:pt>
                <c:pt idx="48">
                  <c:v>32.783021018215685</c:v>
                </c:pt>
                <c:pt idx="49">
                  <c:v>31.967665479186223</c:v>
                </c:pt>
                <c:pt idx="50">
                  <c:v>31.147186603863254</c:v>
                </c:pt>
                <c:pt idx="51">
                  <c:v>30.321798444575194</c:v>
                </c:pt>
                <c:pt idx="52">
                  <c:v>29.49170468553212</c:v>
                </c:pt>
                <c:pt idx="53">
                  <c:v>28.657099182546105</c:v>
                </c:pt>
                <c:pt idx="54">
                  <c:v>27.818166477269827</c:v>
                </c:pt>
                <c:pt idx="55">
                  <c:v>26.975082286484451</c:v>
                </c:pt>
                <c:pt idx="56">
                  <c:v>26.128013967092379</c:v>
                </c:pt>
                <c:pt idx="57">
                  <c:v>25.277120957565543</c:v>
                </c:pt>
                <c:pt idx="58">
                  <c:v>24.422555196668895</c:v>
                </c:pt>
                <c:pt idx="59">
                  <c:v>23.564461520326418</c:v>
                </c:pt>
                <c:pt idx="60">
                  <c:v>22.702978037526918</c:v>
                </c:pt>
                <c:pt idx="61">
                  <c:v>21.838236486181898</c:v>
                </c:pt>
                <c:pt idx="62">
                  <c:v>20.970362569852483</c:v>
                </c:pt>
                <c:pt idx="63">
                  <c:v>20.099476276255217</c:v>
                </c:pt>
                <c:pt idx="64">
                  <c:v>19.225692178444206</c:v>
                </c:pt>
                <c:pt idx="65">
                  <c:v>18.349119719547431</c:v>
                </c:pt>
                <c:pt idx="66">
                  <c:v>17.469863481911389</c:v>
                </c:pt>
                <c:pt idx="67">
                  <c:v>16.588023441481141</c:v>
                </c:pt>
                <c:pt idx="68">
                  <c:v>15.70369520821319</c:v>
                </c:pt>
                <c:pt idx="69">
                  <c:v>14.816970253287948</c:v>
                </c:pt>
                <c:pt idx="70">
                  <c:v>13.927936123855758</c:v>
                </c:pt>
                <c:pt idx="71">
                  <c:v>13.036676646018762</c:v>
                </c:pt>
                <c:pt idx="72">
                  <c:v>12.143272116717711</c:v>
                </c:pt>
                <c:pt idx="73">
                  <c:v>11.247799485160812</c:v>
                </c:pt>
                <c:pt idx="74">
                  <c:v>10.350332524400258</c:v>
                </c:pt>
                <c:pt idx="75">
                  <c:v>9.4509419936310479</c:v>
                </c:pt>
                <c:pt idx="76">
                  <c:v>8.5496957917570029</c:v>
                </c:pt>
                <c:pt idx="77">
                  <c:v>7.6466591027398181</c:v>
                </c:pt>
                <c:pt idx="78">
                  <c:v>6.7418945332196785</c:v>
                </c:pt>
                <c:pt idx="79">
                  <c:v>5.8354622428694398</c:v>
                </c:pt>
                <c:pt idx="80">
                  <c:v>4.927420067918959</c:v>
                </c:pt>
                <c:pt idx="81">
                  <c:v>4.017823638262783</c:v>
                </c:pt>
                <c:pt idx="82">
                  <c:v>3.1067264885409571</c:v>
                </c:pt>
                <c:pt idx="83">
                  <c:v>2.19418016356218</c:v>
                </c:pt>
                <c:pt idx="84">
                  <c:v>1.2802343184177403</c:v>
                </c:pt>
                <c:pt idx="85">
                  <c:v>0.3649368136160831</c:v>
                </c:pt>
                <c:pt idx="86">
                  <c:v>-0.55166619445014931</c:v>
                </c:pt>
                <c:pt idx="87">
                  <c:v>-1.4695301674090615</c:v>
                </c:pt>
                <c:pt idx="88">
                  <c:v>-2.3886121029068619</c:v>
                </c:pt>
                <c:pt idx="89">
                  <c:v>-3.308870456431535</c:v>
                </c:pt>
                <c:pt idx="90">
                  <c:v>-4.2302650667113681</c:v>
                </c:pt>
                <c:pt idx="91">
                  <c:v>-5.1527570844477424</c:v>
                </c:pt>
                <c:pt idx="92">
                  <c:v>-6.0763089041540468</c:v>
                </c:pt>
                <c:pt idx="93">
                  <c:v>-7.0008840988819685</c:v>
                </c:pt>
                <c:pt idx="94">
                  <c:v>-7.9264473576265715</c:v>
                </c:pt>
                <c:pt idx="95">
                  <c:v>-8.8529644252090378</c:v>
                </c:pt>
                <c:pt idx="96">
                  <c:v>-9.7804020444445854</c:v>
                </c:pt>
                <c:pt idx="97">
                  <c:v>-10.708727900408235</c:v>
                </c:pt>
                <c:pt idx="98">
                  <c:v>-11.63791056661799</c:v>
                </c:pt>
                <c:pt idx="99">
                  <c:v>-12.567919452958805</c:v>
                </c:pt>
                <c:pt idx="100">
                  <c:v>-13.498724755175033</c:v>
                </c:pt>
                <c:pt idx="101">
                  <c:v>-14.430297405761323</c:v>
                </c:pt>
                <c:pt idx="102">
                  <c:v>-15.362609026084186</c:v>
                </c:pt>
                <c:pt idx="103">
                  <c:v>-16.295631879567082</c:v>
                </c:pt>
                <c:pt idx="104">
                  <c:v>-17.22933882577145</c:v>
                </c:pt>
                <c:pt idx="105">
                  <c:v>-18.163703275204568</c:v>
                </c:pt>
                <c:pt idx="106">
                  <c:v>-19.09869914468328</c:v>
                </c:pt>
                <c:pt idx="107">
                  <c:v>-20.034300813077337</c:v>
                </c:pt>
                <c:pt idx="108">
                  <c:v>-20.970483077251799</c:v>
                </c:pt>
                <c:pt idx="109">
                  <c:v>-21.907221108020778</c:v>
                </c:pt>
                <c:pt idx="110">
                  <c:v>-22.844490405915721</c:v>
                </c:pt>
                <c:pt idx="111">
                  <c:v>-23.782266756561498</c:v>
                </c:pt>
                <c:pt idx="112">
                  <c:v>-24.72052618544042</c:v>
                </c:pt>
                <c:pt idx="113">
                  <c:v>-25.659244911809935</c:v>
                </c:pt>
                <c:pt idx="114">
                  <c:v>-26.598399301521212</c:v>
                </c:pt>
                <c:pt idx="115">
                  <c:v>-27.537965818466063</c:v>
                </c:pt>
                <c:pt idx="116">
                  <c:v>-28.477920974354973</c:v>
                </c:pt>
                <c:pt idx="117">
                  <c:v>-29.418241276501035</c:v>
                </c:pt>
                <c:pt idx="118">
                  <c:v>-30.358903173252486</c:v>
                </c:pt>
                <c:pt idx="119">
                  <c:v>-31.299882996677937</c:v>
                </c:pt>
                <c:pt idx="120">
                  <c:v>-32.241156902066265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3BD-4B1A-B8EF-041E85DD2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5360"/>
        <c:axId val="74261632"/>
      </c:scatterChart>
      <c:scatterChart>
        <c:scatterStyle val="lineMarker"/>
        <c:varyColors val="0"/>
        <c:ser>
          <c:idx val="22"/>
          <c:order val="20"/>
          <c:tx>
            <c:strRef>
              <c:f>'Ej-2c_CMex'!$C$3</c:f>
              <c:strCache>
                <c:ptCount val="1"/>
                <c:pt idx="0">
                  <c:v>S.Junio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'Ej-2c_CMex'!$E$131:$E$251</c:f>
              <c:numCache>
                <c:formatCode>0.00</c:formatCode>
                <c:ptCount val="121"/>
                <c:pt idx="0">
                  <c:v>179.9867824365665</c:v>
                </c:pt>
                <c:pt idx="1">
                  <c:v>167.01874952846271</c:v>
                </c:pt>
                <c:pt idx="2">
                  <c:v>155.29513486718011</c:v>
                </c:pt>
                <c:pt idx="3">
                  <c:v>145.48750652689046</c:v>
                </c:pt>
                <c:pt idx="4">
                  <c:v>137.62828650002825</c:v>
                </c:pt>
                <c:pt idx="5">
                  <c:v>131.43222715403084</c:v>
                </c:pt>
                <c:pt idx="6">
                  <c:v>126.54809314768764</c:v>
                </c:pt>
                <c:pt idx="7">
                  <c:v>122.66758544809542</c:v>
                </c:pt>
                <c:pt idx="8">
                  <c:v>119.54998651035864</c:v>
                </c:pt>
                <c:pt idx="9">
                  <c:v>117.01547630282172</c:v>
                </c:pt>
                <c:pt idx="10">
                  <c:v>114.93145741497308</c:v>
                </c:pt>
                <c:pt idx="11">
                  <c:v>113.19999936283273</c:v>
                </c:pt>
                <c:pt idx="12">
                  <c:v>111.74816336410996</c:v>
                </c:pt>
                <c:pt idx="13">
                  <c:v>110.52099799921166</c:v>
                </c:pt>
                <c:pt idx="14">
                  <c:v>109.47657941226102</c:v>
                </c:pt>
                <c:pt idx="15">
                  <c:v>108.58251426328621</c:v>
                </c:pt>
                <c:pt idx="16">
                  <c:v>107.81346328042919</c:v>
                </c:pt>
                <c:pt idx="17">
                  <c:v>107.14937235599677</c:v>
                </c:pt>
                <c:pt idx="18">
                  <c:v>106.57419548177941</c:v>
                </c:pt>
                <c:pt idx="19">
                  <c:v>106.07496209988122</c:v>
                </c:pt>
                <c:pt idx="20">
                  <c:v>105.64108798205984</c:v>
                </c:pt>
                <c:pt idx="21">
                  <c:v>105.26386016844658</c:v>
                </c:pt>
                <c:pt idx="22">
                  <c:v>104.93604770929979</c:v>
                </c:pt>
                <c:pt idx="23">
                  <c:v>104.65160435014073</c:v>
                </c:pt>
                <c:pt idx="24">
                  <c:v>104.40543914895787</c:v>
                </c:pt>
                <c:pt idx="25">
                  <c:v>104.19323781443035</c:v>
                </c:pt>
                <c:pt idx="26">
                  <c:v>104.01132229711212</c:v>
                </c:pt>
                <c:pt idx="27">
                  <c:v>103.85653950783926</c:v>
                </c:pt>
                <c:pt idx="28">
                  <c:v>103.72617241720803</c:v>
                </c:pt>
                <c:pt idx="29">
                  <c:v>103.61786850127879</c:v>
                </c:pt>
                <c:pt idx="30">
                  <c:v>103.52958174146512</c:v>
                </c:pt>
                <c:pt idx="31">
                  <c:v>103.45952529768897</c:v>
                </c:pt>
                <c:pt idx="32">
                  <c:v>103.40613264792286</c:v>
                </c:pt>
                <c:pt idx="33">
                  <c:v>103.36802549023905</c:v>
                </c:pt>
                <c:pt idx="34">
                  <c:v>103.34398708197291</c:v>
                </c:pt>
                <c:pt idx="35">
                  <c:v>103.33293997767244</c:v>
                </c:pt>
                <c:pt idx="36">
                  <c:v>103.33392734688282</c:v>
                </c:pt>
                <c:pt idx="37">
                  <c:v>103.34609722167868</c:v>
                </c:pt>
                <c:pt idx="38">
                  <c:v>103.36868915473734</c:v>
                </c:pt>
                <c:pt idx="39">
                  <c:v>103.40102287085401</c:v>
                </c:pt>
                <c:pt idx="40">
                  <c:v>103.44248857496358</c:v>
                </c:pt>
                <c:pt idx="41">
                  <c:v>103.49253864304612</c:v>
                </c:pt>
                <c:pt idx="42">
                  <c:v>103.55068047258307</c:v>
                </c:pt>
                <c:pt idx="43">
                  <c:v>103.61647030939822</c:v>
                </c:pt>
                <c:pt idx="44">
                  <c:v>103.68950789996575</c:v>
                </c:pt>
                <c:pt idx="45">
                  <c:v>103.76943184428926</c:v>
                </c:pt>
                <c:pt idx="46">
                  <c:v>103.85591554555432</c:v>
                </c:pt>
                <c:pt idx="47">
                  <c:v>103.94866366994144</c:v>
                </c:pt>
                <c:pt idx="48">
                  <c:v>104.04740904404655</c:v>
                </c:pt>
                <c:pt idx="49">
                  <c:v>104.15190992890805</c:v>
                </c:pt>
                <c:pt idx="50">
                  <c:v>104.26194761916811</c:v>
                </c:pt>
                <c:pt idx="51">
                  <c:v>104.37732432378907</c:v>
                </c:pt>
                <c:pt idx="52">
                  <c:v>104.49786129130662</c:v>
                </c:pt>
                <c:pt idx="53">
                  <c:v>104.62339714807541</c:v>
                </c:pt>
                <c:pt idx="54">
                  <c:v>104.75378642254591</c:v>
                </c:pt>
                <c:pt idx="55">
                  <c:v>104.88889823246203</c:v>
                </c:pt>
                <c:pt idx="56">
                  <c:v>105.02861511511298</c:v>
                </c:pt>
                <c:pt idx="57">
                  <c:v>105.1728319835177</c:v>
                </c:pt>
                <c:pt idx="58">
                  <c:v>105.32145519374491</c:v>
                </c:pt>
                <c:pt idx="59">
                  <c:v>105.47440171055227</c:v>
                </c:pt>
                <c:pt idx="60">
                  <c:v>105.63159836021411</c:v>
                </c:pt>
                <c:pt idx="61">
                  <c:v>105.79298116085117</c:v>
                </c:pt>
                <c:pt idx="62">
                  <c:v>105.95849472181352</c:v>
                </c:pt>
                <c:pt idx="63">
                  <c:v>106.1280917047312</c:v>
                </c:pt>
                <c:pt idx="64">
                  <c:v>106.30173233976426</c:v>
                </c:pt>
                <c:pt idx="65">
                  <c:v>106.47938399137617</c:v>
                </c:pt>
                <c:pt idx="66">
                  <c:v>106.66102076864009</c:v>
                </c:pt>
                <c:pt idx="67">
                  <c:v>106.84662317568313</c:v>
                </c:pt>
                <c:pt idx="68">
                  <c:v>107.03617779839117</c:v>
                </c:pt>
                <c:pt idx="69">
                  <c:v>107.22967702394814</c:v>
                </c:pt>
                <c:pt idx="70">
                  <c:v>107.42711879017808</c:v>
                </c:pt>
                <c:pt idx="71">
                  <c:v>107.62850636200226</c:v>
                </c:pt>
                <c:pt idx="72">
                  <c:v>107.83384813262721</c:v>
                </c:pt>
                <c:pt idx="73">
                  <c:v>108.04315744734411</c:v>
                </c:pt>
                <c:pt idx="74">
                  <c:v>108.25645244805381</c:v>
                </c:pt>
                <c:pt idx="75">
                  <c:v>108.47375593683776</c:v>
                </c:pt>
                <c:pt idx="76">
                  <c:v>108.69509525707653</c:v>
                </c:pt>
                <c:pt idx="77">
                  <c:v>108.92050219077829</c:v>
                </c:pt>
                <c:pt idx="78">
                  <c:v>109.15001287092107</c:v>
                </c:pt>
                <c:pt idx="79">
                  <c:v>109.38366770773882</c:v>
                </c:pt>
                <c:pt idx="80">
                  <c:v>109.621511327992</c:v>
                </c:pt>
                <c:pt idx="81">
                  <c:v>109.86359252636267</c:v>
                </c:pt>
                <c:pt idx="82">
                  <c:v>110.10996422820054</c:v>
                </c:pt>
                <c:pt idx="83">
                  <c:v>110.36068346292464</c:v>
                </c:pt>
                <c:pt idx="84">
                  <c:v>110.61581134745289</c:v>
                </c:pt>
                <c:pt idx="85">
                  <c:v>110.8754130790927</c:v>
                </c:pt>
                <c:pt idx="86">
                  <c:v>111.13955793737833</c:v>
                </c:pt>
                <c:pt idx="87">
                  <c:v>111.40831929438755</c:v>
                </c:pt>
                <c:pt idx="88">
                  <c:v>111.68177463311007</c:v>
                </c:pt>
                <c:pt idx="89">
                  <c:v>111.96000557347524</c:v>
                </c:pt>
                <c:pt idx="90">
                  <c:v>112.24309790567612</c:v>
                </c:pt>
                <c:pt idx="91">
                  <c:v>112.53114163045117</c:v>
                </c:pt>
                <c:pt idx="92">
                  <c:v>112.82423100600548</c:v>
                </c:pt>
                <c:pt idx="93">
                  <c:v>113.12246460126836</c:v>
                </c:pt>
                <c:pt idx="94">
                  <c:v>113.42594535519554</c:v>
                </c:pt>
                <c:pt idx="95">
                  <c:v>113.73478064183088</c:v>
                </c:pt>
                <c:pt idx="96">
                  <c:v>114.04908234084556</c:v>
                </c:pt>
                <c:pt idx="97">
                  <c:v>114.36896691327001</c:v>
                </c:pt>
                <c:pt idx="98">
                  <c:v>114.69455548212888</c:v>
                </c:pt>
                <c:pt idx="99">
                  <c:v>115.02597391767792</c:v>
                </c:pt>
                <c:pt idx="100">
                  <c:v>115.36335292692665</c:v>
                </c:pt>
                <c:pt idx="101">
                  <c:v>115.70682814711058</c:v>
                </c:pt>
                <c:pt idx="102">
                  <c:v>116.05654024275111</c:v>
                </c:pt>
                <c:pt idx="103">
                  <c:v>116.41263500591079</c:v>
                </c:pt>
                <c:pt idx="104">
                  <c:v>116.77526345921453</c:v>
                </c:pt>
                <c:pt idx="105">
                  <c:v>117.14458196116506</c:v>
                </c:pt>
                <c:pt idx="106">
                  <c:v>117.52075231323059</c:v>
                </c:pt>
                <c:pt idx="107">
                  <c:v>117.90394186812632</c:v>
                </c:pt>
                <c:pt idx="108">
                  <c:v>118.29432363864726</c:v>
                </c:pt>
                <c:pt idx="109">
                  <c:v>118.6920764063358</c:v>
                </c:pt>
                <c:pt idx="110">
                  <c:v>119.09738482918705</c:v>
                </c:pt>
                <c:pt idx="111">
                  <c:v>119.51043954750223</c:v>
                </c:pt>
                <c:pt idx="112">
                  <c:v>119.93143728689896</c:v>
                </c:pt>
                <c:pt idx="113">
                  <c:v>120.36058095737408</c:v>
                </c:pt>
                <c:pt idx="114">
                  <c:v>120.79807974718948</c:v>
                </c:pt>
                <c:pt idx="115">
                  <c:v>121.2441492102131</c:v>
                </c:pt>
                <c:pt idx="116">
                  <c:v>121.69901134519577</c:v>
                </c:pt>
                <c:pt idx="117">
                  <c:v>122.16289466529831</c:v>
                </c:pt>
                <c:pt idx="118">
                  <c:v>122.63603425600152</c:v>
                </c:pt>
                <c:pt idx="119">
                  <c:v>123.11867181933408</c:v>
                </c:pt>
                <c:pt idx="120">
                  <c:v>123.61105570213815</c:v>
                </c:pt>
              </c:numCache>
            </c:numRef>
          </c:xVal>
          <c:yVal>
            <c:numRef>
              <c:f>'Ej-2c_CMex'!$D$131:$D$251</c:f>
              <c:numCache>
                <c:formatCode>0.00</c:formatCode>
                <c:ptCount val="121"/>
                <c:pt idx="0">
                  <c:v>86.019999891250833</c:v>
                </c:pt>
                <c:pt idx="1">
                  <c:v>85.912697731635177</c:v>
                </c:pt>
                <c:pt idx="2">
                  <c:v>85.606490699643032</c:v>
                </c:pt>
                <c:pt idx="3">
                  <c:v>85.138832824032249</c:v>
                </c:pt>
                <c:pt idx="4">
                  <c:v>84.551153340067813</c:v>
                </c:pt>
                <c:pt idx="5">
                  <c:v>83.87793932440178</c:v>
                </c:pt>
                <c:pt idx="6">
                  <c:v>83.144365947907545</c:v>
                </c:pt>
                <c:pt idx="7">
                  <c:v>82.367843454993377</c:v>
                </c:pt>
                <c:pt idx="8">
                  <c:v>81.56024581909756</c:v>
                </c:pt>
                <c:pt idx="9">
                  <c:v>80.729719774766778</c:v>
                </c:pt>
                <c:pt idx="10">
                  <c:v>79.881939838201305</c:v>
                </c:pt>
                <c:pt idx="11">
                  <c:v>79.020933138625153</c:v>
                </c:pt>
                <c:pt idx="12">
                  <c:v>78.149614110019428</c:v>
                </c:pt>
                <c:pt idx="13">
                  <c:v>77.270132584698132</c:v>
                </c:pt>
                <c:pt idx="14">
                  <c:v>76.384103270661683</c:v>
                </c:pt>
                <c:pt idx="15">
                  <c:v>75.4927594959765</c:v>
                </c:pt>
                <c:pt idx="16">
                  <c:v>74.597058022142534</c:v>
                </c:pt>
                <c:pt idx="17">
                  <c:v>73.697751757183326</c:v>
                </c:pt>
                <c:pt idx="18">
                  <c:v>72.795441058844872</c:v>
                </c:pt>
                <c:pt idx="19">
                  <c:v>71.890610517374313</c:v>
                </c:pt>
                <c:pt idx="20">
                  <c:v>70.983655728376135</c:v>
                </c:pt>
                <c:pt idx="21">
                  <c:v>70.074903056441116</c:v>
                </c:pt>
                <c:pt idx="22">
                  <c:v>69.164624417501841</c:v>
                </c:pt>
                <c:pt idx="23">
                  <c:v>68.253048471432692</c:v>
                </c:pt>
                <c:pt idx="24">
                  <c:v>67.340369193639333</c:v>
                </c:pt>
                <c:pt idx="25">
                  <c:v>66.426752509376342</c:v>
                </c:pt>
                <c:pt idx="26">
                  <c:v>65.512341479665821</c:v>
                </c:pt>
                <c:pt idx="27">
                  <c:v>64.597260392651577</c:v>
                </c:pt>
                <c:pt idx="28">
                  <c:v>63.681618019443206</c:v>
                </c:pt>
                <c:pt idx="29">
                  <c:v>62.765510226170129</c:v>
                </c:pt>
                <c:pt idx="30">
                  <c:v>61.849022085583542</c:v>
                </c:pt>
                <c:pt idx="31">
                  <c:v>60.93222959640056</c:v>
                </c:pt>
                <c:pt idx="32">
                  <c:v>60.015201092796801</c:v>
                </c:pt>
                <c:pt idx="33">
                  <c:v>59.09799840734874</c:v>
                </c:pt>
                <c:pt idx="34">
                  <c:v>58.180677836441838</c:v>
                </c:pt>
                <c:pt idx="35">
                  <c:v>57.263290946389198</c:v>
                </c:pt>
                <c:pt idx="36">
                  <c:v>56.345885250314858</c:v>
                </c:pt>
                <c:pt idx="37">
                  <c:v>55.42850477958175</c:v>
                </c:pt>
                <c:pt idx="38">
                  <c:v>54.511190568701039</c:v>
                </c:pt>
                <c:pt idx="39">
                  <c:v>53.593981068895509</c:v>
                </c:pt>
                <c:pt idx="40">
                  <c:v>52.676912502545761</c:v>
                </c:pt>
                <c:pt idx="41">
                  <c:v>51.760019168429366</c:v>
                </c:pt>
                <c:pt idx="42">
                  <c:v>50.843333705827185</c:v>
                </c:pt>
                <c:pt idx="43">
                  <c:v>49.926887324109494</c:v>
                </c:pt>
                <c:pt idx="44">
                  <c:v>49.010710003242693</c:v>
                </c:pt>
                <c:pt idx="45">
                  <c:v>48.094830669715506</c:v>
                </c:pt>
                <c:pt idx="46">
                  <c:v>47.179277351620811</c:v>
                </c:pt>
                <c:pt idx="47">
                  <c:v>46.264077316009377</c:v>
                </c:pt>
                <c:pt idx="48">
                  <c:v>45.349257191126291</c:v>
                </c:pt>
                <c:pt idx="49">
                  <c:v>44.434843075725524</c:v>
                </c:pt>
                <c:pt idx="50">
                  <c:v>43.520860637317234</c:v>
                </c:pt>
                <c:pt idx="51">
                  <c:v>42.607335200919358</c:v>
                </c:pt>
                <c:pt idx="52">
                  <c:v>41.69429182965181</c:v>
                </c:pt>
                <c:pt idx="53">
                  <c:v>40.781755398316051</c:v>
                </c:pt>
                <c:pt idx="54">
                  <c:v>39.869750660940262</c:v>
                </c:pt>
                <c:pt idx="55">
                  <c:v>38.958302313134126</c:v>
                </c:pt>
                <c:pt idx="56">
                  <c:v>38.047435049982319</c:v>
                </c:pt>
                <c:pt idx="57">
                  <c:v>37.137173620109394</c:v>
                </c:pt>
                <c:pt idx="58">
                  <c:v>36.227542876467048</c:v>
                </c:pt>
                <c:pt idx="59">
                  <c:v>35.318567824325932</c:v>
                </c:pt>
                <c:pt idx="60">
                  <c:v>34.410273666895002</c:v>
                </c:pt>
                <c:pt idx="61">
                  <c:v>33.50268584894215</c:v>
                </c:pt>
                <c:pt idx="62">
                  <c:v>32.595830098746788</c:v>
                </c:pt>
                <c:pt idx="63">
                  <c:v>31.689732468679487</c:v>
                </c:pt>
                <c:pt idx="64">
                  <c:v>30.784419374671998</c:v>
                </c:pt>
                <c:pt idx="65">
                  <c:v>29.879917634815769</c:v>
                </c:pt>
                <c:pt idx="66">
                  <c:v>28.976254507302926</c:v>
                </c:pt>
                <c:pt idx="67">
                  <c:v>28.073457727906415</c:v>
                </c:pt>
                <c:pt idx="68">
                  <c:v>27.171555547177341</c:v>
                </c:pt>
                <c:pt idx="69">
                  <c:v>26.270576767525519</c:v>
                </c:pt>
                <c:pt idx="70">
                  <c:v>25.370550780336202</c:v>
                </c:pt>
                <c:pt idx="71">
                  <c:v>24.471507603266176</c:v>
                </c:pt>
                <c:pt idx="72">
                  <c:v>23.573477917854191</c:v>
                </c:pt>
                <c:pt idx="73">
                  <c:v>22.67649310757335</c:v>
                </c:pt>
                <c:pt idx="74">
                  <c:v>21.780585296447228</c:v>
                </c:pt>
                <c:pt idx="75">
                  <c:v>20.885787388347367</c:v>
                </c:pt>
                <c:pt idx="76">
                  <c:v>19.992133107084769</c:v>
                </c:pt>
                <c:pt idx="77">
                  <c:v>19.099657037406345</c:v>
                </c:pt>
                <c:pt idx="78">
                  <c:v>18.208394667004228</c:v>
                </c:pt>
                <c:pt idx="79">
                  <c:v>17.318382429644743</c:v>
                </c:pt>
                <c:pt idx="80">
                  <c:v>16.429657749522718</c:v>
                </c:pt>
                <c:pt idx="81">
                  <c:v>15.542259086946487</c:v>
                </c:pt>
                <c:pt idx="82">
                  <c:v>14.656225985459074</c:v>
                </c:pt>
                <c:pt idx="83">
                  <c:v>13.771599120501847</c:v>
                </c:pt>
                <c:pt idx="84">
                  <c:v>12.888420349727383</c:v>
                </c:pt>
                <c:pt idx="85">
                  <c:v>12.006732765070097</c:v>
                </c:pt>
                <c:pt idx="86">
                  <c:v>11.126580746684766</c:v>
                </c:pt>
                <c:pt idx="87">
                  <c:v>10.248010018864989</c:v>
                </c:pt>
                <c:pt idx="88">
                  <c:v>9.3710677080558185</c:v>
                </c:pt>
                <c:pt idx="89">
                  <c:v>8.4958024030775192</c:v>
                </c:pt>
                <c:pt idx="90">
                  <c:v>7.6222642176800122</c:v>
                </c:pt>
                <c:pt idx="91">
                  <c:v>6.7505048555503606</c:v>
                </c:pt>
                <c:pt idx="92">
                  <c:v>5.880577677898799</c:v>
                </c:pt>
                <c:pt idx="93">
                  <c:v>5.0125377737521575</c:v>
                </c:pt>
                <c:pt idx="94">
                  <c:v>4.1464420330864726</c:v>
                </c:pt>
                <c:pt idx="95">
                  <c:v>3.2823492229338882</c:v>
                </c:pt>
                <c:pt idx="96">
                  <c:v>2.4203200666027698</c:v>
                </c:pt>
                <c:pt idx="97">
                  <c:v>1.560417326152475</c:v>
                </c:pt>
                <c:pt idx="98">
                  <c:v>0.70270588826788583</c:v>
                </c:pt>
                <c:pt idx="99">
                  <c:v>-0.15274714631833319</c:v>
                </c:pt>
                <c:pt idx="100">
                  <c:v>-1.0058723697049317</c:v>
                </c:pt>
                <c:pt idx="101">
                  <c:v>-1.8565979698497443</c:v>
                </c:pt>
                <c:pt idx="102">
                  <c:v>-2.7048496295902567</c:v>
                </c:pt>
                <c:pt idx="103">
                  <c:v>-3.5505504215002333</c:v>
                </c:pt>
                <c:pt idx="104">
                  <c:v>-4.3936206984247832</c:v>
                </c:pt>
                <c:pt idx="105">
                  <c:v>-5.2339779795351831</c:v>
                </c:pt>
                <c:pt idx="106">
                  <c:v>-6.0715368317463856</c:v>
                </c:pt>
                <c:pt idx="107">
                  <c:v>-6.9062087463408659</c:v>
                </c:pt>
                <c:pt idx="108">
                  <c:v>-7.7379020106460104</c:v>
                </c:pt>
                <c:pt idx="109">
                  <c:v>-8.5665215746158623</c:v>
                </c:pt>
                <c:pt idx="110">
                  <c:v>-9.3919689121745193</c:v>
                </c:pt>
                <c:pt idx="111">
                  <c:v>-10.214141877185668</c:v>
                </c:pt>
                <c:pt idx="112">
                  <c:v>-11.032934553923283</c:v>
                </c:pt>
                <c:pt idx="113">
                  <c:v>-11.848237101930494</c:v>
                </c:pt>
                <c:pt idx="114">
                  <c:v>-12.659935595169244</c:v>
                </c:pt>
                <c:pt idx="115">
                  <c:v>-13.467911855381772</c:v>
                </c:pt>
                <c:pt idx="116">
                  <c:v>-14.272043279607345</c:v>
                </c:pt>
                <c:pt idx="117">
                  <c:v>-15.072202661823738</c:v>
                </c:pt>
                <c:pt idx="118">
                  <c:v>-15.868258008714832</c:v>
                </c:pt>
                <c:pt idx="119">
                  <c:v>-16.66007234960091</c:v>
                </c:pt>
                <c:pt idx="120">
                  <c:v>-17.447503540611777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3BD-4B1A-B8EF-041E85DD2312}"/>
            </c:ext>
          </c:extLst>
        </c:ser>
        <c:ser>
          <c:idx val="24"/>
          <c:order val="21"/>
          <c:tx>
            <c:strRef>
              <c:f>'Ej-2c_CMex'!$J$7</c:f>
              <c:strCache>
                <c:ptCount val="1"/>
                <c:pt idx="0">
                  <c:v>EQUI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'Ej-2c_CMex'!$K$131:$K$251</c:f>
              <c:numCache>
                <c:formatCode>0.00</c:formatCode>
                <c:ptCount val="121"/>
                <c:pt idx="0">
                  <c:v>3.0001818524934805E-3</c:v>
                </c:pt>
                <c:pt idx="1">
                  <c:v>2.9977470722889459</c:v>
                </c:pt>
                <c:pt idx="2">
                  <c:v>5.9809801902237387</c:v>
                </c:pt>
                <c:pt idx="3">
                  <c:v>8.9356198740029633</c:v>
                </c:pt>
                <c:pt idx="4">
                  <c:v>11.848423613528603</c:v>
                </c:pt>
                <c:pt idx="5">
                  <c:v>14.707328710754236</c:v>
                </c:pt>
                <c:pt idx="6">
                  <c:v>17.50171549859672</c:v>
                </c:pt>
                <c:pt idx="7">
                  <c:v>20.222580520399763</c:v>
                </c:pt>
                <c:pt idx="8">
                  <c:v>22.862618917470154</c:v>
                </c:pt>
                <c:pt idx="9">
                  <c:v>25.416223540742156</c:v>
                </c:pt>
                <c:pt idx="10">
                  <c:v>27.879414208704492</c:v>
                </c:pt>
                <c:pt idx="11">
                  <c:v>30.249713740001805</c:v>
                </c:pt>
                <c:pt idx="12">
                  <c:v>32.525988101668489</c:v>
                </c:pt>
                <c:pt idx="13">
                  <c:v>34.708266789727915</c:v>
                </c:pt>
                <c:pt idx="14">
                  <c:v>36.797557093037263</c:v>
                </c:pt>
                <c:pt idx="15">
                  <c:v>38.795662845742264</c:v>
                </c:pt>
                <c:pt idx="16">
                  <c:v>40.705015174167457</c:v>
                </c:pt>
                <c:pt idx="17">
                  <c:v>42.528519942436652</c:v>
                </c:pt>
                <c:pt idx="18">
                  <c:v>44.269424286019621</c:v>
                </c:pt>
                <c:pt idx="19">
                  <c:v>45.93120285383187</c:v>
                </c:pt>
                <c:pt idx="20">
                  <c:v>47.517463131607421</c:v>
                </c:pt>
                <c:pt idx="21">
                  <c:v>49.031868418487377</c:v>
                </c:pt>
                <c:pt idx="22">
                  <c:v>50.478076582869306</c:v>
                </c:pt>
                <c:pt idx="23">
                  <c:v>51.859692540661385</c:v>
                </c:pt>
                <c:pt idx="24">
                  <c:v>53.180232398143872</c:v>
                </c:pt>
                <c:pt idx="25">
                  <c:v>54.44309731691741</c:v>
                </c:pt>
                <c:pt idx="26">
                  <c:v>55.651555339930219</c:v>
                </c:pt>
                <c:pt idx="27">
                  <c:v>56.808729629492881</c:v>
                </c:pt>
                <c:pt idx="28">
                  <c:v>57.917591786309373</c:v>
                </c:pt>
                <c:pt idx="29">
                  <c:v>58.980959127630975</c:v>
                </c:pt>
                <c:pt idx="30">
                  <c:v>60.001494993983066</c:v>
                </c:pt>
                <c:pt idx="31">
                  <c:v>60.981711323381496</c:v>
                </c:pt>
                <c:pt idx="32">
                  <c:v>61.923972878405841</c:v>
                </c:pt>
                <c:pt idx="33">
                  <c:v>62.830502635655947</c:v>
                </c:pt>
                <c:pt idx="34">
                  <c:v>63.703387950758071</c:v>
                </c:pt>
                <c:pt idx="35">
                  <c:v>64.544587197488653</c:v>
                </c:pt>
                <c:pt idx="36">
                  <c:v>65.355936649180734</c:v>
                </c:pt>
                <c:pt idx="37">
                  <c:v>66.139157426735693</c:v>
                </c:pt>
                <c:pt idx="38">
                  <c:v>66.895862382473751</c:v>
                </c:pt>
                <c:pt idx="39">
                  <c:v>67.627562824657375</c:v>
                </c:pt>
                <c:pt idx="40">
                  <c:v>68.335675015508571</c:v>
                </c:pt>
                <c:pt idx="41">
                  <c:v>69.02152639734274</c:v>
                </c:pt>
                <c:pt idx="42">
                  <c:v>69.686361518266153</c:v>
                </c:pt>
                <c:pt idx="43">
                  <c:v>70.331347641725742</c:v>
                </c:pt>
                <c:pt idx="44">
                  <c:v>70.957580033878898</c:v>
                </c:pt>
                <c:pt idx="45">
                  <c:v>71.566086929930492</c:v>
                </c:pt>
                <c:pt idx="46">
                  <c:v>72.157834185806436</c:v>
                </c:pt>
                <c:pt idx="47">
                  <c:v>72.733729625226104</c:v>
                </c:pt>
                <c:pt idx="48">
                  <c:v>73.294627094748904</c:v>
                </c:pt>
                <c:pt idx="49">
                  <c:v>73.841330240976276</c:v>
                </c:pt>
                <c:pt idx="50">
                  <c:v>74.374596025007492</c:v>
                </c:pt>
                <c:pt idx="51">
                  <c:v>74.895137989647409</c:v>
                </c:pt>
                <c:pt idx="52">
                  <c:v>75.403629294881128</c:v>
                </c:pt>
                <c:pt idx="53">
                  <c:v>75.900705536868642</c:v>
                </c:pt>
                <c:pt idx="54">
                  <c:v>76.386967365254065</c:v>
                </c:pt>
                <c:pt idx="55">
                  <c:v>76.862982912990972</c:v>
                </c:pt>
                <c:pt idx="56">
                  <c:v>77.329290052206161</c:v>
                </c:pt>
                <c:pt idx="57">
                  <c:v>77.786398488894406</c:v>
                </c:pt>
                <c:pt idx="58">
                  <c:v>78.234791708485005</c:v>
                </c:pt>
                <c:pt idx="59">
                  <c:v>78.674928783565136</c:v>
                </c:pt>
                <c:pt idx="60">
                  <c:v>79.107246054303175</c:v>
                </c:pt>
                <c:pt idx="61">
                  <c:v>79.532158691393562</c:v>
                </c:pt>
                <c:pt idx="62">
                  <c:v>79.950062150654446</c:v>
                </c:pt>
                <c:pt idx="63">
                  <c:v>80.361333527752237</c:v>
                </c:pt>
                <c:pt idx="64">
                  <c:v>80.766332820906456</c:v>
                </c:pt>
                <c:pt idx="65">
                  <c:v>81.165404108847198</c:v>
                </c:pt>
                <c:pt idx="66">
                  <c:v>81.558876650753064</c:v>
                </c:pt>
                <c:pt idx="67">
                  <c:v>81.947065914391445</c:v>
                </c:pt>
                <c:pt idx="68">
                  <c:v>82.330274538214752</c:v>
                </c:pt>
                <c:pt idx="69">
                  <c:v>82.708793232731239</c:v>
                </c:pt>
                <c:pt idx="70">
                  <c:v>83.082901626069898</c:v>
                </c:pt>
                <c:pt idx="71">
                  <c:v>83.452869058290133</c:v>
                </c:pt>
                <c:pt idx="72">
                  <c:v>83.818955328649267</c:v>
                </c:pt>
                <c:pt idx="73">
                  <c:v>84.181411399730251</c:v>
                </c:pt>
                <c:pt idx="74">
                  <c:v>84.54048006204934</c:v>
                </c:pt>
                <c:pt idx="75">
                  <c:v>84.896396562503341</c:v>
                </c:pt>
                <c:pt idx="76">
                  <c:v>85.249389199780879</c:v>
                </c:pt>
                <c:pt idx="77">
                  <c:v>85.599679889646765</c:v>
                </c:pt>
                <c:pt idx="78">
                  <c:v>85.947484702813696</c:v>
                </c:pt>
                <c:pt idx="79">
                  <c:v>86.293014377938974</c:v>
                </c:pt>
                <c:pt idx="80">
                  <c:v>86.636474812124419</c:v>
                </c:pt>
                <c:pt idx="81">
                  <c:v>86.978067531154153</c:v>
                </c:pt>
                <c:pt idx="82">
                  <c:v>87.31799014157653</c:v>
                </c:pt>
                <c:pt idx="83">
                  <c:v>87.656436766621553</c:v>
                </c:pt>
                <c:pt idx="84">
                  <c:v>87.993598467843825</c:v>
                </c:pt>
                <c:pt idx="85">
                  <c:v>88.329663654291522</c:v>
                </c:pt>
                <c:pt idx="86">
                  <c:v>88.664818480924211</c:v>
                </c:pt>
                <c:pt idx="87">
                  <c:v>88.99924723793562</c:v>
                </c:pt>
                <c:pt idx="88">
                  <c:v>89.333132732581461</c:v>
                </c:pt>
                <c:pt idx="89">
                  <c:v>89.666656665065275</c:v>
                </c:pt>
                <c:pt idx="90">
                  <c:v>90</c:v>
                </c:pt>
                <c:pt idx="91">
                  <c:v>90.333343334934725</c:v>
                </c:pt>
                <c:pt idx="92">
                  <c:v>90.666867267418525</c:v>
                </c:pt>
                <c:pt idx="93">
                  <c:v>91.000752762064366</c:v>
                </c:pt>
                <c:pt idx="94">
                  <c:v>91.335181519075803</c:v>
                </c:pt>
                <c:pt idx="95">
                  <c:v>91.670336345708478</c:v>
                </c:pt>
                <c:pt idx="96">
                  <c:v>92.006401532156161</c:v>
                </c:pt>
                <c:pt idx="97">
                  <c:v>92.343563233378447</c:v>
                </c:pt>
                <c:pt idx="98">
                  <c:v>92.68200985842347</c:v>
                </c:pt>
                <c:pt idx="99">
                  <c:v>93.021932468845847</c:v>
                </c:pt>
                <c:pt idx="100">
                  <c:v>93.363525187875567</c:v>
                </c:pt>
                <c:pt idx="101">
                  <c:v>93.706985622061026</c:v>
                </c:pt>
                <c:pt idx="102">
                  <c:v>94.052515297186304</c:v>
                </c:pt>
                <c:pt idx="103">
                  <c:v>94.400320110353235</c:v>
                </c:pt>
                <c:pt idx="104">
                  <c:v>94.750610800219121</c:v>
                </c:pt>
                <c:pt idx="105">
                  <c:v>95.103603437496659</c:v>
                </c:pt>
                <c:pt idx="106">
                  <c:v>95.459519937950645</c:v>
                </c:pt>
                <c:pt idx="107">
                  <c:v>95.818588600269749</c:v>
                </c:pt>
                <c:pt idx="108">
                  <c:v>96.181044671350733</c:v>
                </c:pt>
                <c:pt idx="109">
                  <c:v>96.547130941709852</c:v>
                </c:pt>
                <c:pt idx="110">
                  <c:v>96.917098373930088</c:v>
                </c:pt>
                <c:pt idx="111">
                  <c:v>97.291206767268747</c:v>
                </c:pt>
                <c:pt idx="112">
                  <c:v>97.669725461785248</c:v>
                </c:pt>
                <c:pt idx="113">
                  <c:v>98.052934085608555</c:v>
                </c:pt>
                <c:pt idx="114">
                  <c:v>98.441123349246951</c:v>
                </c:pt>
                <c:pt idx="115">
                  <c:v>98.834595891152787</c:v>
                </c:pt>
                <c:pt idx="116">
                  <c:v>99.233667179093544</c:v>
                </c:pt>
                <c:pt idx="117">
                  <c:v>99.638666472247749</c:v>
                </c:pt>
                <c:pt idx="118">
                  <c:v>100.04993784934554</c:v>
                </c:pt>
                <c:pt idx="119">
                  <c:v>100.46784130860644</c:v>
                </c:pt>
                <c:pt idx="120">
                  <c:v>100.89275394569681</c:v>
                </c:pt>
              </c:numCache>
            </c:numRef>
          </c:xVal>
          <c:yVal>
            <c:numRef>
              <c:f>'Ej-2c_CMex'!$J$131:$J$251</c:f>
              <c:numCache>
                <c:formatCode>0.00</c:formatCode>
                <c:ptCount val="121"/>
                <c:pt idx="0">
                  <c:v>70.529999975315633</c:v>
                </c:pt>
                <c:pt idx="1">
                  <c:v>70.505331291074896</c:v>
                </c:pt>
                <c:pt idx="2">
                  <c:v>70.43151198701473</c:v>
                </c:pt>
                <c:pt idx="3">
                  <c:v>70.309095561217205</c:v>
                </c:pt>
                <c:pt idx="4">
                  <c:v>70.138981755758749</c:v>
                </c:pt>
                <c:pt idx="5">
                  <c:v>69.922384527313454</c:v>
                </c:pt>
                <c:pt idx="6">
                  <c:v>69.660790895847327</c:v>
                </c:pt>
                <c:pt idx="7">
                  <c:v>69.355913772678264</c:v>
                </c:pt>
                <c:pt idx="8">
                  <c:v>69.009641958424055</c:v>
                </c:pt>
                <c:pt idx="9">
                  <c:v>68.623990268683585</c:v>
                </c:pt>
                <c:pt idx="10">
                  <c:v>68.201052257453327</c:v>
                </c:pt>
                <c:pt idx="11">
                  <c:v>67.742957378443492</c:v>
                </c:pt>
                <c:pt idx="12">
                  <c:v>67.251833760857295</c:v>
                </c:pt>
                <c:pt idx="13">
                  <c:v>66.729777163840552</c:v>
                </c:pt>
                <c:pt idx="14">
                  <c:v>66.178826166557926</c:v>
                </c:pt>
                <c:pt idx="15">
                  <c:v>65.60094327232045</c:v>
                </c:pt>
                <c:pt idx="16">
                  <c:v>64.998001355104762</c:v>
                </c:pt>
                <c:pt idx="17">
                  <c:v>64.371774739398234</c:v>
                </c:pt>
                <c:pt idx="18">
                  <c:v>63.723934156186687</c:v>
                </c:pt>
                <c:pt idx="19">
                  <c:v>63.056044834091509</c:v>
                </c:pt>
                <c:pt idx="20">
                  <c:v>62.369567042435882</c:v>
                </c:pt>
                <c:pt idx="21">
                  <c:v>61.665858483812357</c:v>
                </c:pt>
                <c:pt idx="22">
                  <c:v>60.946178023669376</c:v>
                </c:pt>
                <c:pt idx="23">
                  <c:v>60.211690334010719</c:v>
                </c:pt>
                <c:pt idx="24">
                  <c:v>59.463471111601656</c:v>
                </c:pt>
                <c:pt idx="25">
                  <c:v>58.702512604921807</c:v>
                </c:pt>
                <c:pt idx="26">
                  <c:v>57.929729247255004</c:v>
                </c:pt>
                <c:pt idx="27">
                  <c:v>57.145963245777175</c:v>
                </c:pt>
                <c:pt idx="28">
                  <c:v>56.351990019053666</c:v>
                </c:pt>
                <c:pt idx="29">
                  <c:v>55.548523409132727</c:v>
                </c:pt>
                <c:pt idx="30">
                  <c:v>54.736220620699484</c:v>
                </c:pt>
                <c:pt idx="31">
                  <c:v>53.915686859800886</c:v>
                </c:pt>
                <c:pt idx="32">
                  <c:v>53.087479659629729</c:v>
                </c:pt>
                <c:pt idx="33">
                  <c:v>52.252112891789395</c:v>
                </c:pt>
                <c:pt idx="34">
                  <c:v>51.410060469219189</c:v>
                </c:pt>
                <c:pt idx="35">
                  <c:v>50.561759752264535</c:v>
                </c:pt>
                <c:pt idx="36">
                  <c:v>49.707614672812532</c:v>
                </c:pt>
                <c:pt idx="37">
                  <c:v>48.847998593449702</c:v>
                </c:pt>
                <c:pt idx="38">
                  <c:v>47.983256919603008</c:v>
                </c:pt>
                <c:pt idx="39">
                  <c:v>47.113709482886527</c:v>
                </c:pt>
                <c:pt idx="40">
                  <c:v>46.239652713611846</c:v>
                </c:pt>
                <c:pt idx="41">
                  <c:v>45.361361619801073</c:v>
                </c:pt>
                <c:pt idx="42">
                  <c:v>44.479091589189856</c:v>
                </c:pt>
                <c:pt idx="43">
                  <c:v>43.593080029719914</c:v>
                </c:pt>
                <c:pt idx="44">
                  <c:v>42.70354786296194</c:v>
                </c:pt>
                <c:pt idx="45">
                  <c:v>41.810700883830016</c:v>
                </c:pt>
                <c:pt idx="46">
                  <c:v>40.914730998881993</c:v>
                </c:pt>
                <c:pt idx="47">
                  <c:v>40.015817354468609</c:v>
                </c:pt>
                <c:pt idx="48">
                  <c:v>39.114127365013566</c:v>
                </c:pt>
                <c:pt idx="49">
                  <c:v>38.209817650785304</c:v>
                </c:pt>
                <c:pt idx="50">
                  <c:v>37.303034893663799</c:v>
                </c:pt>
                <c:pt idx="51">
                  <c:v>36.39391661861297</c:v>
                </c:pt>
                <c:pt idx="52">
                  <c:v>35.482591907842334</c:v>
                </c:pt>
                <c:pt idx="53">
                  <c:v>34.569182053975688</c:v>
                </c:pt>
                <c:pt idx="54">
                  <c:v>33.653801157938815</c:v>
                </c:pt>
                <c:pt idx="55">
                  <c:v>32.736556676728213</c:v>
                </c:pt>
                <c:pt idx="56">
                  <c:v>31.817549925723796</c:v>
                </c:pt>
                <c:pt idx="57">
                  <c:v>30.89687653975836</c:v>
                </c:pt>
                <c:pt idx="58">
                  <c:v>29.974626896749001</c:v>
                </c:pt>
                <c:pt idx="59">
                  <c:v>29.050886507329288</c:v>
                </c:pt>
                <c:pt idx="60">
                  <c:v>28.125736373589902</c:v>
                </c:pt>
                <c:pt idx="61">
                  <c:v>27.199253319737942</c:v>
                </c:pt>
                <c:pt idx="62">
                  <c:v>26.271510297217453</c:v>
                </c:pt>
                <c:pt idx="63">
                  <c:v>25.342576666592237</c:v>
                </c:pt>
                <c:pt idx="64">
                  <c:v>24.412518458276125</c:v>
                </c:pt>
                <c:pt idx="65">
                  <c:v>23.481398614000241</c:v>
                </c:pt>
                <c:pt idx="66">
                  <c:v>22.549277210732257</c:v>
                </c:pt>
                <c:pt idx="67">
                  <c:v>21.616211668604834</c:v>
                </c:pt>
                <c:pt idx="68">
                  <c:v>20.682256944268843</c:v>
                </c:pt>
                <c:pt idx="69">
                  <c:v>19.74746571096</c:v>
                </c:pt>
                <c:pt idx="70">
                  <c:v>18.811888526452208</c:v>
                </c:pt>
                <c:pt idx="71">
                  <c:v>17.875573989969354</c:v>
                </c:pt>
                <c:pt idx="72">
                  <c:v>16.938568889033249</c:v>
                </c:pt>
                <c:pt idx="73">
                  <c:v>16.000918337143347</c:v>
                </c:pt>
                <c:pt idx="74">
                  <c:v>15.062665903108368</c:v>
                </c:pt>
                <c:pt idx="75">
                  <c:v>14.123853732783402</c:v>
                </c:pt>
                <c:pt idx="76">
                  <c:v>13.184522663905156</c:v>
                </c:pt>
                <c:pt idx="77">
                  <c:v>12.244712334664186</c:v>
                </c:pt>
                <c:pt idx="78">
                  <c:v>11.304461286604621</c:v>
                </c:pt>
                <c:pt idx="79">
                  <c:v>10.363807062397825</c:v>
                </c:pt>
                <c:pt idx="80">
                  <c:v>9.4227862989986448</c:v>
                </c:pt>
                <c:pt idx="81">
                  <c:v>8.4814348166572984</c:v>
                </c:pt>
                <c:pt idx="82">
                  <c:v>7.5397877042301218</c:v>
                </c:pt>
                <c:pt idx="83">
                  <c:v>6.5978794012046365</c:v>
                </c:pt>
                <c:pt idx="84">
                  <c:v>5.6557437768308603</c:v>
                </c:pt>
                <c:pt idx="85">
                  <c:v>4.7134142067299933</c:v>
                </c:pt>
                <c:pt idx="86">
                  <c:v>3.7709236473330634</c:v>
                </c:pt>
                <c:pt idx="87">
                  <c:v>2.8283047084874937</c:v>
                </c:pt>
                <c:pt idx="88">
                  <c:v>1.8855897245556577</c:v>
                </c:pt>
                <c:pt idx="89">
                  <c:v>0.94281082432004837</c:v>
                </c:pt>
                <c:pt idx="90">
                  <c:v>0</c:v>
                </c:pt>
                <c:pt idx="91">
                  <c:v>-0.94281082432004837</c:v>
                </c:pt>
                <c:pt idx="92">
                  <c:v>-1.8855897245556577</c:v>
                </c:pt>
                <c:pt idx="93">
                  <c:v>-2.8283047084874795</c:v>
                </c:pt>
                <c:pt idx="94">
                  <c:v>-3.7709236473330776</c:v>
                </c:pt>
                <c:pt idx="95">
                  <c:v>-4.7134142067299933</c:v>
                </c:pt>
                <c:pt idx="96">
                  <c:v>-5.6557437768308603</c:v>
                </c:pt>
                <c:pt idx="97">
                  <c:v>-6.5978794012046222</c:v>
                </c:pt>
                <c:pt idx="98">
                  <c:v>-7.5397877042301218</c:v>
                </c:pt>
                <c:pt idx="99">
                  <c:v>-8.4814348166572842</c:v>
                </c:pt>
                <c:pt idx="100">
                  <c:v>-9.4227862989986306</c:v>
                </c:pt>
                <c:pt idx="101">
                  <c:v>-10.363807062397825</c:v>
                </c:pt>
                <c:pt idx="102">
                  <c:v>-11.304461286604621</c:v>
                </c:pt>
                <c:pt idx="103">
                  <c:v>-12.244712334664186</c:v>
                </c:pt>
                <c:pt idx="104">
                  <c:v>-13.184522663905156</c:v>
                </c:pt>
                <c:pt idx="105">
                  <c:v>-14.123853732783402</c:v>
                </c:pt>
                <c:pt idx="106">
                  <c:v>-15.062665903108353</c:v>
                </c:pt>
                <c:pt idx="107">
                  <c:v>-16.000918337143332</c:v>
                </c:pt>
                <c:pt idx="108">
                  <c:v>-16.938568889033249</c:v>
                </c:pt>
                <c:pt idx="109">
                  <c:v>-17.87557398996934</c:v>
                </c:pt>
                <c:pt idx="110">
                  <c:v>-18.811888526452194</c:v>
                </c:pt>
                <c:pt idx="111">
                  <c:v>-19.747465710959986</c:v>
                </c:pt>
                <c:pt idx="112">
                  <c:v>-20.682256944268858</c:v>
                </c:pt>
                <c:pt idx="113">
                  <c:v>-21.616211668604834</c:v>
                </c:pt>
                <c:pt idx="114">
                  <c:v>-22.549277210732271</c:v>
                </c:pt>
                <c:pt idx="115">
                  <c:v>-23.481398614000227</c:v>
                </c:pt>
                <c:pt idx="116">
                  <c:v>-24.412518458276125</c:v>
                </c:pt>
                <c:pt idx="117">
                  <c:v>-25.342576666592208</c:v>
                </c:pt>
                <c:pt idx="118">
                  <c:v>-26.271510297217446</c:v>
                </c:pt>
                <c:pt idx="119">
                  <c:v>-27.199253319737934</c:v>
                </c:pt>
                <c:pt idx="120">
                  <c:v>-28.125736373589874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3BD-4B1A-B8EF-041E85DD2312}"/>
            </c:ext>
          </c:extLst>
        </c:ser>
        <c:ser>
          <c:idx val="26"/>
          <c:order val="22"/>
          <c:tx>
            <c:strRef>
              <c:f>'Ej-2c_CMex'!$P$7</c:f>
              <c:strCache>
                <c:ptCount val="1"/>
                <c:pt idx="0">
                  <c:v>SINV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'Ej-2c_CMex'!$Q$131:$Q$251</c:f>
              <c:numCache>
                <c:formatCode>0.00</c:formatCode>
                <c:ptCount val="121"/>
                <c:pt idx="0">
                  <c:v>1.3471942150837801E-3</c:v>
                </c:pt>
                <c:pt idx="1">
                  <c:v>1.3469698341348708</c:v>
                </c:pt>
                <c:pt idx="2">
                  <c:v>2.6925945798089361</c:v>
                </c:pt>
                <c:pt idx="3">
                  <c:v>4.0355374523288967</c:v>
                </c:pt>
                <c:pt idx="4">
                  <c:v>5.3744781466549885</c:v>
                </c:pt>
                <c:pt idx="5">
                  <c:v>6.7081207611887415</c:v>
                </c:pt>
                <c:pt idx="6">
                  <c:v>8.035201352390537</c:v>
                </c:pt>
                <c:pt idx="7">
                  <c:v>9.354495013482337</c:v>
                </c:pt>
                <c:pt idx="8">
                  <c:v>10.664822383515578</c:v>
                </c:pt>
                <c:pt idx="9">
                  <c:v>11.965055508268509</c:v>
                </c:pt>
                <c:pt idx="10">
                  <c:v>13.254122991112126</c:v>
                </c:pt>
                <c:pt idx="11">
                  <c:v>14.531014389532762</c:v>
                </c:pt>
                <c:pt idx="12">
                  <c:v>15.794783830699552</c:v>
                </c:pt>
                <c:pt idx="13">
                  <c:v>17.044552836751386</c:v>
                </c:pt>
                <c:pt idx="14">
                  <c:v>18.279512366757608</c:v>
                </c:pt>
                <c:pt idx="15">
                  <c:v>19.498924097135607</c:v>
                </c:pt>
                <c:pt idx="16">
                  <c:v>20.702120975325052</c:v>
                </c:pt>
                <c:pt idx="17">
                  <c:v>21.888507092468686</c:v>
                </c:pt>
                <c:pt idx="18">
                  <c:v>23.057556929611195</c:v>
                </c:pt>
                <c:pt idx="19">
                  <c:v>24.20881403844853</c:v>
                </c:pt>
                <c:pt idx="20">
                  <c:v>25.341889222014832</c:v>
                </c:pt>
                <c:pt idx="21">
                  <c:v>26.456458283002039</c:v>
                </c:pt>
                <c:pt idx="22">
                  <c:v>27.552259407868142</c:v>
                </c:pt>
                <c:pt idx="23">
                  <c:v>28.629090253729746</c:v>
                </c:pt>
                <c:pt idx="24">
                  <c:v>29.686804802515642</c:v>
                </c:pt>
                <c:pt idx="25">
                  <c:v>30.725310043234234</c:v>
                </c:pt>
                <c:pt idx="26">
                  <c:v>31.744562538757208</c:v>
                </c:pt>
                <c:pt idx="27">
                  <c:v>32.744564928471718</c:v>
                </c:pt>
                <c:pt idx="28">
                  <c:v>33.725362412746946</c:v>
                </c:pt>
                <c:pt idx="29">
                  <c:v>34.687039259585234</c:v>
                </c:pt>
                <c:pt idx="30">
                  <c:v>35.62971536825917</c:v>
                </c:pt>
                <c:pt idx="31">
                  <c:v>36.55354291930864</c:v>
                </c:pt>
                <c:pt idx="32">
                  <c:v>37.45870313510013</c:v>
                </c:pt>
                <c:pt idx="33">
                  <c:v>38.345403170312196</c:v>
                </c:pt>
                <c:pt idx="34">
                  <c:v>39.213873147264678</c:v>
                </c:pt>
                <c:pt idx="35">
                  <c:v>40.064363346990831</c:v>
                </c:pt>
                <c:pt idx="36">
                  <c:v>40.897141563373594</c:v>
                </c:pt>
                <c:pt idx="37">
                  <c:v>41.712490624534162</c:v>
                </c:pt>
                <c:pt idx="38">
                  <c:v>42.510706082960191</c:v>
                </c:pt>
                <c:pt idx="39">
                  <c:v>43.292094073570773</c:v>
                </c:pt>
                <c:pt idx="40">
                  <c:v>44.056969337010642</c:v>
                </c:pt>
                <c:pt idx="41">
                  <c:v>44.805653403914185</c:v>
                </c:pt>
                <c:pt idx="42">
                  <c:v>45.538472934648127</c:v>
                </c:pt>
                <c:pt idx="43">
                  <c:v>46.255758208093624</c:v>
                </c:pt>
                <c:pt idx="44">
                  <c:v>46.957841752332435</c:v>
                </c:pt>
                <c:pt idx="45">
                  <c:v>47.645057109621348</c:v>
                </c:pt>
                <c:pt idx="46">
                  <c:v>48.317737727745317</c:v>
                </c:pt>
                <c:pt idx="47">
                  <c:v>48.97621596970221</c:v>
                </c:pt>
                <c:pt idx="48">
                  <c:v>49.620822233664946</c:v>
                </c:pt>
                <c:pt idx="49">
                  <c:v>50.251884175265417</c:v>
                </c:pt>
                <c:pt idx="50">
                  <c:v>50.869726024428253</c:v>
                </c:pt>
                <c:pt idx="51">
                  <c:v>51.474667989232636</c:v>
                </c:pt>
                <c:pt idx="52">
                  <c:v>52.067025739580103</c:v>
                </c:pt>
                <c:pt idx="53">
                  <c:v>52.647109963783372</c:v>
                </c:pt>
                <c:pt idx="54">
                  <c:v>53.215225991550376</c:v>
                </c:pt>
                <c:pt idx="55">
                  <c:v>53.771673477215309</c:v>
                </c:pt>
                <c:pt idx="56">
                  <c:v>54.316746137448462</c:v>
                </c:pt>
                <c:pt idx="57">
                  <c:v>54.850731538060089</c:v>
                </c:pt>
                <c:pt idx="58">
                  <c:v>55.373910924889671</c:v>
                </c:pt>
                <c:pt idx="59">
                  <c:v>55.886559094138846</c:v>
                </c:pt>
                <c:pt idx="60">
                  <c:v>56.388944297861826</c:v>
                </c:pt>
                <c:pt idx="61">
                  <c:v>56.881328180665918</c:v>
                </c:pt>
                <c:pt idx="62">
                  <c:v>57.363965743998477</c:v>
                </c:pt>
                <c:pt idx="63">
                  <c:v>57.837105334701697</c:v>
                </c:pt>
                <c:pt idx="64">
                  <c:v>58.300988654804229</c:v>
                </c:pt>
                <c:pt idx="65">
                  <c:v>58.755850789786905</c:v>
                </c:pt>
                <c:pt idx="66">
                  <c:v>59.201920252810517</c:v>
                </c:pt>
                <c:pt idx="67">
                  <c:v>59.639419042625917</c:v>
                </c:pt>
                <c:pt idx="68">
                  <c:v>60.068562713101038</c:v>
                </c:pt>
                <c:pt idx="69">
                  <c:v>60.489560452497734</c:v>
                </c:pt>
                <c:pt idx="70">
                  <c:v>60.902615170812922</c:v>
                </c:pt>
                <c:pt idx="71">
                  <c:v>61.307923593664206</c:v>
                </c:pt>
                <c:pt idx="72">
                  <c:v>61.705676361352737</c:v>
                </c:pt>
                <c:pt idx="73">
                  <c:v>62.096058131873676</c:v>
                </c:pt>
                <c:pt idx="74">
                  <c:v>62.479247686769391</c:v>
                </c:pt>
                <c:pt idx="75">
                  <c:v>62.855418038834927</c:v>
                </c:pt>
                <c:pt idx="76">
                  <c:v>63.224736540785472</c:v>
                </c:pt>
                <c:pt idx="77">
                  <c:v>63.587364994089221</c:v>
                </c:pt>
                <c:pt idx="78">
                  <c:v>63.943459757248881</c:v>
                </c:pt>
                <c:pt idx="79">
                  <c:v>64.293171852889401</c:v>
                </c:pt>
                <c:pt idx="80">
                  <c:v>64.636647073073348</c:v>
                </c:pt>
                <c:pt idx="81">
                  <c:v>64.974026082322069</c:v>
                </c:pt>
                <c:pt idx="82">
                  <c:v>65.305444517871109</c:v>
                </c:pt>
                <c:pt idx="83">
                  <c:v>65.631033086729985</c:v>
                </c:pt>
                <c:pt idx="84">
                  <c:v>65.950917659154442</c:v>
                </c:pt>
                <c:pt idx="85">
                  <c:v>66.265219358169119</c:v>
                </c:pt>
                <c:pt idx="86">
                  <c:v>66.574054644804477</c:v>
                </c:pt>
                <c:pt idx="87">
                  <c:v>66.877535398731638</c:v>
                </c:pt>
                <c:pt idx="88">
                  <c:v>67.17576899399451</c:v>
                </c:pt>
                <c:pt idx="89">
                  <c:v>67.468858369548826</c:v>
                </c:pt>
                <c:pt idx="90">
                  <c:v>67.756902094323877</c:v>
                </c:pt>
                <c:pt idx="91">
                  <c:v>68.039994426524757</c:v>
                </c:pt>
                <c:pt idx="92">
                  <c:v>68.318225366889934</c:v>
                </c:pt>
                <c:pt idx="93">
                  <c:v>68.591680705612447</c:v>
                </c:pt>
                <c:pt idx="94">
                  <c:v>68.860442062621672</c:v>
                </c:pt>
                <c:pt idx="95">
                  <c:v>69.124586920907305</c:v>
                </c:pt>
                <c:pt idx="96">
                  <c:v>69.38418865254711</c:v>
                </c:pt>
                <c:pt idx="97">
                  <c:v>69.639316537075359</c:v>
                </c:pt>
                <c:pt idx="98">
                  <c:v>69.890035771799461</c:v>
                </c:pt>
                <c:pt idx="99">
                  <c:v>70.136407473637334</c:v>
                </c:pt>
                <c:pt idx="100">
                  <c:v>70.378488672008004</c:v>
                </c:pt>
                <c:pt idx="101">
                  <c:v>70.616332292261177</c:v>
                </c:pt>
                <c:pt idx="102">
                  <c:v>70.849987129078926</c:v>
                </c:pt>
                <c:pt idx="103">
                  <c:v>71.079497809221706</c:v>
                </c:pt>
                <c:pt idx="104">
                  <c:v>71.304904742923469</c:v>
                </c:pt>
                <c:pt idx="105">
                  <c:v>71.526244063162238</c:v>
                </c:pt>
                <c:pt idx="106">
                  <c:v>71.743547551946179</c:v>
                </c:pt>
                <c:pt idx="107">
                  <c:v>71.956842552655885</c:v>
                </c:pt>
                <c:pt idx="108">
                  <c:v>72.16615186737279</c:v>
                </c:pt>
                <c:pt idx="109">
                  <c:v>72.371493637997744</c:v>
                </c:pt>
                <c:pt idx="110">
                  <c:v>72.572881209821915</c:v>
                </c:pt>
                <c:pt idx="111">
                  <c:v>72.770322976051844</c:v>
                </c:pt>
                <c:pt idx="112">
                  <c:v>72.963822201608835</c:v>
                </c:pt>
                <c:pt idx="113">
                  <c:v>73.153376824316865</c:v>
                </c:pt>
                <c:pt idx="114">
                  <c:v>73.338979231359914</c:v>
                </c:pt>
                <c:pt idx="115">
                  <c:v>73.520616008623833</c:v>
                </c:pt>
                <c:pt idx="116">
                  <c:v>73.698267660235743</c:v>
                </c:pt>
                <c:pt idx="117">
                  <c:v>73.871908295268796</c:v>
                </c:pt>
                <c:pt idx="118">
                  <c:v>74.041505278186477</c:v>
                </c:pt>
                <c:pt idx="119">
                  <c:v>74.20701883914883</c:v>
                </c:pt>
                <c:pt idx="120">
                  <c:v>74.368401639785873</c:v>
                </c:pt>
              </c:numCache>
            </c:numRef>
          </c:xVal>
          <c:yVal>
            <c:numRef>
              <c:f>'Ej-2c_CMex'!$P$131:$P$251</c:f>
              <c:numCache>
                <c:formatCode>0.00</c:formatCode>
                <c:ptCount val="121"/>
                <c:pt idx="0">
                  <c:v>47.079999988915787</c:v>
                </c:pt>
                <c:pt idx="1">
                  <c:v>47.068917227259583</c:v>
                </c:pt>
                <c:pt idx="2">
                  <c:v>47.035686098882557</c:v>
                </c:pt>
                <c:pt idx="3">
                  <c:v>46.980358051661348</c:v>
                </c:pt>
                <c:pt idx="4">
                  <c:v>46.903018373501695</c:v>
                </c:pt>
                <c:pt idx="5">
                  <c:v>46.803785551572936</c:v>
                </c:pt>
                <c:pt idx="6">
                  <c:v>46.682810375991217</c:v>
                </c:pt>
                <c:pt idx="7">
                  <c:v>46.54027481468566</c:v>
                </c:pt>
                <c:pt idx="8">
                  <c:v>46.376390678714422</c:v>
                </c:pt>
                <c:pt idx="9">
                  <c:v>46.191398100330787</c:v>
                </c:pt>
                <c:pt idx="10">
                  <c:v>45.985563848481284</c:v>
                </c:pt>
                <c:pt idx="11">
                  <c:v>45.759179508103628</c:v>
                </c:pt>
                <c:pt idx="12">
                  <c:v>45.512559550575133</c:v>
                </c:pt>
                <c:pt idx="13">
                  <c:v>45.246039322954417</c:v>
                </c:pt>
                <c:pt idx="14">
                  <c:v>44.959972983304397</c:v>
                </c:pt>
                <c:pt idx="15">
                  <c:v>44.65473140844351</c:v>
                </c:pt>
                <c:pt idx="16">
                  <c:v>44.330700099022657</c:v>
                </c:pt>
                <c:pt idx="17">
                  <c:v>43.988277104957106</c:v>
                </c:pt>
                <c:pt idx="18">
                  <c:v>43.627870992047768</c:v>
                </c:pt>
                <c:pt idx="19">
                  <c:v>43.24989886820191</c:v>
                </c:pt>
                <c:pt idx="20">
                  <c:v>42.854784485100012</c:v>
                </c:pt>
                <c:pt idx="21">
                  <c:v>42.442956428537855</c:v>
                </c:pt>
                <c:pt idx="22">
                  <c:v>42.014846408077581</c:v>
                </c:pt>
                <c:pt idx="23">
                  <c:v>41.570887654131923</c:v>
                </c:pt>
                <c:pt idx="24">
                  <c:v>41.111513428235085</c:v>
                </c:pt>
                <c:pt idx="25">
                  <c:v>40.637155650062624</c:v>
                </c:pt>
                <c:pt idx="26">
                  <c:v>40.148243642778901</c:v>
                </c:pt>
                <c:pt idx="27">
                  <c:v>39.645202996534053</c:v>
                </c:pt>
                <c:pt idx="28">
                  <c:v>39.128454548408783</c:v>
                </c:pt>
                <c:pt idx="29">
                  <c:v>38.598413475817374</c:v>
                </c:pt>
                <c:pt idx="30">
                  <c:v>38.055488499318386</c:v>
                </c:pt>
                <c:pt idx="31">
                  <c:v>37.50008118993842</c:v>
                </c:pt>
                <c:pt idx="32">
                  <c:v>36.932585375469621</c:v>
                </c:pt>
                <c:pt idx="33">
                  <c:v>36.353386639739426</c:v>
                </c:pt>
                <c:pt idx="34">
                  <c:v>35.762861908550668</c:v>
                </c:pt>
                <c:pt idx="35">
                  <c:v>35.161379115831174</c:v>
                </c:pt>
                <c:pt idx="36">
                  <c:v>34.549296943494092</c:v>
                </c:pt>
                <c:pt idx="37">
                  <c:v>33.926964628574645</c:v>
                </c:pt>
                <c:pt idx="38">
                  <c:v>33.294721831355695</c:v>
                </c:pt>
                <c:pt idx="39">
                  <c:v>32.652898558408346</c:v>
                </c:pt>
                <c:pt idx="40">
                  <c:v>32.0018151347386</c:v>
                </c:pt>
                <c:pt idx="41">
                  <c:v>31.341782219533727</c:v>
                </c:pt>
                <c:pt idx="42">
                  <c:v>30.673100860329683</c:v>
                </c:pt>
                <c:pt idx="43">
                  <c:v>29.996062580766349</c:v>
                </c:pt>
                <c:pt idx="44">
                  <c:v>29.310949497447474</c:v>
                </c:pt>
                <c:pt idx="45">
                  <c:v>28.618034461775743</c:v>
                </c:pt>
                <c:pt idx="46">
                  <c:v>27.917581222978889</c:v>
                </c:pt>
                <c:pt idx="47">
                  <c:v>27.209844608881085</c:v>
                </c:pt>
                <c:pt idx="48">
                  <c:v>26.495070721296919</c:v>
                </c:pt>
                <c:pt idx="49">
                  <c:v>25.773497143234351</c:v>
                </c:pt>
                <c:pt idx="50">
                  <c:v>25.045353155384277</c:v>
                </c:pt>
                <c:pt idx="51">
                  <c:v>24.310859959646649</c:v>
                </c:pt>
                <c:pt idx="52">
                  <c:v>23.570230907697734</c:v>
                </c:pt>
                <c:pt idx="53">
                  <c:v>22.82367173283717</c:v>
                </c:pt>
                <c:pt idx="54">
                  <c:v>22.07138078357049</c:v>
                </c:pt>
                <c:pt idx="55">
                  <c:v>21.313549257579197</c:v>
                </c:pt>
                <c:pt idx="56">
                  <c:v>20.550361434912219</c:v>
                </c:pt>
                <c:pt idx="57">
                  <c:v>19.781994909394058</c:v>
                </c:pt>
                <c:pt idx="58">
                  <c:v>19.008620817393748</c:v>
                </c:pt>
                <c:pt idx="59">
                  <c:v>18.230404063230679</c:v>
                </c:pt>
                <c:pt idx="60">
                  <c:v>17.447503540611791</c:v>
                </c:pt>
                <c:pt idx="61">
                  <c:v>16.660072349600924</c:v>
                </c:pt>
                <c:pt idx="62">
                  <c:v>15.868258008714832</c:v>
                </c:pt>
                <c:pt idx="63">
                  <c:v>15.072202661823752</c:v>
                </c:pt>
                <c:pt idx="64">
                  <c:v>14.272043279607331</c:v>
                </c:pt>
                <c:pt idx="65">
                  <c:v>13.467911855381786</c:v>
                </c:pt>
                <c:pt idx="66">
                  <c:v>12.659935595169244</c:v>
                </c:pt>
                <c:pt idx="67">
                  <c:v>11.848237101930494</c:v>
                </c:pt>
                <c:pt idx="68">
                  <c:v>11.032934553923283</c:v>
                </c:pt>
                <c:pt idx="69">
                  <c:v>10.214141877185668</c:v>
                </c:pt>
                <c:pt idx="70">
                  <c:v>9.3919689121745336</c:v>
                </c:pt>
                <c:pt idx="71">
                  <c:v>8.5665215746158765</c:v>
                </c:pt>
                <c:pt idx="72">
                  <c:v>7.7379020106460246</c:v>
                </c:pt>
                <c:pt idx="73">
                  <c:v>6.9062087463408659</c:v>
                </c:pt>
                <c:pt idx="74">
                  <c:v>6.0715368317463998</c:v>
                </c:pt>
                <c:pt idx="75">
                  <c:v>5.2339779795351831</c:v>
                </c:pt>
                <c:pt idx="76">
                  <c:v>4.3936206984247832</c:v>
                </c:pt>
                <c:pt idx="77">
                  <c:v>3.5505504215002333</c:v>
                </c:pt>
                <c:pt idx="78">
                  <c:v>2.7048496295902567</c:v>
                </c:pt>
                <c:pt idx="79">
                  <c:v>1.8565979698497586</c:v>
                </c:pt>
                <c:pt idx="80">
                  <c:v>1.0058723697049459</c:v>
                </c:pt>
                <c:pt idx="81">
                  <c:v>0.15274714631833319</c:v>
                </c:pt>
                <c:pt idx="82">
                  <c:v>-0.70270588826787161</c:v>
                </c:pt>
                <c:pt idx="83">
                  <c:v>-1.560417326152475</c:v>
                </c:pt>
                <c:pt idx="84">
                  <c:v>-2.4203200666027698</c:v>
                </c:pt>
                <c:pt idx="85">
                  <c:v>-3.2823492229338882</c:v>
                </c:pt>
                <c:pt idx="86">
                  <c:v>-4.1464420330864868</c:v>
                </c:pt>
                <c:pt idx="87">
                  <c:v>-5.0125377737521575</c:v>
                </c:pt>
                <c:pt idx="88">
                  <c:v>-5.8805776778987848</c:v>
                </c:pt>
                <c:pt idx="89">
                  <c:v>-6.7505048555503464</c:v>
                </c:pt>
                <c:pt idx="90">
                  <c:v>-7.6222642176800122</c:v>
                </c:pt>
                <c:pt idx="91">
                  <c:v>-8.4958024030775192</c:v>
                </c:pt>
                <c:pt idx="92">
                  <c:v>-9.3710677080558042</c:v>
                </c:pt>
                <c:pt idx="93">
                  <c:v>-10.248010018864974</c:v>
                </c:pt>
                <c:pt idx="94">
                  <c:v>-11.126580746684766</c:v>
                </c:pt>
                <c:pt idx="95">
                  <c:v>-12.006732765070097</c:v>
                </c:pt>
                <c:pt idx="96">
                  <c:v>-12.888420349727397</c:v>
                </c:pt>
                <c:pt idx="97">
                  <c:v>-13.771599120501847</c:v>
                </c:pt>
                <c:pt idx="98">
                  <c:v>-14.656225985459059</c:v>
                </c:pt>
                <c:pt idx="99">
                  <c:v>-15.542259086946473</c:v>
                </c:pt>
                <c:pt idx="100">
                  <c:v>-16.429657749522704</c:v>
                </c:pt>
                <c:pt idx="101">
                  <c:v>-17.318382429644743</c:v>
                </c:pt>
                <c:pt idx="102">
                  <c:v>-18.208394667004228</c:v>
                </c:pt>
                <c:pt idx="103">
                  <c:v>-19.099657037406345</c:v>
                </c:pt>
                <c:pt idx="104">
                  <c:v>-19.992133107084769</c:v>
                </c:pt>
                <c:pt idx="105">
                  <c:v>-20.885787388347367</c:v>
                </c:pt>
                <c:pt idx="106">
                  <c:v>-21.780585296447214</c:v>
                </c:pt>
                <c:pt idx="107">
                  <c:v>-22.676493107573336</c:v>
                </c:pt>
                <c:pt idx="108">
                  <c:v>-23.573477917854191</c:v>
                </c:pt>
                <c:pt idx="109">
                  <c:v>-24.471507603266176</c:v>
                </c:pt>
                <c:pt idx="110">
                  <c:v>-25.370550780336202</c:v>
                </c:pt>
                <c:pt idx="111">
                  <c:v>-26.270576767525512</c:v>
                </c:pt>
                <c:pt idx="112">
                  <c:v>-27.171555547177334</c:v>
                </c:pt>
                <c:pt idx="113">
                  <c:v>-28.073457727906415</c:v>
                </c:pt>
                <c:pt idx="114">
                  <c:v>-28.976254507302926</c:v>
                </c:pt>
                <c:pt idx="115">
                  <c:v>-29.87991763481574</c:v>
                </c:pt>
                <c:pt idx="116">
                  <c:v>-30.784419374672026</c:v>
                </c:pt>
                <c:pt idx="117">
                  <c:v>-31.689732468679466</c:v>
                </c:pt>
                <c:pt idx="118">
                  <c:v>-32.595830098746788</c:v>
                </c:pt>
                <c:pt idx="119">
                  <c:v>-33.502685848942136</c:v>
                </c:pt>
                <c:pt idx="120">
                  <c:v>-34.410273666894966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3BD-4B1A-B8EF-041E85DD2312}"/>
            </c:ext>
          </c:extLst>
        </c:ser>
        <c:ser>
          <c:idx val="27"/>
          <c:order val="23"/>
          <c:tx>
            <c:strRef>
              <c:f>'Ej-2c_CMex'!$R$3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'Ej-2c_CMex'!$T$10:$T$130</c:f>
              <c:numCache>
                <c:formatCode>0.00</c:formatCode>
                <c:ptCount val="121"/>
                <c:pt idx="0">
                  <c:v>-86.873646929503394</c:v>
                </c:pt>
                <c:pt idx="1">
                  <c:v>-86.573697621635588</c:v>
                </c:pt>
                <c:pt idx="2">
                  <c:v>-86.2754680541845</c:v>
                </c:pt>
                <c:pt idx="3">
                  <c:v>-85.978749279800127</c:v>
                </c:pt>
                <c:pt idx="4">
                  <c:v>-85.683340871882336</c:v>
                </c:pt>
                <c:pt idx="5">
                  <c:v>-85.389050135754772</c:v>
                </c:pt>
                <c:pt idx="6">
                  <c:v>-85.095691382986701</c:v>
                </c:pt>
                <c:pt idx="7">
                  <c:v>-84.80308526215012</c:v>
                </c:pt>
                <c:pt idx="8">
                  <c:v>-84.511058140046174</c:v>
                </c:pt>
                <c:pt idx="9">
                  <c:v>-84.219441528085611</c:v>
                </c:pt>
                <c:pt idx="10">
                  <c:v>-83.928071549077984</c:v>
                </c:pt>
                <c:pt idx="11">
                  <c:v>-83.636788440183523</c:v>
                </c:pt>
                <c:pt idx="12">
                  <c:v>-83.345436088218619</c:v>
                </c:pt>
                <c:pt idx="13">
                  <c:v>-83.053861593891114</c:v>
                </c:pt>
                <c:pt idx="14">
                  <c:v>-82.761914861879134</c:v>
                </c:pt>
                <c:pt idx="15">
                  <c:v>-82.469448213964725</c:v>
                </c:pt>
                <c:pt idx="16">
                  <c:v>-82.176316022696398</c:v>
                </c:pt>
                <c:pt idx="17">
                  <c:v>-81.88237436328501</c:v>
                </c:pt>
                <c:pt idx="18">
                  <c:v>-81.587480681642262</c:v>
                </c:pt>
                <c:pt idx="19">
                  <c:v>-81.291493476650444</c:v>
                </c:pt>
                <c:pt idx="20">
                  <c:v>-80.994271994911713</c:v>
                </c:pt>
                <c:pt idx="21">
                  <c:v>-80.695675936365092</c:v>
                </c:pt>
                <c:pt idx="22">
                  <c:v>-80.395565169283344</c:v>
                </c:pt>
                <c:pt idx="23">
                  <c:v>-80.093799453271686</c:v>
                </c:pt>
                <c:pt idx="24">
                  <c:v>-79.790238168985638</c:v>
                </c:pt>
                <c:pt idx="25">
                  <c:v>-79.484740053371624</c:v>
                </c:pt>
                <c:pt idx="26">
                  <c:v>-79.177162939306896</c:v>
                </c:pt>
                <c:pt idx="27">
                  <c:v>-78.867363498582392</c:v>
                </c:pt>
                <c:pt idx="28">
                  <c:v>-78.555196987228143</c:v>
                </c:pt>
                <c:pt idx="29">
                  <c:v>-78.240516992231846</c:v>
                </c:pt>
                <c:pt idx="30">
                  <c:v>-77.923175178744316</c:v>
                </c:pt>
                <c:pt idx="31">
                  <c:v>-77.603021036903371</c:v>
                </c:pt>
                <c:pt idx="32">
                  <c:v>-77.279901627440481</c:v>
                </c:pt>
                <c:pt idx="33">
                  <c:v>-76.953661325262743</c:v>
                </c:pt>
                <c:pt idx="34">
                  <c:v>-76.624141560226406</c:v>
                </c:pt>
                <c:pt idx="35">
                  <c:v>-76.291180554339519</c:v>
                </c:pt>
                <c:pt idx="36">
                  <c:v>-75.954613054648263</c:v>
                </c:pt>
                <c:pt idx="37">
                  <c:v>-75.614270061077264</c:v>
                </c:pt>
                <c:pt idx="38">
                  <c:v>-75.269978548507055</c:v>
                </c:pt>
                <c:pt idx="39">
                  <c:v>-74.921561182383485</c:v>
                </c:pt>
                <c:pt idx="40">
                  <c:v>-74.568836027164636</c:v>
                </c:pt>
                <c:pt idx="41">
                  <c:v>-74.211616246920727</c:v>
                </c:pt>
                <c:pt idx="42">
                  <c:v>-73.849709797412771</c:v>
                </c:pt>
                <c:pt idx="43">
                  <c:v>-73.482919108986394</c:v>
                </c:pt>
                <c:pt idx="44">
                  <c:v>-73.111040759629461</c:v>
                </c:pt>
                <c:pt idx="45">
                  <c:v>-72.733865137556435</c:v>
                </c:pt>
                <c:pt idx="46">
                  <c:v>-72.351176092699276</c:v>
                </c:pt>
                <c:pt idx="47">
                  <c:v>-71.962750576505599</c:v>
                </c:pt>
                <c:pt idx="48">
                  <c:v>-71.568358269471119</c:v>
                </c:pt>
                <c:pt idx="49">
                  <c:v>-71.167761195864486</c:v>
                </c:pt>
                <c:pt idx="50">
                  <c:v>-70.760713325142802</c:v>
                </c:pt>
                <c:pt idx="51">
                  <c:v>-70.34696015960364</c:v>
                </c:pt>
                <c:pt idx="52">
                  <c:v>-69.926238307879188</c:v>
                </c:pt>
                <c:pt idx="53">
                  <c:v>-69.498275043949917</c:v>
                </c:pt>
                <c:pt idx="54">
                  <c:v>-69.062787851441684</c:v>
                </c:pt>
                <c:pt idx="55">
                  <c:v>-68.619483953076056</c:v>
                </c:pt>
                <c:pt idx="56">
                  <c:v>-68.168059825268273</c:v>
                </c:pt>
                <c:pt idx="57">
                  <c:v>-67.708200698017862</c:v>
                </c:pt>
                <c:pt idx="58">
                  <c:v>-67.239580040414552</c:v>
                </c:pt>
                <c:pt idx="59">
                  <c:v>-66.761859032293188</c:v>
                </c:pt>
                <c:pt idx="60">
                  <c:v>-66.274686022818855</c:v>
                </c:pt>
                <c:pt idx="61">
                  <c:v>-65.777695977075908</c:v>
                </c:pt>
                <c:pt idx="62">
                  <c:v>-65.270509912075269</c:v>
                </c:pt>
                <c:pt idx="63">
                  <c:v>-64.752734323992968</c:v>
                </c:pt>
                <c:pt idx="64">
                  <c:v>-64.223960608915746</c:v>
                </c:pt>
                <c:pt idx="65">
                  <c:v>-63.683764479907424</c:v>
                </c:pt>
                <c:pt idx="66">
                  <c:v>-63.131705383830649</c:v>
                </c:pt>
                <c:pt idx="67">
                  <c:v>-62.567325922074986</c:v>
                </c:pt>
                <c:pt idx="68">
                  <c:v>-61.990151280166131</c:v>
                </c:pt>
                <c:pt idx="69">
                  <c:v>-61.399688672174719</c:v>
                </c:pt>
                <c:pt idx="70">
                  <c:v>-60.795426806921711</c:v>
                </c:pt>
                <c:pt idx="71">
                  <c:v>-60.176835384205205</c:v>
                </c:pt>
                <c:pt idx="72">
                  <c:v>-59.543364630668073</c:v>
                </c:pt>
                <c:pt idx="73">
                  <c:v>-58.894444886501063</c:v>
                </c:pt>
                <c:pt idx="74">
                  <c:v>-58.229486255951571</c:v>
                </c:pt>
                <c:pt idx="75">
                  <c:v>-57.547878336598295</c:v>
                </c:pt>
                <c:pt idx="76">
                  <c:v>-56.848990044572865</c:v>
                </c:pt>
                <c:pt idx="77">
                  <c:v>-56.132169555374041</c:v>
                </c:pt>
                <c:pt idx="78">
                  <c:v>-55.396744382638907</c:v>
                </c:pt>
                <c:pt idx="79">
                  <c:v>-54.64202162021359</c:v>
                </c:pt>
                <c:pt idx="80">
                  <c:v>-53.867288376100483</c:v>
                </c:pt>
                <c:pt idx="81">
                  <c:v>-53.071812430342234</c:v>
                </c:pt>
                <c:pt idx="82">
                  <c:v>-52.254843152606981</c:v>
                </c:pt>
                <c:pt idx="83">
                  <c:v>-51.415612719128589</c:v>
                </c:pt>
                <c:pt idx="84">
                  <c:v>-50.553337672668647</c:v>
                </c:pt>
                <c:pt idx="85">
                  <c:v>-49.66722087321638</c:v>
                </c:pt>
                <c:pt idx="86">
                  <c:v>-48.756453891115306</c:v>
                </c:pt>
                <c:pt idx="87">
                  <c:v>-47.820219898042239</c:v>
                </c:pt>
                <c:pt idx="88">
                  <c:v>-46.857697114567912</c:v>
                </c:pt>
                <c:pt idx="89">
                  <c:v>-45.868062875647865</c:v>
                </c:pt>
                <c:pt idx="90">
                  <c:v>-44.850498377017061</c:v>
                </c:pt>
                <c:pt idx="91">
                  <c:v>-43.804194165718314</c:v>
                </c:pt>
                <c:pt idx="92">
                  <c:v>-42.728356436444095</c:v>
                </c:pt>
                <c:pt idx="93">
                  <c:v>-41.622214191504249</c:v>
                </c:pt>
                <c:pt idx="94">
                  <c:v>-40.485027315475875</c:v>
                </c:pt>
                <c:pt idx="95">
                  <c:v>-39.31609560532948</c:v>
                </c:pt>
                <c:pt idx="96">
                  <c:v>-38.114768782396872</c:v>
                </c:pt>
                <c:pt idx="97">
                  <c:v>-36.880457493306039</c:v>
                </c:pt>
                <c:pt idx="98">
                  <c:v>-35.612645282351643</c:v>
                </c:pt>
                <c:pt idx="99">
                  <c:v>-34.310901487199402</c:v>
                </c:pt>
                <c:pt idx="100">
                  <c:v>-32.974894973036619</c:v>
                </c:pt>
                <c:pt idx="101">
                  <c:v>-31.604408577251494</c:v>
                </c:pt>
                <c:pt idx="102">
                  <c:v>-30.199354087814765</c:v>
                </c:pt>
                <c:pt idx="103">
                  <c:v>-28.759787524616939</c:v>
                </c:pt>
                <c:pt idx="104">
                  <c:v>-27.285924435557497</c:v>
                </c:pt>
                <c:pt idx="105">
                  <c:v>-25.778154860372474</c:v>
                </c:pt>
                <c:pt idx="106">
                  <c:v>-24.237057557962007</c:v>
                </c:pt>
                <c:pt idx="107">
                  <c:v>-22.6634130410281</c:v>
                </c:pt>
                <c:pt idx="108">
                  <c:v>-21.058214919510306</c:v>
                </c:pt>
                <c:pt idx="109">
                  <c:v>-19.422679026435926</c:v>
                </c:pt>
                <c:pt idx="110">
                  <c:v>-17.758249791374393</c:v>
                </c:pt>
                <c:pt idx="111">
                  <c:v>-16.066603342429541</c:v>
                </c:pt>
                <c:pt idx="112">
                  <c:v>-14.34964686155781</c:v>
                </c:pt>
                <c:pt idx="113">
                  <c:v>-12.609513792547268</c:v>
                </c:pt>
                <c:pt idx="114">
                  <c:v>-10.848554606859407</c:v>
                </c:pt>
                <c:pt idx="115">
                  <c:v>-9.0693229679235614</c:v>
                </c:pt>
                <c:pt idx="116">
                  <c:v>-7.2745572948378996</c:v>
                </c:pt>
                <c:pt idx="117">
                  <c:v>-5.4671579044544574</c:v>
                </c:pt>
                <c:pt idx="118">
                  <c:v>-3.6501600967025118</c:v>
                </c:pt>
                <c:pt idx="119">
                  <c:v>-1.8267037300800473</c:v>
                </c:pt>
                <c:pt idx="120">
                  <c:v>-1.8272461503380404E-3</c:v>
                </c:pt>
              </c:numCache>
            </c:numRef>
          </c:xVal>
          <c:yVal>
            <c:numRef>
              <c:f>'Ej-2c_CMex'!$S$10:$S$130</c:f>
              <c:numCache>
                <c:formatCode>0.00</c:formatCode>
                <c:ptCount val="121"/>
                <c:pt idx="0">
                  <c:v>-32.241156902066265</c:v>
                </c:pt>
                <c:pt idx="1">
                  <c:v>-31.299882996677937</c:v>
                </c:pt>
                <c:pt idx="2">
                  <c:v>-30.358903173252486</c:v>
                </c:pt>
                <c:pt idx="3">
                  <c:v>-29.418241276501035</c:v>
                </c:pt>
                <c:pt idx="4">
                  <c:v>-28.477920974354973</c:v>
                </c:pt>
                <c:pt idx="5">
                  <c:v>-27.537965818466063</c:v>
                </c:pt>
                <c:pt idx="6">
                  <c:v>-26.598399301521212</c:v>
                </c:pt>
                <c:pt idx="7">
                  <c:v>-25.659244911809935</c:v>
                </c:pt>
                <c:pt idx="8">
                  <c:v>-24.72052618544042</c:v>
                </c:pt>
                <c:pt idx="9">
                  <c:v>-23.782266756561498</c:v>
                </c:pt>
                <c:pt idx="10">
                  <c:v>-22.844490405915721</c:v>
                </c:pt>
                <c:pt idx="11">
                  <c:v>-21.907221108020778</c:v>
                </c:pt>
                <c:pt idx="12">
                  <c:v>-20.970483077251799</c:v>
                </c:pt>
                <c:pt idx="13">
                  <c:v>-20.034300813077337</c:v>
                </c:pt>
                <c:pt idx="14">
                  <c:v>-19.09869914468328</c:v>
                </c:pt>
                <c:pt idx="15">
                  <c:v>-18.163703275204568</c:v>
                </c:pt>
                <c:pt idx="16">
                  <c:v>-17.22933882577145</c:v>
                </c:pt>
                <c:pt idx="17">
                  <c:v>-16.295631879567082</c:v>
                </c:pt>
                <c:pt idx="18">
                  <c:v>-15.362609026084186</c:v>
                </c:pt>
                <c:pt idx="19">
                  <c:v>-14.430297405761323</c:v>
                </c:pt>
                <c:pt idx="20">
                  <c:v>-13.498724755175033</c:v>
                </c:pt>
                <c:pt idx="21">
                  <c:v>-12.567919452958805</c:v>
                </c:pt>
                <c:pt idx="22">
                  <c:v>-11.63791056661799</c:v>
                </c:pt>
                <c:pt idx="23">
                  <c:v>-10.708727900408235</c:v>
                </c:pt>
                <c:pt idx="24">
                  <c:v>-9.7804020444445854</c:v>
                </c:pt>
                <c:pt idx="25">
                  <c:v>-8.8529644252090378</c:v>
                </c:pt>
                <c:pt idx="26">
                  <c:v>-7.9264473576265715</c:v>
                </c:pt>
                <c:pt idx="27">
                  <c:v>-7.0008840988819685</c:v>
                </c:pt>
                <c:pt idx="28">
                  <c:v>-6.0763089041540468</c:v>
                </c:pt>
                <c:pt idx="29">
                  <c:v>-5.1527570844477424</c:v>
                </c:pt>
                <c:pt idx="30">
                  <c:v>-4.2302650667113681</c:v>
                </c:pt>
                <c:pt idx="31">
                  <c:v>-3.308870456431535</c:v>
                </c:pt>
                <c:pt idx="32">
                  <c:v>-2.3886121029068619</c:v>
                </c:pt>
                <c:pt idx="33">
                  <c:v>-1.4695301674090615</c:v>
                </c:pt>
                <c:pt idx="34">
                  <c:v>-0.55166619445014931</c:v>
                </c:pt>
                <c:pt idx="35">
                  <c:v>0.3649368136160831</c:v>
                </c:pt>
                <c:pt idx="36">
                  <c:v>1.2802343184177403</c:v>
                </c:pt>
                <c:pt idx="37">
                  <c:v>2.19418016356218</c:v>
                </c:pt>
                <c:pt idx="38">
                  <c:v>3.1067264885409571</c:v>
                </c:pt>
                <c:pt idx="39">
                  <c:v>4.017823638262783</c:v>
                </c:pt>
                <c:pt idx="40">
                  <c:v>4.927420067918959</c:v>
                </c:pt>
                <c:pt idx="41">
                  <c:v>5.8354622428694398</c:v>
                </c:pt>
                <c:pt idx="42">
                  <c:v>6.7418945332196785</c:v>
                </c:pt>
                <c:pt idx="43">
                  <c:v>7.6466591027398181</c:v>
                </c:pt>
                <c:pt idx="44">
                  <c:v>8.5496957917570029</c:v>
                </c:pt>
                <c:pt idx="45">
                  <c:v>9.4509419936310479</c:v>
                </c:pt>
                <c:pt idx="46">
                  <c:v>10.350332524400258</c:v>
                </c:pt>
                <c:pt idx="47">
                  <c:v>11.247799485160812</c:v>
                </c:pt>
                <c:pt idx="48">
                  <c:v>12.143272116717711</c:v>
                </c:pt>
                <c:pt idx="49">
                  <c:v>13.036676646018762</c:v>
                </c:pt>
                <c:pt idx="50">
                  <c:v>13.927936123855758</c:v>
                </c:pt>
                <c:pt idx="51">
                  <c:v>14.816970253287948</c:v>
                </c:pt>
                <c:pt idx="52">
                  <c:v>15.70369520821319</c:v>
                </c:pt>
                <c:pt idx="53">
                  <c:v>16.588023441481141</c:v>
                </c:pt>
                <c:pt idx="54">
                  <c:v>17.469863481911389</c:v>
                </c:pt>
                <c:pt idx="55">
                  <c:v>18.349119719547431</c:v>
                </c:pt>
                <c:pt idx="56">
                  <c:v>19.225692178444206</c:v>
                </c:pt>
                <c:pt idx="57">
                  <c:v>20.099476276255217</c:v>
                </c:pt>
                <c:pt idx="58">
                  <c:v>20.970362569852483</c:v>
                </c:pt>
                <c:pt idx="59">
                  <c:v>21.838236486181898</c:v>
                </c:pt>
                <c:pt idx="60">
                  <c:v>22.702978037526918</c:v>
                </c:pt>
                <c:pt idx="61">
                  <c:v>23.564461520326418</c:v>
                </c:pt>
                <c:pt idx="62">
                  <c:v>24.422555196668895</c:v>
                </c:pt>
                <c:pt idx="63">
                  <c:v>25.277120957565543</c:v>
                </c:pt>
                <c:pt idx="64">
                  <c:v>26.128013967092379</c:v>
                </c:pt>
                <c:pt idx="65">
                  <c:v>26.975082286484451</c:v>
                </c:pt>
                <c:pt idx="66">
                  <c:v>27.818166477269827</c:v>
                </c:pt>
                <c:pt idx="67">
                  <c:v>28.657099182546105</c:v>
                </c:pt>
                <c:pt idx="68">
                  <c:v>29.49170468553212</c:v>
                </c:pt>
                <c:pt idx="69">
                  <c:v>30.321798444575194</c:v>
                </c:pt>
                <c:pt idx="70">
                  <c:v>31.147186603863254</c:v>
                </c:pt>
                <c:pt idx="71">
                  <c:v>31.967665479186223</c:v>
                </c:pt>
                <c:pt idx="72">
                  <c:v>32.783021018215685</c:v>
                </c:pt>
                <c:pt idx="73">
                  <c:v>33.593028234934941</c:v>
                </c:pt>
                <c:pt idx="74">
                  <c:v>34.397450618055331</c:v>
                </c:pt>
                <c:pt idx="75">
                  <c:v>35.196039513511032</c:v>
                </c:pt>
                <c:pt idx="76">
                  <c:v>35.988533481438118</c:v>
                </c:pt>
                <c:pt idx="77">
                  <c:v>36.774657628427477</c:v>
                </c:pt>
                <c:pt idx="78">
                  <c:v>37.554122916301822</c:v>
                </c:pt>
                <c:pt idx="79">
                  <c:v>38.326625449220181</c:v>
                </c:pt>
                <c:pt idx="80">
                  <c:v>39.09184574156864</c:v>
                </c:pt>
                <c:pt idx="81">
                  <c:v>39.849447969867853</c:v>
                </c:pt>
                <c:pt idx="82">
                  <c:v>40.599079212831512</c:v>
                </c:pt>
                <c:pt idx="83">
                  <c:v>41.340368684758666</c:v>
                </c:pt>
                <c:pt idx="84">
                  <c:v>42.07292696865089</c:v>
                </c:pt>
                <c:pt idx="85">
                  <c:v>42.796345256829483</c:v>
                </c:pt>
                <c:pt idx="86">
                  <c:v>43.510194608396318</c:v>
                </c:pt>
                <c:pt idx="87">
                  <c:v>44.214025234648005</c:v>
                </c:pt>
                <c:pt idx="88">
                  <c:v>44.907365825520607</c:v>
                </c:pt>
                <c:pt idx="89">
                  <c:v>45.589722932311382</c:v>
                </c:pt>
                <c:pt idx="90">
                  <c:v>46.260580424286196</c:v>
                </c:pt>
                <c:pt idx="91">
                  <c:v>46.91939903931879</c:v>
                </c:pt>
                <c:pt idx="92">
                  <c:v>47.565616051386257</c:v>
                </c:pt>
                <c:pt idx="93">
                  <c:v>48.198645080515782</c:v>
                </c:pt>
                <c:pt idx="94">
                  <c:v>48.817876073570417</c:v>
                </c:pt>
                <c:pt idx="95">
                  <c:v>49.422675486978861</c:v>
                </c:pt>
                <c:pt idx="96">
                  <c:v>50.012386705037223</c:v>
                </c:pt>
                <c:pt idx="97">
                  <c:v>50.586330729580865</c:v>
                </c:pt>
                <c:pt idx="98">
                  <c:v>51.143807178456811</c:v>
                </c:pt>
                <c:pt idx="99">
                  <c:v>51.684095631101926</c:v>
                </c:pt>
                <c:pt idx="100">
                  <c:v>52.206457359396566</c:v>
                </c:pt>
                <c:pt idx="101">
                  <c:v>52.710137480543388</c:v>
                </c:pt>
                <c:pt idx="102">
                  <c:v>53.194367565727532</c:v>
                </c:pt>
                <c:pt idx="103">
                  <c:v>53.658368733457635</c:v>
                </c:pt>
                <c:pt idx="104">
                  <c:v>54.101355249504664</c:v>
                </c:pt>
                <c:pt idx="105">
                  <c:v>54.522538646032288</c:v>
                </c:pt>
                <c:pt idx="106">
                  <c:v>54.92113236071831</c:v>
                </c:pt>
                <c:pt idx="107">
                  <c:v>55.296356882392054</c:v>
                </c:pt>
                <c:pt idx="108">
                  <c:v>55.647445373106208</c:v>
                </c:pt>
                <c:pt idx="109">
                  <c:v>55.973649717962012</c:v>
                </c:pt>
                <c:pt idx="110">
                  <c:v>56.27424693397424</c:v>
                </c:pt>
                <c:pt idx="111">
                  <c:v>56.548545848582719</c:v>
                </c:pt>
                <c:pt idx="112">
                  <c:v>56.79589393810118</c:v>
                </c:pt>
                <c:pt idx="113">
                  <c:v>57.015684197632417</c:v>
                </c:pt>
                <c:pt idx="114">
                  <c:v>57.207361898088415</c:v>
                </c:pt>
                <c:pt idx="115">
                  <c:v>57.370431074277867</c:v>
                </c:pt>
                <c:pt idx="116">
                  <c:v>57.504460581820538</c:v>
                </c:pt>
                <c:pt idx="117">
                  <c:v>57.609089560959013</c:v>
                </c:pt>
                <c:pt idx="118">
                  <c:v>57.684032152861299</c:v>
                </c:pt>
                <c:pt idx="119">
                  <c:v>57.729081328985636</c:v>
                </c:pt>
                <c:pt idx="120">
                  <c:v>57.744111701187848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3BD-4B1A-B8EF-041E85DD2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63168"/>
        <c:axId val="74277248"/>
      </c:scatterChart>
      <c:valAx>
        <c:axId val="74255360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2664606242"/>
              <c:y val="0.908222491419341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74261632"/>
        <c:crosses val="autoZero"/>
        <c:crossBetween val="midCat"/>
        <c:majorUnit val="30"/>
      </c:valAx>
      <c:valAx>
        <c:axId val="74261632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74255360"/>
        <c:crossesAt val="0"/>
        <c:crossBetween val="midCat"/>
        <c:majorUnit val="10"/>
      </c:valAx>
      <c:valAx>
        <c:axId val="74263168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74277248"/>
        <c:crossesAt val="0"/>
        <c:crossBetween val="midCat"/>
      </c:valAx>
      <c:valAx>
        <c:axId val="74277248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330"/>
            </a:pPr>
            <a:endParaRPr lang="es-ES"/>
          </a:p>
        </c:txPr>
        <c:crossAx val="74263168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</a:t>
            </a:r>
          </a:p>
        </c:rich>
      </c:tx>
      <c:layout>
        <c:manualLayout>
          <c:xMode val="edge"/>
          <c:yMode val="edge"/>
          <c:x val="6.1943276507912232E-2"/>
          <c:y val="3.6693317181506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4784697642E-2"/>
          <c:y val="0.10325059708788119"/>
          <c:w val="0.87085150599556327"/>
          <c:h val="0.722754020855137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'Ej.Lat -32'!$D$7</c:f>
              <c:strCache>
                <c:ptCount val="1"/>
                <c:pt idx="0">
                  <c:v>SVER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'Ej.Lat -32'!$E$10:$E$130</c:f>
              <c:numCache>
                <c:formatCode>0.00</c:formatCode>
                <c:ptCount val="121"/>
                <c:pt idx="0">
                  <c:v>-96.776205599881848</c:v>
                </c:pt>
                <c:pt idx="1">
                  <c:v>-97.229790533880589</c:v>
                </c:pt>
                <c:pt idx="2">
                  <c:v>-97.680940957043561</c:v>
                </c:pt>
                <c:pt idx="3">
                  <c:v>-98.129926121197997</c:v>
                </c:pt>
                <c:pt idx="4">
                  <c:v>-98.577003445311789</c:v>
                </c:pt>
                <c:pt idx="5">
                  <c:v>-99.02241948949235</c:v>
                </c:pt>
                <c:pt idx="6">
                  <c:v>-99.466410848013666</c:v>
                </c:pt>
                <c:pt idx="7">
                  <c:v>-99.909204969371828</c:v>
                </c:pt>
                <c:pt idx="8">
                  <c:v>-100.35102091048753</c:v>
                </c:pt>
                <c:pt idx="9">
                  <c:v>-100.79207003139916</c:v>
                </c:pt>
                <c:pt idx="10">
                  <c:v>-101.23255663610747</c:v>
                </c:pt>
                <c:pt idx="11">
                  <c:v>-101.67267856462932</c:v>
                </c:pt>
                <c:pt idx="12">
                  <c:v>-102.11262774078568</c:v>
                </c:pt>
                <c:pt idx="13">
                  <c:v>-102.55259067977563</c:v>
                </c:pt>
                <c:pt idx="14">
                  <c:v>-102.99274895916999</c:v>
                </c:pt>
                <c:pt idx="15">
                  <c:v>-103.43327965658469</c:v>
                </c:pt>
                <c:pt idx="16">
                  <c:v>-103.87435575696252</c:v>
                </c:pt>
                <c:pt idx="17">
                  <c:v>-104.31614653209525</c:v>
                </c:pt>
                <c:pt idx="18">
                  <c:v>-104.75881789475375</c:v>
                </c:pt>
                <c:pt idx="19">
                  <c:v>-105.202532729556</c:v>
                </c:pt>
                <c:pt idx="20">
                  <c:v>-105.64745120248982</c:v>
                </c:pt>
                <c:pt idx="21">
                  <c:v>-106.09373105081572</c:v>
                </c:pt>
                <c:pt idx="22">
                  <c:v>-106.54152785490206</c:v>
                </c:pt>
                <c:pt idx="23">
                  <c:v>-106.99099529338839</c:v>
                </c:pt>
                <c:pt idx="24">
                  <c:v>-107.44228538293135</c:v>
                </c:pt>
                <c:pt idx="25">
                  <c:v>-107.89554870365771</c:v>
                </c:pt>
                <c:pt idx="26">
                  <c:v>-108.35093461133295</c:v>
                </c:pt>
                <c:pt idx="27">
                  <c:v>-108.80859143714451</c:v>
                </c:pt>
                <c:pt idx="28">
                  <c:v>-109.26866667590146</c:v>
                </c:pt>
                <c:pt idx="29">
                  <c:v>-109.7313071633598</c:v>
                </c:pt>
                <c:pt idx="30">
                  <c:v>-110.19665924329928</c:v>
                </c:pt>
                <c:pt idx="31">
                  <c:v>-110.66486892489834</c:v>
                </c:pt>
                <c:pt idx="32">
                  <c:v>-111.1360820308805</c:v>
                </c:pt>
                <c:pt idx="33">
                  <c:v>-111.61044433683655</c:v>
                </c:pt>
                <c:pt idx="34">
                  <c:v>-112.08810170206183</c:v>
                </c:pt>
                <c:pt idx="35">
                  <c:v>-112.56920019218553</c:v>
                </c:pt>
                <c:pt idx="36">
                  <c:v>-113.05388619381017</c:v>
                </c:pt>
                <c:pt idx="37">
                  <c:v>-113.5423065213226</c:v>
                </c:pt>
                <c:pt idx="38">
                  <c:v>-114.03460851598227</c:v>
                </c:pt>
                <c:pt idx="39">
                  <c:v>-114.53094013734035</c:v>
                </c:pt>
                <c:pt idx="40">
                  <c:v>-115.03145004698978</c:v>
                </c:pt>
                <c:pt idx="41">
                  <c:v>-115.53628768459593</c:v>
                </c:pt>
                <c:pt idx="42">
                  <c:v>-116.04560333610711</c:v>
                </c:pt>
                <c:pt idx="43">
                  <c:v>-116.5595481939929</c:v>
                </c:pt>
                <c:pt idx="44">
                  <c:v>-117.07827440931055</c:v>
                </c:pt>
                <c:pt idx="45">
                  <c:v>-117.60193513534711</c:v>
                </c:pt>
                <c:pt idx="46">
                  <c:v>-118.13068456253747</c:v>
                </c:pt>
                <c:pt idx="47">
                  <c:v>-118.66467794430757</c:v>
                </c:pt>
                <c:pt idx="48">
                  <c:v>-119.20407161344143</c:v>
                </c:pt>
                <c:pt idx="49">
                  <c:v>-119.74902298852072</c:v>
                </c:pt>
                <c:pt idx="50">
                  <c:v>-120.29969056993468</c:v>
                </c:pt>
                <c:pt idx="51">
                  <c:v>-120.85623392490719</c:v>
                </c:pt>
                <c:pt idx="52">
                  <c:v>-121.41881366093673</c:v>
                </c:pt>
                <c:pt idx="53">
                  <c:v>-121.98759138699415</c:v>
                </c:pt>
                <c:pt idx="54">
                  <c:v>-122.56272966177184</c:v>
                </c:pt>
                <c:pt idx="55">
                  <c:v>-123.14439192822853</c:v>
                </c:pt>
                <c:pt idx="56">
                  <c:v>-123.73274243362353</c:v>
                </c:pt>
                <c:pt idx="57">
                  <c:v>-124.32794613418696</c:v>
                </c:pt>
                <c:pt idx="58">
                  <c:v>-124.93016858352479</c:v>
                </c:pt>
                <c:pt idx="59">
                  <c:v>-125.53957580381513</c:v>
                </c:pt>
                <c:pt idx="60">
                  <c:v>-126.15633413880917</c:v>
                </c:pt>
                <c:pt idx="61">
                  <c:v>-126.78061008761344</c:v>
                </c:pt>
                <c:pt idx="62">
                  <c:v>-127.41257011819755</c:v>
                </c:pt>
                <c:pt idx="63">
                  <c:v>-128.0523804595432</c:v>
                </c:pt>
                <c:pt idx="64">
                  <c:v>-128.70020687133069</c:v>
                </c:pt>
                <c:pt idx="65">
                  <c:v>-129.35621439004521</c:v>
                </c:pt>
                <c:pt idx="66">
                  <c:v>-130.02056705038271</c:v>
                </c:pt>
                <c:pt idx="67">
                  <c:v>-130.69342758084215</c:v>
                </c:pt>
                <c:pt idx="68">
                  <c:v>-131.37495707241018</c:v>
                </c:pt>
                <c:pt idx="69">
                  <c:v>-132.06531461927892</c:v>
                </c:pt>
                <c:pt idx="70">
                  <c:v>-132.76465693058685</c:v>
                </c:pt>
                <c:pt idx="71">
                  <c:v>-133.47313791224096</c:v>
                </c:pt>
                <c:pt idx="72">
                  <c:v>-134.19090821796664</c:v>
                </c:pt>
                <c:pt idx="73">
                  <c:v>-134.91811476884166</c:v>
                </c:pt>
                <c:pt idx="74">
                  <c:v>-135.65490024070536</c:v>
                </c:pt>
                <c:pt idx="75">
                  <c:v>-136.40140251899646</c:v>
                </c:pt>
                <c:pt idx="76">
                  <c:v>-137.15775412076212</c:v>
                </c:pt>
                <c:pt idx="77">
                  <c:v>-137.92408158380334</c:v>
                </c:pt>
                <c:pt idx="78">
                  <c:v>-138.70050482317461</c:v>
                </c:pt>
                <c:pt idx="79">
                  <c:v>-139.48713645554614</c:v>
                </c:pt>
                <c:pt idx="80">
                  <c:v>-140.28408109225984</c:v>
                </c:pt>
                <c:pt idx="81">
                  <c:v>-141.09143460227438</c:v>
                </c:pt>
                <c:pt idx="82">
                  <c:v>-141.90928334659131</c:v>
                </c:pt>
                <c:pt idx="83">
                  <c:v>-142.73770338619298</c:v>
                </c:pt>
                <c:pt idx="84">
                  <c:v>-143.5767596659951</c:v>
                </c:pt>
                <c:pt idx="85">
                  <c:v>-144.42650517782522</c:v>
                </c:pt>
                <c:pt idx="86">
                  <c:v>-145.2869801059781</c:v>
                </c:pt>
                <c:pt idx="87">
                  <c:v>-146.15821095946816</c:v>
                </c:pt>
                <c:pt idx="88">
                  <c:v>-147.04020969568967</c:v>
                </c:pt>
                <c:pt idx="89">
                  <c:v>-147.93297284080509</c:v>
                </c:pt>
                <c:pt idx="90">
                  <c:v>-148.8364806127997</c:v>
                </c:pt>
                <c:pt idx="91">
                  <c:v>-149.75069605375748</c:v>
                </c:pt>
                <c:pt idx="92">
                  <c:v>-150.67556417852114</c:v>
                </c:pt>
                <c:pt idx="93">
                  <c:v>-151.61101114748368</c:v>
                </c:pt>
                <c:pt idx="94">
                  <c:v>-152.55694347180531</c:v>
                </c:pt>
                <c:pt idx="95">
                  <c:v>-153.51324725984779</c:v>
                </c:pt>
                <c:pt idx="96">
                  <c:v>-154.47978751404676</c:v>
                </c:pt>
                <c:pt idx="97">
                  <c:v>-155.45640748778936</c:v>
                </c:pt>
                <c:pt idx="98">
                  <c:v>-156.44292811211116</c:v>
                </c:pt>
                <c:pt idx="99">
                  <c:v>-157.43914750215197</c:v>
                </c:pt>
                <c:pt idx="100">
                  <c:v>-158.44484055330889</c:v>
                </c:pt>
                <c:pt idx="101">
                  <c:v>-159.45975863686547</c:v>
                </c:pt>
                <c:pt idx="102">
                  <c:v>-160.48362940456326</c:v>
                </c:pt>
                <c:pt idx="103">
                  <c:v>-161.51615671108519</c:v>
                </c:pt>
                <c:pt idx="104">
                  <c:v>-162.55702066275077</c:v>
                </c:pt>
                <c:pt idx="105">
                  <c:v>-163.60587779985659</c:v>
                </c:pt>
                <c:pt idx="106">
                  <c:v>-164.66236141904881</c:v>
                </c:pt>
                <c:pt idx="107">
                  <c:v>-165.7260820408795</c:v>
                </c:pt>
                <c:pt idx="108">
                  <c:v>-166.79662802628982</c:v>
                </c:pt>
                <c:pt idx="109">
                  <c:v>-167.87356634419447</c:v>
                </c:pt>
                <c:pt idx="110">
                  <c:v>-168.95644349063565</c:v>
                </c:pt>
                <c:pt idx="111">
                  <c:v>-170.04478655814913</c:v>
                </c:pt>
                <c:pt idx="112">
                  <c:v>-171.13810445207935</c:v>
                </c:pt>
                <c:pt idx="113">
                  <c:v>-172.2358892486277</c:v>
                </c:pt>
                <c:pt idx="114">
                  <c:v>-173.33761768744449</c:v>
                </c:pt>
                <c:pt idx="115">
                  <c:v>-174.44275278964946</c:v>
                </c:pt>
                <c:pt idx="116">
                  <c:v>-175.55074559029319</c:v>
                </c:pt>
                <c:pt idx="117">
                  <c:v>-176.66103697253254</c:v>
                </c:pt>
                <c:pt idx="118">
                  <c:v>-177.77305958920579</c:v>
                </c:pt>
                <c:pt idx="119">
                  <c:v>-178.88623985609274</c:v>
                </c:pt>
                <c:pt idx="120">
                  <c:v>-179.99888614306687</c:v>
                </c:pt>
              </c:numCache>
            </c:numRef>
          </c:xVal>
          <c:yVal>
            <c:numRef>
              <c:f>'Ej.Lat -32'!$D$10:$D$130</c:f>
              <c:numCache>
                <c:formatCode>0.00</c:formatCode>
                <c:ptCount val="121"/>
                <c:pt idx="0">
                  <c:v>-36.86155958283571</c:v>
                </c:pt>
                <c:pt idx="1">
                  <c:v>-36.019840702620741</c:v>
                </c:pt>
                <c:pt idx="2">
                  <c:v>-35.178964339522608</c:v>
                </c:pt>
                <c:pt idx="3">
                  <c:v>-34.338978226807072</c:v>
                </c:pt>
                <c:pt idx="4">
                  <c:v>-33.499929814142845</c:v>
                </c:pt>
                <c:pt idx="5">
                  <c:v>-32.661866364479081</c:v>
                </c:pt>
                <c:pt idx="6">
                  <c:v>-31.824835045210179</c:v>
                </c:pt>
                <c:pt idx="7">
                  <c:v>-30.988883014294274</c:v>
                </c:pt>
                <c:pt idx="8">
                  <c:v>-30.154057501921514</c:v>
                </c:pt>
                <c:pt idx="9">
                  <c:v>-29.320405888265498</c:v>
                </c:pt>
                <c:pt idx="10">
                  <c:v>-28.487975777795882</c:v>
                </c:pt>
                <c:pt idx="11">
                  <c:v>-27.656815070582908</c:v>
                </c:pt>
                <c:pt idx="12">
                  <c:v>-26.826972030980784</c:v>
                </c:pt>
                <c:pt idx="13">
                  <c:v>-25.998495354041268</c:v>
                </c:pt>
                <c:pt idx="14">
                  <c:v>-25.171434229973627</c:v>
                </c:pt>
                <c:pt idx="15">
                  <c:v>-24.345838406939677</c:v>
                </c:pt>
                <c:pt idx="16">
                  <c:v>-23.521758252445807</c:v>
                </c:pt>
                <c:pt idx="17">
                  <c:v>-22.6992448135708</c:v>
                </c:pt>
                <c:pt idx="18">
                  <c:v>-21.878349876247924</c:v>
                </c:pt>
                <c:pt idx="19">
                  <c:v>-21.059126023801525</c:v>
                </c:pt>
                <c:pt idx="20">
                  <c:v>-20.241626694921607</c:v>
                </c:pt>
                <c:pt idx="21">
                  <c:v>-19.425906241245499</c:v>
                </c:pt>
                <c:pt idx="22">
                  <c:v>-18.612019984701959</c:v>
                </c:pt>
                <c:pt idx="23">
                  <c:v>-17.800024274761483</c:v>
                </c:pt>
                <c:pt idx="24">
                  <c:v>-16.989976545725213</c:v>
                </c:pt>
                <c:pt idx="25">
                  <c:v>-16.181935374175112</c:v>
                </c:pt>
                <c:pt idx="26">
                  <c:v>-15.375960536698599</c:v>
                </c:pt>
                <c:pt idx="27">
                  <c:v>-14.572113067992234</c:v>
                </c:pt>
                <c:pt idx="28">
                  <c:v>-13.770455319441353</c:v>
                </c:pt>
                <c:pt idx="29">
                  <c:v>-12.971051018264291</c:v>
                </c:pt>
                <c:pt idx="30">
                  <c:v>-12.173965327303392</c:v>
                </c:pt>
                <c:pt idx="31">
                  <c:v>-11.37926490553717</c:v>
                </c:pt>
                <c:pt idx="32">
                  <c:v>-10.587017969381819</c:v>
                </c:pt>
                <c:pt idx="33">
                  <c:v>-9.7972943548430749</c:v>
                </c:pt>
                <c:pt idx="34">
                  <c:v>-9.0101655805726892</c:v>
                </c:pt>
                <c:pt idx="35">
                  <c:v>-8.2257049118773296</c:v>
                </c:pt>
                <c:pt idx="36">
                  <c:v>-7.4439874257202803</c:v>
                </c:pt>
                <c:pt idx="37">
                  <c:v>-6.6650900767489247</c:v>
                </c:pt>
                <c:pt idx="38">
                  <c:v>-5.8890917643744274</c:v>
                </c:pt>
                <c:pt idx="39">
                  <c:v>-5.1160734009208255</c:v>
                </c:pt>
                <c:pt idx="40">
                  <c:v>-4.3461179808532222</c:v>
                </c:pt>
                <c:pt idx="41">
                  <c:v>-3.5793106510858905</c:v>
                </c:pt>
                <c:pt idx="42">
                  <c:v>-2.8157387823606399</c:v>
                </c:pt>
                <c:pt idx="43">
                  <c:v>-2.0554920416771694</c:v>
                </c:pt>
                <c:pt idx="44">
                  <c:v>-1.2986624657442007</c:v>
                </c:pt>
                <c:pt idx="45">
                  <c:v>-0.54534453541032235</c:v>
                </c:pt>
                <c:pt idx="46">
                  <c:v>0.20436474898095014</c:v>
                </c:pt>
                <c:pt idx="47">
                  <c:v>0.95036579138044885</c:v>
                </c:pt>
                <c:pt idx="48">
                  <c:v>1.6925563230502831</c:v>
                </c:pt>
                <c:pt idx="49">
                  <c:v>2.4308313249085955</c:v>
                </c:pt>
                <c:pt idx="50">
                  <c:v>3.165082949319185</c:v>
                </c:pt>
                <c:pt idx="51">
                  <c:v>3.8952004414623076</c:v>
                </c:pt>
                <c:pt idx="52">
                  <c:v>4.6210700604428752</c:v>
                </c:pt>
                <c:pt idx="53">
                  <c:v>5.3425750003149375</c:v>
                </c:pt>
                <c:pt idx="54">
                  <c:v>6.0595953112239727</c:v>
                </c:pt>
                <c:pt idx="55">
                  <c:v>6.7720078208947285</c:v>
                </c:pt>
                <c:pt idx="56">
                  <c:v>7.4796860567191032</c:v>
                </c:pt>
                <c:pt idx="57">
                  <c:v>8.1825001687276142</c:v>
                </c:pt>
                <c:pt idx="58">
                  <c:v>8.8803168537590409</c:v>
                </c:pt>
                <c:pt idx="59">
                  <c:v>9.5729992811760809</c:v>
                </c:pt>
                <c:pt idx="60">
                  <c:v>10.260407020509618</c:v>
                </c:pt>
                <c:pt idx="61">
                  <c:v>10.942395971451262</c:v>
                </c:pt>
                <c:pt idx="62">
                  <c:v>11.618818296653373</c:v>
                </c:pt>
                <c:pt idx="63">
                  <c:v>12.289522357836034</c:v>
                </c:pt>
                <c:pt idx="64">
                  <c:v>12.9543526557447</c:v>
                </c:pt>
                <c:pt idx="65">
                  <c:v>13.613149774545732</c:v>
                </c:pt>
                <c:pt idx="66">
                  <c:v>14.26575033129447</c:v>
                </c:pt>
                <c:pt idx="67">
                  <c:v>14.911986931158197</c:v>
                </c:pt>
                <c:pt idx="68">
                  <c:v>15.551688129125182</c:v>
                </c:pt>
                <c:pt idx="69">
                  <c:v>16.184678398981589</c:v>
                </c:pt>
                <c:pt idx="70">
                  <c:v>16.810778110388171</c:v>
                </c:pt>
                <c:pt idx="71">
                  <c:v>17.429803514939309</c:v>
                </c:pt>
                <c:pt idx="72">
                  <c:v>18.041566742137363</c:v>
                </c:pt>
                <c:pt idx="73">
                  <c:v>18.645875806263888</c:v>
                </c:pt>
                <c:pt idx="74">
                  <c:v>19.242534625176447</c:v>
                </c:pt>
                <c:pt idx="75">
                  <c:v>19.831343052104344</c:v>
                </c:pt>
                <c:pt idx="76">
                  <c:v>20.412096921557193</c:v>
                </c:pt>
                <c:pt idx="77">
                  <c:v>20.984588110496247</c:v>
                </c:pt>
                <c:pt idx="78">
                  <c:v>21.548604615948889</c:v>
                </c:pt>
                <c:pt idx="79">
                  <c:v>22.10393065026976</c:v>
                </c:pt>
                <c:pt idx="80">
                  <c:v>22.650346755266327</c:v>
                </c:pt>
                <c:pt idx="81">
                  <c:v>23.187629936412293</c:v>
                </c:pt>
                <c:pt idx="82">
                  <c:v>23.715553818364356</c:v>
                </c:pt>
                <c:pt idx="83">
                  <c:v>24.233888822979011</c:v>
                </c:pt>
                <c:pt idx="84">
                  <c:v>24.742402370990916</c:v>
                </c:pt>
                <c:pt idx="85">
                  <c:v>25.240859108463127</c:v>
                </c:pt>
                <c:pt idx="86">
                  <c:v>25.72902115905066</c:v>
                </c:pt>
                <c:pt idx="87">
                  <c:v>26.206648403029305</c:v>
                </c:pt>
                <c:pt idx="88">
                  <c:v>26.673498783931372</c:v>
                </c:pt>
                <c:pt idx="89">
                  <c:v>27.12932864349694</c:v>
                </c:pt>
                <c:pt idx="90">
                  <c:v>27.573893085491925</c:v>
                </c:pt>
                <c:pt idx="91">
                  <c:v>28.006946368762186</c:v>
                </c:pt>
                <c:pt idx="92">
                  <c:v>28.428242329685851</c:v>
                </c:pt>
                <c:pt idx="93">
                  <c:v>28.837534833952567</c:v>
                </c:pt>
                <c:pt idx="94">
                  <c:v>29.234578257340154</c:v>
                </c:pt>
                <c:pt idx="95">
                  <c:v>29.619127994876244</c:v>
                </c:pt>
                <c:pt idx="96">
                  <c:v>29.99094099746619</c:v>
                </c:pt>
                <c:pt idx="97">
                  <c:v>30.349776334742032</c:v>
                </c:pt>
                <c:pt idx="98">
                  <c:v>30.695395782541929</c:v>
                </c:pt>
                <c:pt idx="99">
                  <c:v>31.027564433069706</c:v>
                </c:pt>
                <c:pt idx="100">
                  <c:v>31.346051325415061</c:v>
                </c:pt>
                <c:pt idx="101">
                  <c:v>31.650630093738897</c:v>
                </c:pt>
                <c:pt idx="102">
                  <c:v>31.941079630055853</c:v>
                </c:pt>
                <c:pt idx="103">
                  <c:v>32.217184758177233</c:v>
                </c:pt>
                <c:pt idx="104">
                  <c:v>32.478736915026936</c:v>
                </c:pt>
                <c:pt idx="105">
                  <c:v>32.725534835210603</c:v>
                </c:pt>
                <c:pt idx="106">
                  <c:v>32.957385234418304</c:v>
                </c:pt>
                <c:pt idx="107">
                  <c:v>33.174103486976655</c:v>
                </c:pt>
                <c:pt idx="108">
                  <c:v>33.375514292648354</c:v>
                </c:pt>
                <c:pt idx="109">
                  <c:v>33.56145232761142</c:v>
                </c:pt>
                <c:pt idx="110">
                  <c:v>33.731762874444605</c:v>
                </c:pt>
                <c:pt idx="111">
                  <c:v>33.886302425905072</c:v>
                </c:pt>
                <c:pt idx="112">
                  <c:v>34.024939257314742</c:v>
                </c:pt>
                <c:pt idx="113">
                  <c:v>34.147553962476962</c:v>
                </c:pt>
                <c:pt idx="114">
                  <c:v>34.254039948225113</c:v>
                </c:pt>
                <c:pt idx="115">
                  <c:v>34.34430388296429</c:v>
                </c:pt>
                <c:pt idx="116">
                  <c:v>34.418266094899209</c:v>
                </c:pt>
                <c:pt idx="117">
                  <c:v>34.475860916048724</c:v>
                </c:pt>
                <c:pt idx="118">
                  <c:v>34.517036968619898</c:v>
                </c:pt>
                <c:pt idx="119">
                  <c:v>34.541757390848652</c:v>
                </c:pt>
                <c:pt idx="120">
                  <c:v>34.549999991756771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74-45FF-A432-9D2AC50F8694}"/>
            </c:ext>
          </c:extLst>
        </c:ser>
        <c:ser>
          <c:idx val="2"/>
          <c:order val="1"/>
          <c:tx>
            <c:strRef>
              <c:f>'Ej.Lat -32'!$J$7</c:f>
              <c:strCache>
                <c:ptCount val="1"/>
                <c:pt idx="0">
                  <c:v>EQUI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'Ej.Lat -32'!$K$10:$K$130</c:f>
              <c:numCache>
                <c:formatCode>0.00</c:formatCode>
                <c:ptCount val="121"/>
                <c:pt idx="0">
                  <c:v>-72.988559664796682</c:v>
                </c:pt>
                <c:pt idx="1">
                  <c:v>-73.630426933317295</c:v>
                </c:pt>
                <c:pt idx="2">
                  <c:v>-74.264123901291796</c:v>
                </c:pt>
                <c:pt idx="3">
                  <c:v>-74.890032298738618</c:v>
                </c:pt>
                <c:pt idx="4">
                  <c:v>-75.50852259304601</c:v>
                </c:pt>
                <c:pt idx="5">
                  <c:v>-76.119954506529808</c:v>
                </c:pt>
                <c:pt idx="6">
                  <c:v>-76.724677526596651</c:v>
                </c:pt>
                <c:pt idx="7">
                  <c:v>-77.323031407443409</c:v>
                </c:pt>
                <c:pt idx="8">
                  <c:v>-77.915346662491842</c:v>
                </c:pt>
                <c:pt idx="9">
                  <c:v>-78.501945046985369</c:v>
                </c:pt>
                <c:pt idx="10">
                  <c:v>-79.083140030372789</c:v>
                </c:pt>
                <c:pt idx="11">
                  <c:v>-79.659237258271119</c:v>
                </c:pt>
                <c:pt idx="12">
                  <c:v>-80.230535003943515</c:v>
                </c:pt>
                <c:pt idx="13">
                  <c:v>-80.797324609349573</c:v>
                </c:pt>
                <c:pt idx="14">
                  <c:v>-81.359890915928517</c:v>
                </c:pt>
                <c:pt idx="15">
                  <c:v>-81.918512685362543</c:v>
                </c:pt>
                <c:pt idx="16">
                  <c:v>-82.473463010640216</c:v>
                </c:pt>
                <c:pt idx="17">
                  <c:v>-83.025009717801311</c:v>
                </c:pt>
                <c:pt idx="18">
                  <c:v>-83.573415758794468</c:v>
                </c:pt>
                <c:pt idx="19">
                  <c:v>-84.118939595921631</c:v>
                </c:pt>
                <c:pt idx="20">
                  <c:v>-84.661835578377207</c:v>
                </c:pt>
                <c:pt idx="21">
                  <c:v>-85.202354311418631</c:v>
                </c:pt>
                <c:pt idx="22">
                  <c:v>-85.740743018727571</c:v>
                </c:pt>
                <c:pt idx="23">
                  <c:v>-86.277245898539562</c:v>
                </c:pt>
                <c:pt idx="24">
                  <c:v>-86.812104474135054</c:v>
                </c:pt>
                <c:pt idx="25">
                  <c:v>-87.345557939296015</c:v>
                </c:pt>
                <c:pt idx="26">
                  <c:v>-87.877843499342092</c:v>
                </c:pt>
                <c:pt idx="27">
                  <c:v>-88.409196708366579</c:v>
                </c:pt>
                <c:pt idx="28">
                  <c:v>-88.939851803299419</c:v>
                </c:pt>
                <c:pt idx="29">
                  <c:v>-89.470042035426559</c:v>
                </c:pt>
                <c:pt idx="30">
                  <c:v>-90</c:v>
                </c:pt>
                <c:pt idx="31">
                  <c:v>-90.529957964573427</c:v>
                </c:pt>
                <c:pt idx="32">
                  <c:v>-91.060148196700581</c:v>
                </c:pt>
                <c:pt idx="33">
                  <c:v>-91.590803291633421</c:v>
                </c:pt>
                <c:pt idx="34">
                  <c:v>-92.122156500657908</c:v>
                </c:pt>
                <c:pt idx="35">
                  <c:v>-92.654442060703971</c:v>
                </c:pt>
                <c:pt idx="36">
                  <c:v>-93.187895525864946</c:v>
                </c:pt>
                <c:pt idx="37">
                  <c:v>-93.722754101460438</c:v>
                </c:pt>
                <c:pt idx="38">
                  <c:v>-94.259256981272429</c:v>
                </c:pt>
                <c:pt idx="39">
                  <c:v>-94.797645688581369</c:v>
                </c:pt>
                <c:pt idx="40">
                  <c:v>-95.338164421622807</c:v>
                </c:pt>
                <c:pt idx="41">
                  <c:v>-95.881060404078369</c:v>
                </c:pt>
                <c:pt idx="42">
                  <c:v>-96.426584241205546</c:v>
                </c:pt>
                <c:pt idx="43">
                  <c:v>-96.974990282198689</c:v>
                </c:pt>
                <c:pt idx="44">
                  <c:v>-97.526536989359784</c:v>
                </c:pt>
                <c:pt idx="45">
                  <c:v>-98.081487314637457</c:v>
                </c:pt>
                <c:pt idx="46">
                  <c:v>-98.640109084071483</c:v>
                </c:pt>
                <c:pt idx="47">
                  <c:v>-99.202675390650427</c:v>
                </c:pt>
                <c:pt idx="48">
                  <c:v>-99.769464996056485</c:v>
                </c:pt>
                <c:pt idx="49">
                  <c:v>-100.34076274172889</c:v>
                </c:pt>
                <c:pt idx="50">
                  <c:v>-100.91685996962721</c:v>
                </c:pt>
                <c:pt idx="51">
                  <c:v>-101.49805495301463</c:v>
                </c:pt>
                <c:pt idx="52">
                  <c:v>-102.08465333750816</c:v>
                </c:pt>
                <c:pt idx="53">
                  <c:v>-102.67696859255658</c:v>
                </c:pt>
                <c:pt idx="54">
                  <c:v>-103.27532247340335</c:v>
                </c:pt>
                <c:pt idx="55">
                  <c:v>-103.88004549347018</c:v>
                </c:pt>
                <c:pt idx="56">
                  <c:v>-104.49147740695399</c:v>
                </c:pt>
                <c:pt idx="57">
                  <c:v>-105.10996770126138</c:v>
                </c:pt>
                <c:pt idx="58">
                  <c:v>-105.7358760987082</c:v>
                </c:pt>
                <c:pt idx="59">
                  <c:v>-106.3695730666827</c:v>
                </c:pt>
                <c:pt idx="60">
                  <c:v>-107.01144033520333</c:v>
                </c:pt>
                <c:pt idx="61">
                  <c:v>-107.66187142049313</c:v>
                </c:pt>
                <c:pt idx="62">
                  <c:v>-108.32127215283478</c:v>
                </c:pt>
                <c:pt idx="63">
                  <c:v>-108.990061206557</c:v>
                </c:pt>
                <c:pt idx="64">
                  <c:v>-109.66867062952824</c:v>
                </c:pt>
                <c:pt idx="65">
                  <c:v>-110.35754636898791</c:v>
                </c:pt>
                <c:pt idx="66">
                  <c:v>-111.0571487899217</c:v>
                </c:pt>
                <c:pt idx="67">
                  <c:v>-111.76795318147458</c:v>
                </c:pt>
                <c:pt idx="68">
                  <c:v>-112.49045024608462</c:v>
                </c:pt>
                <c:pt idx="69">
                  <c:v>-113.22514656510032</c:v>
                </c:pt>
                <c:pt idx="70">
                  <c:v>-113.97256503360353</c:v>
                </c:pt>
                <c:pt idx="71">
                  <c:v>-114.73324525598528</c:v>
                </c:pt>
                <c:pt idx="72">
                  <c:v>-115.50774389250458</c:v>
                </c:pt>
                <c:pt idx="73">
                  <c:v>-116.29663494558309</c:v>
                </c:pt>
                <c:pt idx="74">
                  <c:v>-117.10050997294616</c:v>
                </c:pt>
                <c:pt idx="75">
                  <c:v>-117.91997821289543</c:v>
                </c:pt>
                <c:pt idx="76">
                  <c:v>-118.75566660499022</c:v>
                </c:pt>
                <c:pt idx="77">
                  <c:v>-119.60821968720886</c:v>
                </c:pt>
                <c:pt idx="78">
                  <c:v>-120.47829934826305</c:v>
                </c:pt>
                <c:pt idx="79">
                  <c:v>-121.36658441114886</c:v>
                </c:pt>
                <c:pt idx="80">
                  <c:v>-122.27377002124692</c:v>
                </c:pt>
                <c:pt idx="81">
                  <c:v>-123.20056680935669</c:v>
                </c:pt>
                <c:pt idx="82">
                  <c:v>-124.14769979699466</c:v>
                </c:pt>
                <c:pt idx="83">
                  <c:v>-125.11590700815698</c:v>
                </c:pt>
                <c:pt idx="84">
                  <c:v>-126.10593774860732</c:v>
                </c:pt>
                <c:pt idx="85">
                  <c:v>-127.11855051069635</c:v>
                </c:pt>
                <c:pt idx="86">
                  <c:v>-128.15451045886672</c:v>
                </c:pt>
                <c:pt idx="87">
                  <c:v>-129.21458644849901</c:v>
                </c:pt>
                <c:pt idx="88">
                  <c:v>-130.2995475288007</c:v>
                </c:pt>
                <c:pt idx="89">
                  <c:v>-131.41015887926011</c:v>
                </c:pt>
                <c:pt idx="90">
                  <c:v>-132.54717712905693</c:v>
                </c:pt>
                <c:pt idx="91">
                  <c:v>-133.7113450100683</c:v>
                </c:pt>
                <c:pt idx="92">
                  <c:v>-134.90338529709788</c:v>
                </c:pt>
                <c:pt idx="93">
                  <c:v>-136.12399399411012</c:v>
                </c:pt>
                <c:pt idx="94">
                  <c:v>-137.37383273301711</c:v>
                </c:pt>
                <c:pt idx="95">
                  <c:v>-138.6535203624226</c:v>
                </c:pt>
                <c:pt idx="96">
                  <c:v>-139.96362371814706</c:v>
                </c:pt>
                <c:pt idx="97">
                  <c:v>-141.30464758579151</c:v>
                </c:pt>
                <c:pt idx="98">
                  <c:v>-142.67702388841954</c:v>
                </c:pt>
                <c:pt idx="99">
                  <c:v>-144.0811001599011</c:v>
                </c:pt>
                <c:pt idx="100">
                  <c:v>-145.51712739664578</c:v>
                </c:pt>
                <c:pt idx="101">
                  <c:v>-146.98524741716128</c:v>
                </c:pt>
                <c:pt idx="102">
                  <c:v>-148.48547989960167</c:v>
                </c:pt>
                <c:pt idx="103">
                  <c:v>-150.01770931128027</c:v>
                </c:pt>
                <c:pt idx="104">
                  <c:v>-151.58167198961689</c:v>
                </c:pt>
                <c:pt idx="105">
                  <c:v>-153.17694367923812</c:v>
                </c:pt>
                <c:pt idx="106">
                  <c:v>-154.80292787247936</c:v>
                </c:pt>
                <c:pt idx="107">
                  <c:v>-156.45884533738351</c:v>
                </c:pt>
                <c:pt idx="108">
                  <c:v>-158.14372524506788</c:v>
                </c:pt>
                <c:pt idx="109">
                  <c:v>-159.85639832343085</c:v>
                </c:pt>
                <c:pt idx="110">
                  <c:v>-161.59549246299594</c:v>
                </c:pt>
                <c:pt idx="111">
                  <c:v>-163.35943117999395</c:v>
                </c:pt>
                <c:pt idx="112">
                  <c:v>-165.14643529902969</c:v>
                </c:pt>
                <c:pt idx="113">
                  <c:v>-166.95452815147891</c:v>
                </c:pt>
                <c:pt idx="114">
                  <c:v>-168.7815444961978</c:v>
                </c:pt>
                <c:pt idx="115">
                  <c:v>-170.6251432581461</c:v>
                </c:pt>
                <c:pt idx="116">
                  <c:v>-172.48282405197534</c:v>
                </c:pt>
                <c:pt idx="117">
                  <c:v>-174.35194731736124</c:v>
                </c:pt>
                <c:pt idx="118">
                  <c:v>-176.22975774834097</c:v>
                </c:pt>
                <c:pt idx="119">
                  <c:v>-178.11341055882693</c:v>
                </c:pt>
                <c:pt idx="120">
                  <c:v>-179.99811291957786</c:v>
                </c:pt>
              </c:numCache>
            </c:numRef>
          </c:xVal>
          <c:yVal>
            <c:numRef>
              <c:f>'Ej.Lat -32'!$J$10:$J$130</c:f>
              <c:numCache>
                <c:formatCode>0.00</c:formatCode>
                <c:ptCount val="121"/>
                <c:pt idx="0">
                  <c:v>-25.088904462477387</c:v>
                </c:pt>
                <c:pt idx="1">
                  <c:v>-24.27658583722004</c:v>
                </c:pt>
                <c:pt idx="2">
                  <c:v>-23.461606568512522</c:v>
                </c:pt>
                <c:pt idx="3">
                  <c:v>-22.644099029264737</c:v>
                </c:pt>
                <c:pt idx="4">
                  <c:v>-21.824190727943474</c:v>
                </c:pt>
                <c:pt idx="5">
                  <c:v>-21.002004593064299</c:v>
                </c:pt>
                <c:pt idx="6">
                  <c:v>-20.177659244196803</c:v>
                </c:pt>
                <c:pt idx="7">
                  <c:v>-19.351269250214798</c:v>
                </c:pt>
                <c:pt idx="8">
                  <c:v>-18.522945375506922</c:v>
                </c:pt>
                <c:pt idx="9">
                  <c:v>-17.692794814844675</c:v>
                </c:pt>
                <c:pt idx="10">
                  <c:v>-16.860921417584336</c:v>
                </c:pt>
                <c:pt idx="11">
                  <c:v>-16.027425901858265</c:v>
                </c:pt>
                <c:pt idx="12">
                  <c:v>-15.192406059388858</c:v>
                </c:pt>
                <c:pt idx="13">
                  <c:v>-14.355956951536058</c:v>
                </c:pt>
                <c:pt idx="14">
                  <c:v>-13.518171097167624</c:v>
                </c:pt>
                <c:pt idx="15">
                  <c:v>-12.679138652919093</c:v>
                </c:pt>
                <c:pt idx="16">
                  <c:v>-11.838947586389622</c:v>
                </c:pt>
                <c:pt idx="17">
                  <c:v>-10.997683842799162</c:v>
                </c:pt>
                <c:pt idx="18">
                  <c:v>-10.155431505612967</c:v>
                </c:pt>
                <c:pt idx="19">
                  <c:v>-9.3122729516211251</c:v>
                </c:pt>
                <c:pt idx="20">
                  <c:v>-8.4682890009427325</c:v>
                </c:pt>
                <c:pt idx="21">
                  <c:v>-7.6235590624089014</c:v>
                </c:pt>
                <c:pt idx="22">
                  <c:v>-6.7781612747625957</c:v>
                </c:pt>
                <c:pt idx="23">
                  <c:v>-5.9321726441005325</c:v>
                </c:pt>
                <c:pt idx="24">
                  <c:v>-5.0856691779684411</c:v>
                </c:pt>
                <c:pt idx="25">
                  <c:v>-4.2387260165109097</c:v>
                </c:pt>
                <c:pt idx="26">
                  <c:v>-3.3914175610655377</c:v>
                </c:pt>
                <c:pt idx="27">
                  <c:v>-2.5438176005835516</c:v>
                </c:pt>
                <c:pt idx="28">
                  <c:v>-1.6959994362502044</c:v>
                </c:pt>
                <c:pt idx="29">
                  <c:v>-0.84803600467300555</c:v>
                </c:pt>
                <c:pt idx="30">
                  <c:v>0</c:v>
                </c:pt>
                <c:pt idx="31">
                  <c:v>0.84803600467300555</c:v>
                </c:pt>
                <c:pt idx="32">
                  <c:v>1.6959994362502187</c:v>
                </c:pt>
                <c:pt idx="33">
                  <c:v>2.5438176005835658</c:v>
                </c:pt>
                <c:pt idx="34">
                  <c:v>3.3914175610655377</c:v>
                </c:pt>
                <c:pt idx="35">
                  <c:v>4.2387260165108955</c:v>
                </c:pt>
                <c:pt idx="36">
                  <c:v>5.0856691779684411</c:v>
                </c:pt>
                <c:pt idx="37">
                  <c:v>5.9321726441005325</c:v>
                </c:pt>
                <c:pt idx="38">
                  <c:v>6.7781612747625957</c:v>
                </c:pt>
                <c:pt idx="39">
                  <c:v>7.6235590624089014</c:v>
                </c:pt>
                <c:pt idx="40">
                  <c:v>8.4682890009427467</c:v>
                </c:pt>
                <c:pt idx="41">
                  <c:v>9.3122729516211251</c:v>
                </c:pt>
                <c:pt idx="42">
                  <c:v>10.155431505612981</c:v>
                </c:pt>
                <c:pt idx="43">
                  <c:v>10.997683842799162</c:v>
                </c:pt>
                <c:pt idx="44">
                  <c:v>11.838947586389622</c:v>
                </c:pt>
                <c:pt idx="45">
                  <c:v>12.679138652919093</c:v>
                </c:pt>
                <c:pt idx="46">
                  <c:v>13.518171097167624</c:v>
                </c:pt>
                <c:pt idx="47">
                  <c:v>14.355956951536058</c:v>
                </c:pt>
                <c:pt idx="48">
                  <c:v>15.192406059388858</c:v>
                </c:pt>
                <c:pt idx="49">
                  <c:v>16.02742590185828</c:v>
                </c:pt>
                <c:pt idx="50">
                  <c:v>16.860921417584336</c:v>
                </c:pt>
                <c:pt idx="51">
                  <c:v>17.692794814844675</c:v>
                </c:pt>
                <c:pt idx="52">
                  <c:v>18.522945375506922</c:v>
                </c:pt>
                <c:pt idx="53">
                  <c:v>19.351269250214784</c:v>
                </c:pt>
                <c:pt idx="54">
                  <c:v>20.177659244196803</c:v>
                </c:pt>
                <c:pt idx="55">
                  <c:v>21.002004593064299</c:v>
                </c:pt>
                <c:pt idx="56">
                  <c:v>21.824190727943474</c:v>
                </c:pt>
                <c:pt idx="57">
                  <c:v>22.644099029264737</c:v>
                </c:pt>
                <c:pt idx="58">
                  <c:v>23.461606568512522</c:v>
                </c:pt>
                <c:pt idx="59">
                  <c:v>24.276585837220054</c:v>
                </c:pt>
                <c:pt idx="60">
                  <c:v>25.088904462477402</c:v>
                </c:pt>
                <c:pt idx="61">
                  <c:v>25.89842490820844</c:v>
                </c:pt>
                <c:pt idx="62">
                  <c:v>26.705004161463272</c:v>
                </c:pt>
                <c:pt idx="63">
                  <c:v>27.50849340296984</c:v>
                </c:pt>
                <c:pt idx="64">
                  <c:v>28.308737661191813</c:v>
                </c:pt>
                <c:pt idx="65">
                  <c:v>29.105575449151807</c:v>
                </c:pt>
                <c:pt idx="66">
                  <c:v>29.898838383301481</c:v>
                </c:pt>
                <c:pt idx="67">
                  <c:v>30.688350783755276</c:v>
                </c:pt>
                <c:pt idx="68">
                  <c:v>31.473929255254163</c:v>
                </c:pt>
                <c:pt idx="69">
                  <c:v>32.255382248295106</c:v>
                </c:pt>
                <c:pt idx="70">
                  <c:v>33.032509599951446</c:v>
                </c:pt>
                <c:pt idx="71">
                  <c:v>33.805102054025426</c:v>
                </c:pt>
                <c:pt idx="72">
                  <c:v>34.57294076032052</c:v>
                </c:pt>
                <c:pt idx="73">
                  <c:v>35.335796753002029</c:v>
                </c:pt>
                <c:pt idx="74">
                  <c:v>36.093430408237779</c:v>
                </c:pt>
                <c:pt idx="75">
                  <c:v>36.845590881580598</c:v>
                </c:pt>
                <c:pt idx="76">
                  <c:v>37.592015525879901</c:v>
                </c:pt>
                <c:pt idx="77">
                  <c:v>38.332429290898112</c:v>
                </c:pt>
                <c:pt idx="78">
                  <c:v>39.06654410626755</c:v>
                </c:pt>
                <c:pt idx="79">
                  <c:v>39.794058249964884</c:v>
                </c:pt>
                <c:pt idx="80">
                  <c:v>40.514655705112496</c:v>
                </c:pt>
                <c:pt idx="81">
                  <c:v>41.228005508650327</c:v>
                </c:pt>
                <c:pt idx="82">
                  <c:v>41.93376109626756</c:v>
                </c:pt>
                <c:pt idx="83">
                  <c:v>42.631559648953179</c:v>
                </c:pt>
                <c:pt idx="84">
                  <c:v>43.321021447624837</c:v>
                </c:pt>
                <c:pt idx="85">
                  <c:v>44.001749243538917</c:v>
                </c:pt>
                <c:pt idx="86">
                  <c:v>44.673327653574205</c:v>
                </c:pt>
                <c:pt idx="87">
                  <c:v>45.335322591022624</c:v>
                </c:pt>
                <c:pt idx="88">
                  <c:v>45.98728074421205</c:v>
                </c:pt>
                <c:pt idx="89">
                  <c:v>46.628729117120272</c:v>
                </c:pt>
                <c:pt idx="90">
                  <c:v>47.259174648102118</c:v>
                </c:pt>
                <c:pt idx="91">
                  <c:v>47.878103924919692</c:v>
                </c:pt>
                <c:pt idx="92">
                  <c:v>48.484983016400953</c:v>
                </c:pt>
                <c:pt idx="93">
                  <c:v>49.079257443204156</c:v>
                </c:pt>
                <c:pt idx="94">
                  <c:v>49.660352312268017</c:v>
                </c:pt>
                <c:pt idx="95">
                  <c:v>50.22767264148964</c:v>
                </c:pt>
                <c:pt idx="96">
                  <c:v>50.780603902887471</c:v>
                </c:pt>
                <c:pt idx="97">
                  <c:v>51.318512813840599</c:v>
                </c:pt>
                <c:pt idx="98">
                  <c:v>51.840748406794795</c:v>
                </c:pt>
                <c:pt idx="99">
                  <c:v>52.346643407909418</c:v>
                </c:pt>
                <c:pt idx="100">
                  <c:v>52.83551595429531</c:v>
                </c:pt>
                <c:pt idx="101">
                  <c:v>53.306671677550746</c:v>
                </c:pt>
                <c:pt idx="102">
                  <c:v>53.759406178032627</c:v>
                </c:pt>
                <c:pt idx="103">
                  <c:v>54.193007909503216</c:v>
                </c:pt>
                <c:pt idx="104">
                  <c:v>54.60676148729867</c:v>
                </c:pt>
                <c:pt idx="105">
                  <c:v>54.999951424855126</c:v>
                </c:pt>
                <c:pt idx="106">
                  <c:v>55.371866293252978</c:v>
                </c:pt>
                <c:pt idx="107">
                  <c:v>55.721803286455554</c:v>
                </c:pt>
                <c:pt idx="108">
                  <c:v>56.049073161301287</c:v>
                </c:pt>
                <c:pt idx="109">
                  <c:v>56.353005506381393</c:v>
                </c:pt>
                <c:pt idx="110">
                  <c:v>56.632954278180094</c:v>
                </c:pt>
                <c:pt idx="111">
                  <c:v>56.888303526913248</c:v>
                </c:pt>
                <c:pt idx="112">
                  <c:v>57.118473219161331</c:v>
                </c:pt>
                <c:pt idx="113">
                  <c:v>57.322925050560549</c:v>
                </c:pt>
                <c:pt idx="114">
                  <c:v>57.501168130455994</c:v>
                </c:pt>
                <c:pt idx="115">
                  <c:v>57.652764412502691</c:v>
                </c:pt>
                <c:pt idx="116">
                  <c:v>57.777333741596003</c:v>
                </c:pt>
                <c:pt idx="117">
                  <c:v>57.874558388929344</c:v>
                </c:pt>
                <c:pt idx="118">
                  <c:v>57.944186953851109</c:v>
                </c:pt>
                <c:pt idx="119">
                  <c:v>57.98603752363325</c:v>
                </c:pt>
                <c:pt idx="120">
                  <c:v>57.999999986034446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74-45FF-A432-9D2AC50F8694}"/>
            </c:ext>
          </c:extLst>
        </c:ser>
        <c:ser>
          <c:idx val="4"/>
          <c:order val="2"/>
          <c:tx>
            <c:strRef>
              <c:f>'Ej.Lat -32'!$P$7</c:f>
              <c:strCache>
                <c:ptCount val="1"/>
                <c:pt idx="0">
                  <c:v>SINV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'Ej.Lat -32'!$Q$10:$Q$130</c:f>
              <c:numCache>
                <c:formatCode>0.00</c:formatCode>
                <c:ptCount val="121"/>
                <c:pt idx="0">
                  <c:v>-53.84366586119085</c:v>
                </c:pt>
                <c:pt idx="1">
                  <c:v>-54.46042419618486</c:v>
                </c:pt>
                <c:pt idx="2">
                  <c:v>-55.069831416475232</c:v>
                </c:pt>
                <c:pt idx="3">
                  <c:v>-55.672053865813055</c:v>
                </c:pt>
                <c:pt idx="4">
                  <c:v>-56.26725756637645</c:v>
                </c:pt>
                <c:pt idx="5">
                  <c:v>-56.855608071771478</c:v>
                </c:pt>
                <c:pt idx="6">
                  <c:v>-57.43727033822816</c:v>
                </c:pt>
                <c:pt idx="7">
                  <c:v>-58.012408613005846</c:v>
                </c:pt>
                <c:pt idx="8">
                  <c:v>-58.581186339063265</c:v>
                </c:pt>
                <c:pt idx="9">
                  <c:v>-59.14376607509282</c:v>
                </c:pt>
                <c:pt idx="10">
                  <c:v>-59.700309430065317</c:v>
                </c:pt>
                <c:pt idx="11">
                  <c:v>-60.250977011479272</c:v>
                </c:pt>
                <c:pt idx="12">
                  <c:v>-60.795928386558565</c:v>
                </c:pt>
                <c:pt idx="13">
                  <c:v>-61.33532205569243</c:v>
                </c:pt>
                <c:pt idx="14">
                  <c:v>-61.869315437462546</c:v>
                </c:pt>
                <c:pt idx="15">
                  <c:v>-62.398064864652873</c:v>
                </c:pt>
                <c:pt idx="16">
                  <c:v>-62.921725590689412</c:v>
                </c:pt>
                <c:pt idx="17">
                  <c:v>-63.440451806007083</c:v>
                </c:pt>
                <c:pt idx="18">
                  <c:v>-63.954396663892922</c:v>
                </c:pt>
                <c:pt idx="19">
                  <c:v>-64.463712315404067</c:v>
                </c:pt>
                <c:pt idx="20">
                  <c:v>-64.968549953010225</c:v>
                </c:pt>
                <c:pt idx="21">
                  <c:v>-65.469059862659648</c:v>
                </c:pt>
                <c:pt idx="22">
                  <c:v>-65.965391484017729</c:v>
                </c:pt>
                <c:pt idx="23">
                  <c:v>-66.457693478677399</c:v>
                </c:pt>
                <c:pt idx="24">
                  <c:v>-66.946113806189814</c:v>
                </c:pt>
                <c:pt idx="25">
                  <c:v>-67.430799807814466</c:v>
                </c:pt>
                <c:pt idx="26">
                  <c:v>-67.911898297938151</c:v>
                </c:pt>
                <c:pt idx="27">
                  <c:v>-68.389555663163449</c:v>
                </c:pt>
                <c:pt idx="28">
                  <c:v>-68.863917969119498</c:v>
                </c:pt>
                <c:pt idx="29">
                  <c:v>-69.335131075101657</c:v>
                </c:pt>
                <c:pt idx="30">
                  <c:v>-69.80334075670072</c:v>
                </c:pt>
                <c:pt idx="31">
                  <c:v>-70.268692836640199</c:v>
                </c:pt>
                <c:pt idx="32">
                  <c:v>-70.731333324098543</c:v>
                </c:pt>
                <c:pt idx="33">
                  <c:v>-71.191408562855486</c:v>
                </c:pt>
                <c:pt idx="34">
                  <c:v>-71.649065388667054</c:v>
                </c:pt>
                <c:pt idx="35">
                  <c:v>-72.10445129634229</c:v>
                </c:pt>
                <c:pt idx="36">
                  <c:v>-72.55771461706864</c:v>
                </c:pt>
                <c:pt idx="37">
                  <c:v>-73.009004706611606</c:v>
                </c:pt>
                <c:pt idx="38">
                  <c:v>-73.458472145097957</c:v>
                </c:pt>
                <c:pt idx="39">
                  <c:v>-73.906268949184295</c:v>
                </c:pt>
                <c:pt idx="40">
                  <c:v>-74.352548797510167</c:v>
                </c:pt>
                <c:pt idx="41">
                  <c:v>-74.797467270444017</c:v>
                </c:pt>
                <c:pt idx="42">
                  <c:v>-75.241182105246253</c:v>
                </c:pt>
                <c:pt idx="43">
                  <c:v>-75.683853467904754</c:v>
                </c:pt>
                <c:pt idx="44">
                  <c:v>-76.12564424303747</c:v>
                </c:pt>
                <c:pt idx="45">
                  <c:v>-76.566720343415298</c:v>
                </c:pt>
                <c:pt idx="46">
                  <c:v>-77.007251040830013</c:v>
                </c:pt>
                <c:pt idx="47">
                  <c:v>-77.447409320224395</c:v>
                </c:pt>
                <c:pt idx="48">
                  <c:v>-77.887372259214317</c:v>
                </c:pt>
                <c:pt idx="49">
                  <c:v>-78.327321435370678</c:v>
                </c:pt>
                <c:pt idx="50">
                  <c:v>-78.767443363892525</c:v>
                </c:pt>
                <c:pt idx="51">
                  <c:v>-79.207929968600837</c:v>
                </c:pt>
                <c:pt idx="52">
                  <c:v>-79.64897908951248</c:v>
                </c:pt>
                <c:pt idx="53">
                  <c:v>-80.090795030628172</c:v>
                </c:pt>
                <c:pt idx="54">
                  <c:v>-80.53358915198632</c:v>
                </c:pt>
                <c:pt idx="55">
                  <c:v>-80.97758051050765</c:v>
                </c:pt>
                <c:pt idx="56">
                  <c:v>-81.422996554688211</c:v>
                </c:pt>
                <c:pt idx="57">
                  <c:v>-81.870073878802003</c:v>
                </c:pt>
                <c:pt idx="58">
                  <c:v>-82.319059042956425</c:v>
                </c:pt>
                <c:pt idx="59">
                  <c:v>-82.770209466119411</c:v>
                </c:pt>
                <c:pt idx="60">
                  <c:v>-83.223794400118152</c:v>
                </c:pt>
                <c:pt idx="61">
                  <c:v>-83.680095993611701</c:v>
                </c:pt>
                <c:pt idx="62">
                  <c:v>-84.139410456185061</c:v>
                </c:pt>
                <c:pt idx="63">
                  <c:v>-84.602049334019469</c:v>
                </c:pt>
                <c:pt idx="64">
                  <c:v>-85.068340910091138</c:v>
                </c:pt>
                <c:pt idx="65">
                  <c:v>-85.538631743568217</c:v>
                </c:pt>
                <c:pt idx="66">
                  <c:v>-86.013288365048737</c:v>
                </c:pt>
                <c:pt idx="67">
                  <c:v>-86.492699146554926</c:v>
                </c:pt>
                <c:pt idx="68">
                  <c:v>-86.977276367819371</c:v>
                </c:pt>
                <c:pt idx="69">
                  <c:v>-87.467458503427878</c:v>
                </c:pt>
                <c:pt idx="70">
                  <c:v>-87.963712758890566</c:v>
                </c:pt>
                <c:pt idx="71">
                  <c:v>-88.466537887782536</c:v>
                </c:pt>
                <c:pt idx="72">
                  <c:v>-88.976467326826068</c:v>
                </c:pt>
                <c:pt idx="73">
                  <c:v>-89.494072691297276</c:v>
                </c:pt>
                <c:pt idx="74">
                  <c:v>-90.019967679573355</c:v>
                </c:pt>
                <c:pt idx="75">
                  <c:v>-90.554812443159989</c:v>
                </c:pt>
                <c:pt idx="76">
                  <c:v>-91.099318487357465</c:v>
                </c:pt>
                <c:pt idx="77">
                  <c:v>-91.654254178078517</c:v>
                </c:pt>
                <c:pt idx="78">
                  <c:v>-92.220450942517473</c:v>
                </c:pt>
                <c:pt idx="79">
                  <c:v>-92.798810265734261</c:v>
                </c:pt>
                <c:pt idx="80">
                  <c:v>-93.390311602188063</c:v>
                </c:pt>
                <c:pt idx="81">
                  <c:v>-93.996021341332423</c:v>
                </c:pt>
                <c:pt idx="82">
                  <c:v>-94.617102990185757</c:v>
                </c:pt>
                <c:pt idx="83">
                  <c:v>-95.254828764045001</c:v>
                </c:pt>
                <c:pt idx="84">
                  <c:v>-95.910592810096404</c:v>
                </c:pt>
                <c:pt idx="85">
                  <c:v>-96.585926328646266</c:v>
                </c:pt>
                <c:pt idx="86">
                  <c:v>-97.282514904291304</c:v>
                </c:pt>
                <c:pt idx="87">
                  <c:v>-98.002218416047469</c:v>
                </c:pt>
                <c:pt idx="88">
                  <c:v>-98.747093962977459</c:v>
                </c:pt>
                <c:pt idx="89">
                  <c:v>-99.519422322180347</c:v>
                </c:pt>
                <c:pt idx="90">
                  <c:v>-100.3217385513595</c:v>
                </c:pt>
                <c:pt idx="91">
                  <c:v>-101.15686746098298</c:v>
                </c:pt>
                <c:pt idx="92">
                  <c:v>-102.02796481376419</c:v>
                </c:pt>
                <c:pt idx="93">
                  <c:v>-102.93856526406796</c:v>
                </c:pt>
                <c:pt idx="94">
                  <c:v>-103.8926382284055</c:v>
                </c:pt>
                <c:pt idx="95">
                  <c:v>-104.89465308031386</c:v>
                </c:pt>
                <c:pt idx="96">
                  <c:v>-105.94965528536522</c:v>
                </c:pt>
                <c:pt idx="97">
                  <c:v>-107.06335532583158</c:v>
                </c:pt>
                <c:pt idx="98">
                  <c:v>-108.24223249072983</c:v>
                </c:pt>
                <c:pt idx="99">
                  <c:v>-109.49365578983037</c:v>
                </c:pt>
                <c:pt idx="100">
                  <c:v>-110.82602432606507</c:v>
                </c:pt>
                <c:pt idx="101">
                  <c:v>-112.2489293204215</c:v>
                </c:pt>
                <c:pt idx="102">
                  <c:v>-113.77333944453333</c:v>
                </c:pt>
                <c:pt idx="103">
                  <c:v>-115.41180988097304</c:v>
                </c:pt>
                <c:pt idx="104">
                  <c:v>-117.17871312332875</c:v>
                </c:pt>
                <c:pt idx="105">
                  <c:v>-119.0904852024743</c:v>
                </c:pt>
                <c:pt idx="106">
                  <c:v>-121.16587364960222</c:v>
                </c:pt>
                <c:pt idx="107">
                  <c:v>-123.42616142610946</c:v>
                </c:pt>
                <c:pt idx="108">
                  <c:v>-125.8953219915763</c:v>
                </c:pt>
                <c:pt idx="109">
                  <c:v>-128.60003183560417</c:v>
                </c:pt>
                <c:pt idx="110">
                  <c:v>-131.56942542097505</c:v>
                </c:pt>
                <c:pt idx="111">
                  <c:v>-134.83442264803344</c:v>
                </c:pt>
                <c:pt idx="112">
                  <c:v>-138.42639553487209</c:v>
                </c:pt>
                <c:pt idx="113">
                  <c:v>-142.37488696891452</c:v>
                </c:pt>
                <c:pt idx="114">
                  <c:v>-146.70409253064463</c:v>
                </c:pt>
                <c:pt idx="115">
                  <c:v>-151.4279426750002</c:v>
                </c:pt>
                <c:pt idx="116">
                  <c:v>-156.54397823321204</c:v>
                </c:pt>
                <c:pt idx="117">
                  <c:v>-162.02686545912169</c:v>
                </c:pt>
                <c:pt idx="118">
                  <c:v>-167.82325091798262</c:v>
                </c:pt>
                <c:pt idx="119">
                  <c:v>-173.85029903984469</c:v>
                </c:pt>
                <c:pt idx="120">
                  <c:v>-179.99382933609934</c:v>
                </c:pt>
              </c:numCache>
            </c:numRef>
          </c:xVal>
          <c:yVal>
            <c:numRef>
              <c:f>'Ej.Lat -32'!$P$10:$P$130</c:f>
              <c:numCache>
                <c:formatCode>0.00</c:formatCode>
                <c:ptCount val="121"/>
                <c:pt idx="0">
                  <c:v>-10.260407020509589</c:v>
                </c:pt>
                <c:pt idx="1">
                  <c:v>-9.5729992811760809</c:v>
                </c:pt>
                <c:pt idx="2">
                  <c:v>-8.8803168537590409</c:v>
                </c:pt>
                <c:pt idx="3">
                  <c:v>-8.1825001687276142</c:v>
                </c:pt>
                <c:pt idx="4">
                  <c:v>-7.4796860567191032</c:v>
                </c:pt>
                <c:pt idx="5">
                  <c:v>-6.7720078208947143</c:v>
                </c:pt>
                <c:pt idx="6">
                  <c:v>-6.0595953112239727</c:v>
                </c:pt>
                <c:pt idx="7">
                  <c:v>-5.3425750003149375</c:v>
                </c:pt>
                <c:pt idx="8">
                  <c:v>-4.6210700604428752</c:v>
                </c:pt>
                <c:pt idx="9">
                  <c:v>-3.8952004414622934</c:v>
                </c:pt>
                <c:pt idx="10">
                  <c:v>-3.165082949319185</c:v>
                </c:pt>
                <c:pt idx="11">
                  <c:v>-2.4308313249085955</c:v>
                </c:pt>
                <c:pt idx="12">
                  <c:v>-1.6925563230502831</c:v>
                </c:pt>
                <c:pt idx="13">
                  <c:v>-0.95036579138044885</c:v>
                </c:pt>
                <c:pt idx="14">
                  <c:v>-0.20436474898093593</c:v>
                </c:pt>
                <c:pt idx="15">
                  <c:v>0.54534453541032235</c:v>
                </c:pt>
                <c:pt idx="16">
                  <c:v>1.2986624657441865</c:v>
                </c:pt>
                <c:pt idx="17">
                  <c:v>2.0554920416771552</c:v>
                </c:pt>
                <c:pt idx="18">
                  <c:v>2.8157387823606541</c:v>
                </c:pt>
                <c:pt idx="19">
                  <c:v>3.5793106510858905</c:v>
                </c:pt>
                <c:pt idx="20">
                  <c:v>4.3461179808532364</c:v>
                </c:pt>
                <c:pt idx="21">
                  <c:v>5.1160734009208255</c:v>
                </c:pt>
                <c:pt idx="22">
                  <c:v>5.8890917643744274</c:v>
                </c:pt>
                <c:pt idx="23">
                  <c:v>6.6650900767489247</c:v>
                </c:pt>
                <c:pt idx="24">
                  <c:v>7.4439874257202661</c:v>
                </c:pt>
                <c:pt idx="25">
                  <c:v>8.2257049118773438</c:v>
                </c:pt>
                <c:pt idx="26">
                  <c:v>9.010165580572675</c:v>
                </c:pt>
                <c:pt idx="27">
                  <c:v>9.7972943548430749</c:v>
                </c:pt>
                <c:pt idx="28">
                  <c:v>10.587017969381833</c:v>
                </c:pt>
                <c:pt idx="29">
                  <c:v>11.37926490553717</c:v>
                </c:pt>
                <c:pt idx="30">
                  <c:v>12.173965327303392</c:v>
                </c:pt>
                <c:pt idx="31">
                  <c:v>12.971051018264291</c:v>
                </c:pt>
                <c:pt idx="32">
                  <c:v>13.770455319441353</c:v>
                </c:pt>
                <c:pt idx="33">
                  <c:v>14.572113067992234</c:v>
                </c:pt>
                <c:pt idx="34">
                  <c:v>15.375960536698599</c:v>
                </c:pt>
                <c:pt idx="35">
                  <c:v>16.181935374175112</c:v>
                </c:pt>
                <c:pt idx="36">
                  <c:v>16.989976545725199</c:v>
                </c:pt>
                <c:pt idx="37">
                  <c:v>17.800024274761483</c:v>
                </c:pt>
                <c:pt idx="38">
                  <c:v>18.612019984701973</c:v>
                </c:pt>
                <c:pt idx="39">
                  <c:v>19.425906241245514</c:v>
                </c:pt>
                <c:pt idx="40">
                  <c:v>20.241626694921607</c:v>
                </c:pt>
                <c:pt idx="41">
                  <c:v>21.059126023801539</c:v>
                </c:pt>
                <c:pt idx="42">
                  <c:v>21.878349876247924</c:v>
                </c:pt>
                <c:pt idx="43">
                  <c:v>22.6992448135708</c:v>
                </c:pt>
                <c:pt idx="44">
                  <c:v>23.521758252445792</c:v>
                </c:pt>
                <c:pt idx="45">
                  <c:v>24.345838406939663</c:v>
                </c:pt>
                <c:pt idx="46">
                  <c:v>25.171434229973627</c:v>
                </c:pt>
                <c:pt idx="47">
                  <c:v>25.998495354041296</c:v>
                </c:pt>
                <c:pt idx="48">
                  <c:v>26.826972030980798</c:v>
                </c:pt>
                <c:pt idx="49">
                  <c:v>27.656815070582908</c:v>
                </c:pt>
                <c:pt idx="50">
                  <c:v>28.487975777795896</c:v>
                </c:pt>
                <c:pt idx="51">
                  <c:v>29.320405888265498</c:v>
                </c:pt>
                <c:pt idx="52">
                  <c:v>30.154057501921521</c:v>
                </c:pt>
                <c:pt idx="53">
                  <c:v>30.988883014294267</c:v>
                </c:pt>
                <c:pt idx="54">
                  <c:v>31.824835045210172</c:v>
                </c:pt>
                <c:pt idx="55">
                  <c:v>32.661866364479074</c:v>
                </c:pt>
                <c:pt idx="56">
                  <c:v>33.499929814142845</c:v>
                </c:pt>
                <c:pt idx="57">
                  <c:v>34.338978226807093</c:v>
                </c:pt>
                <c:pt idx="58">
                  <c:v>35.178964339522594</c:v>
                </c:pt>
                <c:pt idx="59">
                  <c:v>36.019840702620755</c:v>
                </c:pt>
                <c:pt idx="60">
                  <c:v>36.861559582835746</c:v>
                </c:pt>
                <c:pt idx="61">
                  <c:v>37.704072859964555</c:v>
                </c:pt>
                <c:pt idx="62">
                  <c:v>38.547331916222419</c:v>
                </c:pt>
                <c:pt idx="63">
                  <c:v>39.391287517343315</c:v>
                </c:pt>
                <c:pt idx="64">
                  <c:v>40.235889684352081</c:v>
                </c:pt>
                <c:pt idx="65">
                  <c:v>41.081087554791779</c:v>
                </c:pt>
                <c:pt idx="66">
                  <c:v>41.926829232025227</c:v>
                </c:pt>
                <c:pt idx="67">
                  <c:v>42.773061621039581</c:v>
                </c:pt>
                <c:pt idx="68">
                  <c:v>43.61973024896119</c:v>
                </c:pt>
                <c:pt idx="69">
                  <c:v>44.466779068231951</c:v>
                </c:pt>
                <c:pt idx="70">
                  <c:v>45.31415024009852</c:v>
                </c:pt>
                <c:pt idx="71">
                  <c:v>46.161783895717164</c:v>
                </c:pt>
                <c:pt idx="72">
                  <c:v>47.009617871767873</c:v>
                </c:pt>
                <c:pt idx="73">
                  <c:v>47.857587416992217</c:v>
                </c:pt>
                <c:pt idx="74">
                  <c:v>48.705624865505648</c:v>
                </c:pt>
                <c:pt idx="75">
                  <c:v>49.553659272070199</c:v>
                </c:pt>
                <c:pt idx="76">
                  <c:v>50.401616003727916</c:v>
                </c:pt>
                <c:pt idx="77">
                  <c:v>51.249416281263798</c:v>
                </c:pt>
                <c:pt idx="78">
                  <c:v>52.096976662861401</c:v>
                </c:pt>
                <c:pt idx="79">
                  <c:v>52.944208460993387</c:v>
                </c:pt>
                <c:pt idx="80">
                  <c:v>53.791017082015124</c:v>
                </c:pt>
                <c:pt idx="81">
                  <c:v>54.637301276038443</c:v>
                </c:pt>
                <c:pt idx="82">
                  <c:v>55.482952282391764</c:v>
                </c:pt>
                <c:pt idx="83">
                  <c:v>56.327852853234411</c:v>
                </c:pt>
                <c:pt idx="84">
                  <c:v>57.171876134580579</c:v>
                </c:pt>
                <c:pt idx="85">
                  <c:v>58.014884379971228</c:v>
                </c:pt>
                <c:pt idx="86">
                  <c:v>58.856727467144935</c:v>
                </c:pt>
                <c:pt idx="87">
                  <c:v>59.697241182094203</c:v>
                </c:pt>
                <c:pt idx="88">
                  <c:v>60.536245227595238</c:v>
                </c:pt>
                <c:pt idx="89">
                  <c:v>61.373540904341155</c:v>
                </c:pt>
                <c:pt idx="90">
                  <c:v>62.208908401785138</c:v>
                </c:pt>
                <c:pt idx="91">
                  <c:v>63.042103622200912</c:v>
                </c:pt>
                <c:pt idx="92">
                  <c:v>63.872854444652958</c:v>
                </c:pt>
                <c:pt idx="93">
                  <c:v>64.700856314742438</c:v>
                </c:pt>
                <c:pt idx="94">
                  <c:v>65.525767020162306</c:v>
                </c:pt>
                <c:pt idx="95">
                  <c:v>66.347200480037941</c:v>
                </c:pt>
                <c:pt idx="96">
                  <c:v>67.164719336262323</c:v>
                </c:pt>
                <c:pt idx="97">
                  <c:v>67.97782608578791</c:v>
                </c:pt>
                <c:pt idx="98">
                  <c:v>68.785952432076186</c:v>
                </c:pt>
                <c:pt idx="99">
                  <c:v>69.588446459407976</c:v>
                </c:pt>
                <c:pt idx="100">
                  <c:v>70.384557143352438</c:v>
                </c:pt>
                <c:pt idx="101">
                  <c:v>71.173415602756975</c:v>
                </c:pt>
                <c:pt idx="102">
                  <c:v>71.954012373061033</c:v>
                </c:pt>
                <c:pt idx="103">
                  <c:v>72.725169840822588</c:v>
                </c:pt>
                <c:pt idx="104">
                  <c:v>73.485508835015878</c:v>
                </c:pt>
                <c:pt idx="105">
                  <c:v>74.233408244216278</c:v>
                </c:pt>
                <c:pt idx="106">
                  <c:v>74.966956464537361</c:v>
                </c:pt>
                <c:pt idx="107">
                  <c:v>75.68389356288904</c:v>
                </c:pt>
                <c:pt idx="108">
                  <c:v>76.381543406654345</c:v>
                </c:pt>
                <c:pt idx="109">
                  <c:v>77.056735901051624</c:v>
                </c:pt>
                <c:pt idx="110">
                  <c:v>77.705721258450495</c:v>
                </c:pt>
                <c:pt idx="111">
                  <c:v>78.324081427663188</c:v>
                </c:pt>
                <c:pt idx="112">
                  <c:v>78.906649088091839</c:v>
                </c:pt>
                <c:pt idx="113">
                  <c:v>79.447452539701771</c:v>
                </c:pt>
                <c:pt idx="114">
                  <c:v>79.939715348014659</c:v>
                </c:pt>
                <c:pt idx="115">
                  <c:v>80.375950973309202</c:v>
                </c:pt>
                <c:pt idx="116">
                  <c:v>80.748199783640061</c:v>
                </c:pt>
                <c:pt idx="117">
                  <c:v>81.048449428045032</c:v>
                </c:pt>
                <c:pt idx="118">
                  <c:v>81.269247783339665</c:v>
                </c:pt>
                <c:pt idx="119">
                  <c:v>81.404454843984681</c:v>
                </c:pt>
                <c:pt idx="120">
                  <c:v>81.449999954333293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74-45FF-A432-9D2AC50F8694}"/>
            </c:ext>
          </c:extLst>
        </c:ser>
        <c:ser>
          <c:idx val="5"/>
          <c:order val="3"/>
          <c:tx>
            <c:strRef>
              <c:f>'Ej.Lat -32'!$W$9</c:f>
              <c:strCache>
                <c:ptCount val="1"/>
                <c:pt idx="0">
                  <c:v>w = -8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'Ej.Lat -32'!$V$10:$V$14</c:f>
              <c:numCache>
                <c:formatCode>0.00</c:formatCode>
                <c:ptCount val="5"/>
                <c:pt idx="0">
                  <c:v>-96.776205599881848</c:v>
                </c:pt>
                <c:pt idx="1">
                  <c:v>-84.135589200421549</c:v>
                </c:pt>
                <c:pt idx="2">
                  <c:v>-72.988559664796682</c:v>
                </c:pt>
                <c:pt idx="3">
                  <c:v>-63.015449191497034</c:v>
                </c:pt>
                <c:pt idx="4">
                  <c:v>-53.84366586119085</c:v>
                </c:pt>
              </c:numCache>
            </c:numRef>
          </c:xVal>
          <c:yVal>
            <c:numRef>
              <c:f>'Ej.Lat -32'!$W$10:$W$14</c:f>
              <c:numCache>
                <c:formatCode>0.00</c:formatCode>
                <c:ptCount val="5"/>
                <c:pt idx="0">
                  <c:v>-36.86155958283571</c:v>
                </c:pt>
                <c:pt idx="1">
                  <c:v>-30.680509298683887</c:v>
                </c:pt>
                <c:pt idx="2">
                  <c:v>-25.088904462477387</c:v>
                </c:pt>
                <c:pt idx="3">
                  <c:v>-17.907980641230793</c:v>
                </c:pt>
                <c:pt idx="4">
                  <c:v>-10.260407020509589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74-45FF-A432-9D2AC50F8694}"/>
            </c:ext>
          </c:extLst>
        </c:ser>
        <c:ser>
          <c:idx val="6"/>
          <c:order val="4"/>
          <c:tx>
            <c:strRef>
              <c:f>'Ej.Lat -32'!$X$9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-32'!$V$25:$V$29</c:f>
              <c:numCache>
                <c:formatCode>0.00</c:formatCode>
                <c:ptCount val="5"/>
                <c:pt idx="0">
                  <c:v>-103.43327965658469</c:v>
                </c:pt>
                <c:pt idx="1">
                  <c:v>-92.303521659072118</c:v>
                </c:pt>
                <c:pt idx="2">
                  <c:v>-81.918512685362543</c:v>
                </c:pt>
                <c:pt idx="3">
                  <c:v>-72.036860404596339</c:v>
                </c:pt>
                <c:pt idx="4">
                  <c:v>-62.398064864652873</c:v>
                </c:pt>
              </c:numCache>
            </c:numRef>
          </c:xVal>
          <c:yVal>
            <c:numRef>
              <c:f>'Ej.Lat -32'!$X$25:$X$29</c:f>
              <c:numCache>
                <c:formatCode>0.00</c:formatCode>
                <c:ptCount val="5"/>
                <c:pt idx="0">
                  <c:v>-24.345838406939677</c:v>
                </c:pt>
                <c:pt idx="1">
                  <c:v>-18.820141231876761</c:v>
                </c:pt>
                <c:pt idx="2">
                  <c:v>-12.679138652919093</c:v>
                </c:pt>
                <c:pt idx="3">
                  <c:v>-6.1553072594733891</c:v>
                </c:pt>
                <c:pt idx="4">
                  <c:v>0.54534453541032235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74-45FF-A432-9D2AC50F8694}"/>
            </c:ext>
          </c:extLst>
        </c:ser>
        <c:ser>
          <c:idx val="7"/>
          <c:order val="5"/>
          <c:tx>
            <c:strRef>
              <c:f>'Ej.Lat -32'!$Y$9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-32'!$V$40:$V$44</c:f>
              <c:numCache>
                <c:formatCode>0.00</c:formatCode>
                <c:ptCount val="5"/>
                <c:pt idx="0">
                  <c:v>-110.19665924329928</c:v>
                </c:pt>
                <c:pt idx="1">
                  <c:v>-99.982287933048354</c:v>
                </c:pt>
                <c:pt idx="2">
                  <c:v>-90</c:v>
                </c:pt>
                <c:pt idx="3">
                  <c:v>-80.017712066951646</c:v>
                </c:pt>
                <c:pt idx="4">
                  <c:v>-69.80334075670072</c:v>
                </c:pt>
              </c:numCache>
            </c:numRef>
          </c:xVal>
          <c:yVal>
            <c:numRef>
              <c:f>'Ej.Lat -32'!$Y$40:$Y$44</c:f>
              <c:numCache>
                <c:formatCode>0.00</c:formatCode>
                <c:ptCount val="5"/>
                <c:pt idx="0">
                  <c:v>-12.173965327303392</c:v>
                </c:pt>
                <c:pt idx="1">
                  <c:v>-6.1820156898562999</c:v>
                </c:pt>
                <c:pt idx="2">
                  <c:v>0</c:v>
                </c:pt>
                <c:pt idx="3">
                  <c:v>6.1820156898562999</c:v>
                </c:pt>
                <c:pt idx="4">
                  <c:v>12.173965327303392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574-45FF-A432-9D2AC50F8694}"/>
            </c:ext>
          </c:extLst>
        </c:ser>
        <c:ser>
          <c:idx val="8"/>
          <c:order val="6"/>
          <c:tx>
            <c:strRef>
              <c:f>'Ej.Lat -32'!$Z$9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-32'!$V$55:$V$59</c:f>
              <c:numCache>
                <c:formatCode>0.00</c:formatCode>
                <c:ptCount val="5"/>
                <c:pt idx="0">
                  <c:v>-117.60193513534711</c:v>
                </c:pt>
                <c:pt idx="1">
                  <c:v>-107.96313959540366</c:v>
                </c:pt>
                <c:pt idx="2">
                  <c:v>-98.081487314637457</c:v>
                </c:pt>
                <c:pt idx="3">
                  <c:v>-87.696478340927868</c:v>
                </c:pt>
                <c:pt idx="4">
                  <c:v>-76.566720343415298</c:v>
                </c:pt>
              </c:numCache>
            </c:numRef>
          </c:xVal>
          <c:yVal>
            <c:numRef>
              <c:f>'Ej.Lat -32'!$Z$55:$Z$59</c:f>
              <c:numCache>
                <c:formatCode>0.00</c:formatCode>
                <c:ptCount val="5"/>
                <c:pt idx="0">
                  <c:v>-0.54534453541032235</c:v>
                </c:pt>
                <c:pt idx="1">
                  <c:v>6.1553072594733891</c:v>
                </c:pt>
                <c:pt idx="2">
                  <c:v>12.679138652919093</c:v>
                </c:pt>
                <c:pt idx="3">
                  <c:v>18.820141231876761</c:v>
                </c:pt>
                <c:pt idx="4">
                  <c:v>24.345838406939663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574-45FF-A432-9D2AC50F8694}"/>
            </c:ext>
          </c:extLst>
        </c:ser>
        <c:ser>
          <c:idx val="9"/>
          <c:order val="7"/>
          <c:tx>
            <c:strRef>
              <c:f>'Ej.Lat -32'!$AA$9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-32'!$V$70:$V$74</c:f>
              <c:numCache>
                <c:formatCode>0.00</c:formatCode>
                <c:ptCount val="5"/>
                <c:pt idx="0">
                  <c:v>-126.15633413880917</c:v>
                </c:pt>
                <c:pt idx="1">
                  <c:v>-116.984550808503</c:v>
                </c:pt>
                <c:pt idx="2">
                  <c:v>-107.01144033520333</c:v>
                </c:pt>
                <c:pt idx="3">
                  <c:v>-95.864410799578479</c:v>
                </c:pt>
                <c:pt idx="4">
                  <c:v>-83.223794400118152</c:v>
                </c:pt>
              </c:numCache>
            </c:numRef>
          </c:xVal>
          <c:yVal>
            <c:numRef>
              <c:f>'Ej.Lat -32'!$AA$70:$AA$74</c:f>
              <c:numCache>
                <c:formatCode>0.00</c:formatCode>
                <c:ptCount val="5"/>
                <c:pt idx="0">
                  <c:v>10.260407020509618</c:v>
                </c:pt>
                <c:pt idx="1">
                  <c:v>17.907980641230822</c:v>
                </c:pt>
                <c:pt idx="2">
                  <c:v>25.088904462477402</c:v>
                </c:pt>
                <c:pt idx="3">
                  <c:v>31.524543826318386</c:v>
                </c:pt>
                <c:pt idx="4">
                  <c:v>36.861559582835746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574-45FF-A432-9D2AC50F8694}"/>
            </c:ext>
          </c:extLst>
        </c:ser>
        <c:ser>
          <c:idx val="10"/>
          <c:order val="8"/>
          <c:tx>
            <c:strRef>
              <c:f>'Ej.Lat -32'!$AB$9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-32'!$V$85:$V$89</c:f>
              <c:numCache>
                <c:formatCode>0.00</c:formatCode>
                <c:ptCount val="5"/>
                <c:pt idx="0">
                  <c:v>-136.40140251899646</c:v>
                </c:pt>
                <c:pt idx="1">
                  <c:v>-127.91261845546173</c:v>
                </c:pt>
                <c:pt idx="2">
                  <c:v>-117.91997821289543</c:v>
                </c:pt>
                <c:pt idx="3">
                  <c:v>-105.69568194315536</c:v>
                </c:pt>
                <c:pt idx="4">
                  <c:v>-90.554812443159989</c:v>
                </c:pt>
              </c:numCache>
            </c:numRef>
          </c:xVal>
          <c:yVal>
            <c:numRef>
              <c:f>'Ej.Lat -32'!$AB$85:$AB$89</c:f>
              <c:numCache>
                <c:formatCode>0.00</c:formatCode>
                <c:ptCount val="5"/>
                <c:pt idx="0">
                  <c:v>19.831343052104344</c:v>
                </c:pt>
                <c:pt idx="1">
                  <c:v>28.650197302244244</c:v>
                </c:pt>
                <c:pt idx="2">
                  <c:v>36.845590881580598</c:v>
                </c:pt>
                <c:pt idx="3">
                  <c:v>44.014108860711097</c:v>
                </c:pt>
                <c:pt idx="4">
                  <c:v>49.553659272070199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574-45FF-A432-9D2AC50F8694}"/>
            </c:ext>
          </c:extLst>
        </c:ser>
        <c:ser>
          <c:idx val="11"/>
          <c:order val="9"/>
          <c:tx>
            <c:strRef>
              <c:f>'Ej.Lat -32'!$AC$9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-32'!$V$100:$V$104</c:f>
              <c:numCache>
                <c:formatCode>0.00</c:formatCode>
                <c:ptCount val="5"/>
                <c:pt idx="0">
                  <c:v>-148.8364806127997</c:v>
                </c:pt>
                <c:pt idx="1">
                  <c:v>-141.78005756774201</c:v>
                </c:pt>
                <c:pt idx="2">
                  <c:v>-132.54717712905693</c:v>
                </c:pt>
                <c:pt idx="3">
                  <c:v>-119.5025088576532</c:v>
                </c:pt>
                <c:pt idx="4">
                  <c:v>-100.3217385513595</c:v>
                </c:pt>
              </c:numCache>
            </c:numRef>
          </c:xVal>
          <c:yVal>
            <c:numRef>
              <c:f>'Ej.Lat -32'!$AC$100:$AC$104</c:f>
              <c:numCache>
                <c:formatCode>0.00</c:formatCode>
                <c:ptCount val="5"/>
                <c:pt idx="0">
                  <c:v>27.573893085491925</c:v>
                </c:pt>
                <c:pt idx="1">
                  <c:v>37.692207555463099</c:v>
                </c:pt>
                <c:pt idx="2">
                  <c:v>47.259174648102118</c:v>
                </c:pt>
                <c:pt idx="3">
                  <c:v>55.770801835722899</c:v>
                </c:pt>
                <c:pt idx="4">
                  <c:v>62.208908401785138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574-45FF-A432-9D2AC50F8694}"/>
            </c:ext>
          </c:extLst>
        </c:ser>
        <c:ser>
          <c:idx val="12"/>
          <c:order val="10"/>
          <c:tx>
            <c:strRef>
              <c:f>'Ej.Lat -32'!$AD$9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-32'!$V$115:$V$119</c:f>
              <c:numCache>
                <c:formatCode>0.00</c:formatCode>
                <c:ptCount val="5"/>
                <c:pt idx="0">
                  <c:v>-163.60587779985659</c:v>
                </c:pt>
                <c:pt idx="1">
                  <c:v>-159.38063632366391</c:v>
                </c:pt>
                <c:pt idx="2">
                  <c:v>-153.17694367923812</c:v>
                </c:pt>
                <c:pt idx="3">
                  <c:v>-142.3811252834156</c:v>
                </c:pt>
                <c:pt idx="4">
                  <c:v>-119.0904852024743</c:v>
                </c:pt>
              </c:numCache>
            </c:numRef>
          </c:xVal>
          <c:yVal>
            <c:numRef>
              <c:f>'Ej.Lat -32'!$AD$115:$AD$119</c:f>
              <c:numCache>
                <c:formatCode>0.00</c:formatCode>
                <c:ptCount val="5"/>
                <c:pt idx="0">
                  <c:v>32.725534835210603</c:v>
                </c:pt>
                <c:pt idx="1">
                  <c:v>43.977197458696907</c:v>
                </c:pt>
                <c:pt idx="2">
                  <c:v>54.999951424855126</c:v>
                </c:pt>
                <c:pt idx="3">
                  <c:v>65.470361787589582</c:v>
                </c:pt>
                <c:pt idx="4">
                  <c:v>74.233408244216278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574-45FF-A432-9D2AC50F8694}"/>
            </c:ext>
          </c:extLst>
        </c:ser>
        <c:ser>
          <c:idx val="13"/>
          <c:order val="11"/>
          <c:tx>
            <c:strRef>
              <c:f>'Ej.Lat -32'!$AE$9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'Ej.Lat -32'!$V$131:$V$135</c:f>
              <c:numCache>
                <c:formatCode>0.00</c:formatCode>
                <c:ptCount val="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</c:numCache>
            </c:numRef>
          </c:xVal>
          <c:yVal>
            <c:numRef>
              <c:f>'Ej.Lat -32'!$AE$131:$AE$135</c:f>
              <c:numCache>
                <c:formatCode>0.00</c:formatCode>
                <c:ptCount val="5"/>
                <c:pt idx="0">
                  <c:v>34.549999991756771</c:v>
                </c:pt>
                <c:pt idx="1">
                  <c:v>46.274999989516473</c:v>
                </c:pt>
                <c:pt idx="2">
                  <c:v>57.999999986034446</c:v>
                </c:pt>
                <c:pt idx="3">
                  <c:v>69.724999979089034</c:v>
                </c:pt>
                <c:pt idx="4">
                  <c:v>81.449999954333293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574-45FF-A432-9D2AC50F8694}"/>
            </c:ext>
          </c:extLst>
        </c:ser>
        <c:ser>
          <c:idx val="14"/>
          <c:order val="12"/>
          <c:tx>
            <c:strRef>
              <c:f>'Ej.Lat -32'!$AF$9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-32'!$V$146:$V$150</c:f>
              <c:numCache>
                <c:formatCode>0.00</c:formatCode>
                <c:ptCount val="5"/>
                <c:pt idx="0">
                  <c:v>163.60587779985659</c:v>
                </c:pt>
                <c:pt idx="1">
                  <c:v>159.38063632366391</c:v>
                </c:pt>
                <c:pt idx="2">
                  <c:v>153.17694367923812</c:v>
                </c:pt>
                <c:pt idx="3">
                  <c:v>142.3811252834156</c:v>
                </c:pt>
                <c:pt idx="4">
                  <c:v>119.0904852024743</c:v>
                </c:pt>
              </c:numCache>
            </c:numRef>
          </c:xVal>
          <c:yVal>
            <c:numRef>
              <c:f>'Ej.Lat -32'!$AF$146:$AF$150</c:f>
              <c:numCache>
                <c:formatCode>0.00</c:formatCode>
                <c:ptCount val="5"/>
                <c:pt idx="0">
                  <c:v>32.725534835210603</c:v>
                </c:pt>
                <c:pt idx="1">
                  <c:v>43.977197458696907</c:v>
                </c:pt>
                <c:pt idx="2">
                  <c:v>54.999951424855126</c:v>
                </c:pt>
                <c:pt idx="3">
                  <c:v>65.470361787589582</c:v>
                </c:pt>
                <c:pt idx="4">
                  <c:v>74.233408244216278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574-45FF-A432-9D2AC50F8694}"/>
            </c:ext>
          </c:extLst>
        </c:ser>
        <c:ser>
          <c:idx val="15"/>
          <c:order val="13"/>
          <c:tx>
            <c:strRef>
              <c:f>'Ej.Lat -32'!$AG$9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-32'!$V$161:$V$165</c:f>
              <c:numCache>
                <c:formatCode>0.00</c:formatCode>
                <c:ptCount val="5"/>
                <c:pt idx="0">
                  <c:v>148.8364806127997</c:v>
                </c:pt>
                <c:pt idx="1">
                  <c:v>141.78005756774201</c:v>
                </c:pt>
                <c:pt idx="2">
                  <c:v>132.54717712905693</c:v>
                </c:pt>
                <c:pt idx="3">
                  <c:v>119.5025088576532</c:v>
                </c:pt>
                <c:pt idx="4">
                  <c:v>100.3217385513595</c:v>
                </c:pt>
              </c:numCache>
            </c:numRef>
          </c:xVal>
          <c:yVal>
            <c:numRef>
              <c:f>'Ej.Lat -32'!$AG$161:$AG$165</c:f>
              <c:numCache>
                <c:formatCode>0.00</c:formatCode>
                <c:ptCount val="5"/>
                <c:pt idx="0">
                  <c:v>27.573893085491925</c:v>
                </c:pt>
                <c:pt idx="1">
                  <c:v>37.692207555463099</c:v>
                </c:pt>
                <c:pt idx="2">
                  <c:v>47.259174648102118</c:v>
                </c:pt>
                <c:pt idx="3">
                  <c:v>55.770801835722899</c:v>
                </c:pt>
                <c:pt idx="4">
                  <c:v>62.208908401785138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574-45FF-A432-9D2AC50F8694}"/>
            </c:ext>
          </c:extLst>
        </c:ser>
        <c:ser>
          <c:idx val="16"/>
          <c:order val="14"/>
          <c:tx>
            <c:strRef>
              <c:f>'Ej.Lat -32'!$AH$9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-32'!$V$176:$V$180</c:f>
              <c:numCache>
                <c:formatCode>0.00</c:formatCode>
                <c:ptCount val="5"/>
                <c:pt idx="0">
                  <c:v>136.40140251899646</c:v>
                </c:pt>
                <c:pt idx="1">
                  <c:v>127.91261845546173</c:v>
                </c:pt>
                <c:pt idx="2">
                  <c:v>117.91997821289543</c:v>
                </c:pt>
                <c:pt idx="3">
                  <c:v>105.69568194315536</c:v>
                </c:pt>
                <c:pt idx="4">
                  <c:v>90.554812443159989</c:v>
                </c:pt>
              </c:numCache>
            </c:numRef>
          </c:xVal>
          <c:yVal>
            <c:numRef>
              <c:f>'Ej.Lat -32'!$AH$176:$AH$180</c:f>
              <c:numCache>
                <c:formatCode>0.00</c:formatCode>
                <c:ptCount val="5"/>
                <c:pt idx="0">
                  <c:v>19.831343052104344</c:v>
                </c:pt>
                <c:pt idx="1">
                  <c:v>28.650197302244244</c:v>
                </c:pt>
                <c:pt idx="2">
                  <c:v>36.845590881580598</c:v>
                </c:pt>
                <c:pt idx="3">
                  <c:v>44.014108860711097</c:v>
                </c:pt>
                <c:pt idx="4">
                  <c:v>49.553659272070199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574-45FF-A432-9D2AC50F8694}"/>
            </c:ext>
          </c:extLst>
        </c:ser>
        <c:ser>
          <c:idx val="17"/>
          <c:order val="15"/>
          <c:tx>
            <c:strRef>
              <c:f>'Ej.Lat -32'!$AI$9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-32'!$V$191:$V$195</c:f>
              <c:numCache>
                <c:formatCode>0.00</c:formatCode>
                <c:ptCount val="5"/>
                <c:pt idx="0">
                  <c:v>126.15633413880917</c:v>
                </c:pt>
                <c:pt idx="1">
                  <c:v>116.984550808503</c:v>
                </c:pt>
                <c:pt idx="2">
                  <c:v>107.01144033520333</c:v>
                </c:pt>
                <c:pt idx="3">
                  <c:v>95.864410799578479</c:v>
                </c:pt>
                <c:pt idx="4">
                  <c:v>83.223794400118152</c:v>
                </c:pt>
              </c:numCache>
            </c:numRef>
          </c:xVal>
          <c:yVal>
            <c:numRef>
              <c:f>'Ej.Lat -32'!$AI$191:$AI$195</c:f>
              <c:numCache>
                <c:formatCode>0.00</c:formatCode>
                <c:ptCount val="5"/>
                <c:pt idx="0">
                  <c:v>10.260407020509618</c:v>
                </c:pt>
                <c:pt idx="1">
                  <c:v>17.907980641230822</c:v>
                </c:pt>
                <c:pt idx="2">
                  <c:v>25.088904462477402</c:v>
                </c:pt>
                <c:pt idx="3">
                  <c:v>31.524543826318386</c:v>
                </c:pt>
                <c:pt idx="4">
                  <c:v>36.861559582835746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574-45FF-A432-9D2AC50F8694}"/>
            </c:ext>
          </c:extLst>
        </c:ser>
        <c:ser>
          <c:idx val="18"/>
          <c:order val="16"/>
          <c:tx>
            <c:strRef>
              <c:f>'Ej.Lat -32'!$AJ$9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-32'!$V$206:$V$210</c:f>
              <c:numCache>
                <c:formatCode>0.00</c:formatCode>
                <c:ptCount val="5"/>
                <c:pt idx="0">
                  <c:v>117.60193513534711</c:v>
                </c:pt>
                <c:pt idx="1">
                  <c:v>107.96313959540366</c:v>
                </c:pt>
                <c:pt idx="2">
                  <c:v>98.081487314637457</c:v>
                </c:pt>
                <c:pt idx="3">
                  <c:v>87.696478340927868</c:v>
                </c:pt>
                <c:pt idx="4">
                  <c:v>76.566720343415298</c:v>
                </c:pt>
              </c:numCache>
            </c:numRef>
          </c:xVal>
          <c:yVal>
            <c:numRef>
              <c:f>'Ej.Lat -32'!$AJ$206:$AJ$210</c:f>
              <c:numCache>
                <c:formatCode>0.00</c:formatCode>
                <c:ptCount val="5"/>
                <c:pt idx="0">
                  <c:v>-0.54534453541032235</c:v>
                </c:pt>
                <c:pt idx="1">
                  <c:v>6.1553072594733891</c:v>
                </c:pt>
                <c:pt idx="2">
                  <c:v>12.679138652919093</c:v>
                </c:pt>
                <c:pt idx="3">
                  <c:v>18.820141231876761</c:v>
                </c:pt>
                <c:pt idx="4">
                  <c:v>24.345838406939663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574-45FF-A432-9D2AC50F8694}"/>
            </c:ext>
          </c:extLst>
        </c:ser>
        <c:ser>
          <c:idx val="19"/>
          <c:order val="17"/>
          <c:tx>
            <c:strRef>
              <c:f>'Ej.Lat -32'!$AK$9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'Ej.Lat -32'!$V$221:$V$225</c:f>
              <c:numCache>
                <c:formatCode>0.00</c:formatCode>
                <c:ptCount val="5"/>
                <c:pt idx="0">
                  <c:v>110.19665924329928</c:v>
                </c:pt>
                <c:pt idx="1">
                  <c:v>99.982287933048354</c:v>
                </c:pt>
                <c:pt idx="2">
                  <c:v>90</c:v>
                </c:pt>
                <c:pt idx="3">
                  <c:v>80.017712066951646</c:v>
                </c:pt>
                <c:pt idx="4">
                  <c:v>69.80334075670072</c:v>
                </c:pt>
              </c:numCache>
            </c:numRef>
          </c:xVal>
          <c:yVal>
            <c:numRef>
              <c:f>'Ej.Lat -32'!$AK$221:$AK$225</c:f>
              <c:numCache>
                <c:formatCode>0.00</c:formatCode>
                <c:ptCount val="5"/>
                <c:pt idx="0">
                  <c:v>-12.173965327303392</c:v>
                </c:pt>
                <c:pt idx="1">
                  <c:v>-6.1820156898562999</c:v>
                </c:pt>
                <c:pt idx="2">
                  <c:v>0</c:v>
                </c:pt>
                <c:pt idx="3">
                  <c:v>6.1820156898562999</c:v>
                </c:pt>
                <c:pt idx="4">
                  <c:v>12.173965327303392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574-45FF-A432-9D2AC50F8694}"/>
            </c:ext>
          </c:extLst>
        </c:ser>
        <c:ser>
          <c:idx val="20"/>
          <c:order val="18"/>
          <c:tx>
            <c:strRef>
              <c:f>'Ej.Lat -32'!$AL$9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'Ej.Lat -32'!$V$236:$V$240</c:f>
              <c:numCache>
                <c:formatCode>0.00</c:formatCode>
                <c:ptCount val="5"/>
                <c:pt idx="0">
                  <c:v>103.43327965658469</c:v>
                </c:pt>
                <c:pt idx="1">
                  <c:v>92.303521659072118</c:v>
                </c:pt>
                <c:pt idx="2">
                  <c:v>81.918512685362543</c:v>
                </c:pt>
                <c:pt idx="3">
                  <c:v>72.036860404596339</c:v>
                </c:pt>
                <c:pt idx="4">
                  <c:v>62.398064864652873</c:v>
                </c:pt>
              </c:numCache>
            </c:numRef>
          </c:xVal>
          <c:yVal>
            <c:numRef>
              <c:f>'Ej.Lat -32'!$AL$236:$AL$240</c:f>
              <c:numCache>
                <c:formatCode>0.00</c:formatCode>
                <c:ptCount val="5"/>
                <c:pt idx="0">
                  <c:v>-24.345838406939677</c:v>
                </c:pt>
                <c:pt idx="1">
                  <c:v>-18.820141231876761</c:v>
                </c:pt>
                <c:pt idx="2">
                  <c:v>-12.679138652919093</c:v>
                </c:pt>
                <c:pt idx="3">
                  <c:v>-6.1553072594733891</c:v>
                </c:pt>
                <c:pt idx="4">
                  <c:v>0.54534453541032235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574-45FF-A432-9D2AC50F8694}"/>
            </c:ext>
          </c:extLst>
        </c:ser>
        <c:ser>
          <c:idx val="21"/>
          <c:order val="19"/>
          <c:tx>
            <c:strRef>
              <c:f>'Ej.Lat -32'!$AM$9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'Ej.Lat -32'!$V$251:$V$255</c:f>
              <c:numCache>
                <c:formatCode>0.00</c:formatCode>
                <c:ptCount val="5"/>
                <c:pt idx="0">
                  <c:v>96.776205599881848</c:v>
                </c:pt>
                <c:pt idx="1">
                  <c:v>84.135589200421549</c:v>
                </c:pt>
                <c:pt idx="2">
                  <c:v>72.988559664796682</c:v>
                </c:pt>
                <c:pt idx="3">
                  <c:v>63.015449191497034</c:v>
                </c:pt>
                <c:pt idx="4">
                  <c:v>53.84366586119085</c:v>
                </c:pt>
              </c:numCache>
            </c:numRef>
          </c:xVal>
          <c:yVal>
            <c:numRef>
              <c:f>'Ej.Lat -32'!$AM$251:$AM$255</c:f>
              <c:numCache>
                <c:formatCode>0.00</c:formatCode>
                <c:ptCount val="5"/>
                <c:pt idx="0">
                  <c:v>-36.86155958283571</c:v>
                </c:pt>
                <c:pt idx="1">
                  <c:v>-31.524543826318336</c:v>
                </c:pt>
                <c:pt idx="2">
                  <c:v>-25.088904462477387</c:v>
                </c:pt>
                <c:pt idx="3">
                  <c:v>-17.907980641230793</c:v>
                </c:pt>
                <c:pt idx="4">
                  <c:v>-10.260407020509589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574-45FF-A432-9D2AC50F8694}"/>
            </c:ext>
          </c:extLst>
        </c:ser>
        <c:ser>
          <c:idx val="28"/>
          <c:order val="24"/>
          <c:tx>
            <c:strRef>
              <c:f>'Ej.Lat -32'!$R$3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'Ej.Lat -32'!$T$131:$T$251</c:f>
              <c:numCache>
                <c:formatCode>0.00</c:formatCode>
                <c:ptCount val="121"/>
                <c:pt idx="0">
                  <c:v>179.9979882929585</c:v>
                </c:pt>
                <c:pt idx="1">
                  <c:v>177.98889456703165</c:v>
                </c:pt>
                <c:pt idx="2">
                  <c:v>175.98139118997886</c:v>
                </c:pt>
                <c:pt idx="3">
                  <c:v>173.98104863035365</c:v>
                </c:pt>
                <c:pt idx="4">
                  <c:v>171.99134034497277</c:v>
                </c:pt>
                <c:pt idx="5">
                  <c:v>170.0156149733653</c:v>
                </c:pt>
                <c:pt idx="6">
                  <c:v>168.05706040155104</c:v>
                </c:pt>
                <c:pt idx="7">
                  <c:v>166.11867229313975</c:v>
                </c:pt>
                <c:pt idx="8">
                  <c:v>164.2032277536515</c:v>
                </c:pt>
                <c:pt idx="9">
                  <c:v>162.31326454922115</c:v>
                </c:pt>
                <c:pt idx="10">
                  <c:v>160.45106605421736</c:v>
                </c:pt>
                <c:pt idx="11">
                  <c:v>158.61865186996101</c:v>
                </c:pt>
                <c:pt idx="12">
                  <c:v>156.81777385188133</c:v>
                </c:pt>
                <c:pt idx="13">
                  <c:v>155.04991711442619</c:v>
                </c:pt>
                <c:pt idx="14">
                  <c:v>153.31630545704078</c:v>
                </c:pt>
                <c:pt idx="15">
                  <c:v>151.61791057181256</c:v>
                </c:pt>
                <c:pt idx="16">
                  <c:v>149.95546435182285</c:v>
                </c:pt>
                <c:pt idx="17">
                  <c:v>148.3294736142355</c:v>
                </c:pt>
                <c:pt idx="18">
                  <c:v>146.74023657739758</c:v>
                </c:pt>
                <c:pt idx="19">
                  <c:v>145.18786047970593</c:v>
                </c:pt>
                <c:pt idx="20">
                  <c:v>143.67227979261801</c:v>
                </c:pt>
                <c:pt idx="21">
                  <c:v>142.19327455441112</c:v>
                </c:pt>
                <c:pt idx="22">
                  <c:v>140.75048842944051</c:v>
                </c:pt>
                <c:pt idx="23">
                  <c:v>139.34344617514714</c:v>
                </c:pt>
                <c:pt idx="24">
                  <c:v>137.97157027244756</c:v>
                </c:pt>
                <c:pt idx="25">
                  <c:v>136.63419654203608</c:v>
                </c:pt>
                <c:pt idx="26">
                  <c:v>135.33058862810009</c:v>
                </c:pt>
                <c:pt idx="27">
                  <c:v>134.05995128134421</c:v>
                </c:pt>
                <c:pt idx="28">
                  <c:v>132.8214424149914</c:v>
                </c:pt>
                <c:pt idx="29">
                  <c:v>131.61418394097331</c:v>
                </c:pt>
                <c:pt idx="30">
                  <c:v>130.43727141952951</c:v>
                </c:pt>
                <c:pt idx="31">
                  <c:v>129.28978257475765</c:v>
                </c:pt>
                <c:pt idx="32">
                  <c:v>128.17078474223297</c:v>
                </c:pt>
                <c:pt idx="33">
                  <c:v>127.07934132357273</c:v>
                </c:pt>
                <c:pt idx="34">
                  <c:v>126.01451732765349</c:v>
                </c:pt>
                <c:pt idx="35">
                  <c:v>124.97538407990136</c:v>
                </c:pt>
                <c:pt idx="36">
                  <c:v>123.96102318038702</c:v>
                </c:pt>
                <c:pt idx="37">
                  <c:v>122.97052978897963</c:v>
                </c:pt>
                <c:pt idx="38">
                  <c:v>122.00301531206598</c:v>
                </c:pt>
                <c:pt idx="39">
                  <c:v>121.05760956074302</c:v>
                </c:pt>
                <c:pt idx="40">
                  <c:v>120.13346244528373</c:v>
                </c:pt>
                <c:pt idx="41">
                  <c:v>119.22974526532134</c:v>
                </c:pt>
                <c:pt idx="42">
                  <c:v>118.34565164979919</c:v>
                </c:pt>
                <c:pt idx="43">
                  <c:v>117.48039819543938</c:v>
                </c:pt>
                <c:pt idx="44">
                  <c:v>116.6332248474024</c:v>
                </c:pt>
                <c:pt idx="45">
                  <c:v>115.80339506101176</c:v>
                </c:pt>
                <c:pt idx="46">
                  <c:v>114.99019577894596</c:v>
                </c:pt>
                <c:pt idx="47">
                  <c:v>114.1929372541821</c:v>
                </c:pt>
                <c:pt idx="48">
                  <c:v>113.41095274521304</c:v>
                </c:pt>
                <c:pt idx="49">
                  <c:v>112.64359810665555</c:v>
                </c:pt>
                <c:pt idx="50">
                  <c:v>111.89025129530209</c:v>
                </c:pt>
                <c:pt idx="51">
                  <c:v>111.15031180893077</c:v>
                </c:pt>
                <c:pt idx="52">
                  <c:v>110.42320007275192</c:v>
                </c:pt>
                <c:pt idx="53">
                  <c:v>109.70835678621513</c:v>
                </c:pt>
                <c:pt idx="54">
                  <c:v>109.00524224100124</c:v>
                </c:pt>
                <c:pt idx="55">
                  <c:v>108.31333561935756</c:v>
                </c:pt>
                <c:pt idx="56">
                  <c:v>107.6321342804781</c:v>
                </c:pt>
                <c:pt idx="57">
                  <c:v>106.96115304136173</c:v>
                </c:pt>
                <c:pt idx="58">
                  <c:v>106.29992345747866</c:v>
                </c:pt>
                <c:pt idx="59">
                  <c:v>105.64799310762446</c:v>
                </c:pt>
                <c:pt idx="60">
                  <c:v>105.00492488651548</c:v>
                </c:pt>
                <c:pt idx="61">
                  <c:v>104.37029630797623</c:v>
                </c:pt>
                <c:pt idx="62">
                  <c:v>103.7436988209605</c:v>
                </c:pt>
                <c:pt idx="63">
                  <c:v>103.12473714013272</c:v>
                </c:pt>
                <c:pt idx="64">
                  <c:v>102.51302859229497</c:v>
                </c:pt>
                <c:pt idx="65">
                  <c:v>101.90820247957204</c:v>
                </c:pt>
                <c:pt idx="66">
                  <c:v>101.30989945995179</c:v>
                </c:pt>
                <c:pt idx="67">
                  <c:v>100.71777094551348</c:v>
                </c:pt>
                <c:pt idx="68">
                  <c:v>100.13147851845464</c:v>
                </c:pt>
                <c:pt idx="69">
                  <c:v>99.550693364843283</c:v>
                </c:pt>
                <c:pt idx="70">
                  <c:v>98.975095725869636</c:v>
                </c:pt>
                <c:pt idx="71">
                  <c:v>98.404374366246671</c:v>
                </c:pt>
                <c:pt idx="72">
                  <c:v>97.838226059307146</c:v>
                </c:pt>
                <c:pt idx="73">
                  <c:v>97.276355088263017</c:v>
                </c:pt>
                <c:pt idx="74">
                  <c:v>96.718472763028004</c:v>
                </c:pt>
                <c:pt idx="75">
                  <c:v>96.16429695195356</c:v>
                </c:pt>
                <c:pt idx="76">
                  <c:v>95.613551627789903</c:v>
                </c:pt>
                <c:pt idx="77">
                  <c:v>95.065966427153995</c:v>
                </c:pt>
                <c:pt idx="78">
                  <c:v>94.521276222767426</c:v>
                </c:pt>
                <c:pt idx="79">
                  <c:v>93.979220707712457</c:v>
                </c:pt>
                <c:pt idx="80">
                  <c:v>93.439543990947115</c:v>
                </c:pt>
                <c:pt idx="81">
                  <c:v>92.90199420331723</c:v>
                </c:pt>
                <c:pt idx="82">
                  <c:v>92.366323113303778</c:v>
                </c:pt>
                <c:pt idx="83">
                  <c:v>91.832285751747662</c:v>
                </c:pt>
                <c:pt idx="84">
                  <c:v>91.299640044799901</c:v>
                </c:pt>
                <c:pt idx="85">
                  <c:v>90.768146454354024</c:v>
                </c:pt>
                <c:pt idx="86">
                  <c:v>90.237567625225978</c:v>
                </c:pt>
                <c:pt idx="87">
                  <c:v>89.70766803835815</c:v>
                </c:pt>
                <c:pt idx="88">
                  <c:v>89.178213669335548</c:v>
                </c:pt>
                <c:pt idx="89">
                  <c:v>88.648971651514572</c:v>
                </c:pt>
                <c:pt idx="90">
                  <c:v>88.119709943076757</c:v>
                </c:pt>
                <c:pt idx="91">
                  <c:v>87.590196997334502</c:v>
                </c:pt>
                <c:pt idx="92">
                  <c:v>87.060201435627931</c:v>
                </c:pt>
                <c:pt idx="93">
                  <c:v>86.529491722167094</c:v>
                </c:pt>
                <c:pt idx="94">
                  <c:v>85.997835840187804</c:v>
                </c:pt>
                <c:pt idx="95">
                  <c:v>85.465000968804262</c:v>
                </c:pt>
                <c:pt idx="96">
                  <c:v>84.93075315995803</c:v>
                </c:pt>
                <c:pt idx="97">
                  <c:v>84.394857014878724</c:v>
                </c:pt>
                <c:pt idx="98">
                  <c:v>83.857075359490452</c:v>
                </c:pt>
                <c:pt idx="99">
                  <c:v>83.31716891821641</c:v>
                </c:pt>
                <c:pt idx="100">
                  <c:v>82.774895985655718</c:v>
                </c:pt>
                <c:pt idx="101">
                  <c:v>82.230012095629306</c:v>
                </c:pt>
                <c:pt idx="102">
                  <c:v>81.682269687117369</c:v>
                </c:pt>
                <c:pt idx="103">
                  <c:v>81.131417766640055</c:v>
                </c:pt>
                <c:pt idx="104">
                  <c:v>80.577201566665593</c:v>
                </c:pt>
                <c:pt idx="105">
                  <c:v>80.019362199667114</c:v>
                </c:pt>
                <c:pt idx="106">
                  <c:v>79.457636307491782</c:v>
                </c:pt>
                <c:pt idx="107">
                  <c:v>78.891755705754591</c:v>
                </c:pt>
                <c:pt idx="108">
                  <c:v>78.321447023024362</c:v>
                </c:pt>
                <c:pt idx="109">
                  <c:v>77.74643133463448</c:v>
                </c:pt>
                <c:pt idx="110">
                  <c:v>77.166423791022893</c:v>
                </c:pt>
                <c:pt idx="111">
                  <c:v>76.581133240592422</c:v>
                </c:pt>
                <c:pt idx="112">
                  <c:v>75.990261847178516</c:v>
                </c:pt>
                <c:pt idx="113">
                  <c:v>75.393504702323952</c:v>
                </c:pt>
                <c:pt idx="114">
                  <c:v>74.790549432688749</c:v>
                </c:pt>
                <c:pt idx="115">
                  <c:v>74.181075803070769</c:v>
                </c:pt>
                <c:pt idx="116">
                  <c:v>73.564755315681467</c:v>
                </c:pt>
                <c:pt idx="117">
                  <c:v>72.941250806514702</c:v>
                </c:pt>
                <c:pt idx="118">
                  <c:v>72.310216039866731</c:v>
                </c:pt>
                <c:pt idx="119">
                  <c:v>71.67129530231837</c:v>
                </c:pt>
                <c:pt idx="120">
                  <c:v>71.024122997774867</c:v>
                </c:pt>
              </c:numCache>
            </c:numRef>
          </c:xVal>
          <c:yVal>
            <c:numRef>
              <c:f>'Ej.Lat -32'!$S$131:$S$251</c:f>
              <c:numCache>
                <c:formatCode>0.00</c:formatCode>
                <c:ptCount val="121"/>
                <c:pt idx="0">
                  <c:v>60.216886768325423</c:v>
                </c:pt>
                <c:pt idx="1">
                  <c:v>60.202002666773495</c:v>
                </c:pt>
                <c:pt idx="2">
                  <c:v>60.15739529661596</c:v>
                </c:pt>
                <c:pt idx="3">
                  <c:v>60.083198940239939</c:v>
                </c:pt>
                <c:pt idx="4">
                  <c:v>59.979635166730887</c:v>
                </c:pt>
                <c:pt idx="5">
                  <c:v>59.847009611432554</c:v>
                </c:pt>
                <c:pt idx="6">
                  <c:v>59.685707601041045</c:v>
                </c:pt>
                <c:pt idx="7">
                  <c:v>59.496188782423502</c:v>
                </c:pt>
                <c:pt idx="8">
                  <c:v>59.278980924522585</c:v>
                </c:pt>
                <c:pt idx="9">
                  <c:v>59.034673079509489</c:v>
                </c:pt>
                <c:pt idx="10">
                  <c:v>58.76390829664151</c:v>
                </c:pt>
                <c:pt idx="11">
                  <c:v>58.467376080525213</c:v>
                </c:pt>
                <c:pt idx="12">
                  <c:v>58.145804775738583</c:v>
                </c:pt>
                <c:pt idx="13">
                  <c:v>57.799954043501288</c:v>
                </c:pt>
                <c:pt idx="14">
                  <c:v>57.430607575021604</c:v>
                </c:pt>
                <c:pt idx="15">
                  <c:v>57.038566162072733</c:v>
                </c:pt>
                <c:pt idx="16">
                  <c:v>56.624641219946746</c:v>
                </c:pt>
                <c:pt idx="17">
                  <c:v>56.189648832684107</c:v>
                </c:pt>
                <c:pt idx="18">
                  <c:v>55.734404366579113</c:v>
                </c:pt>
                <c:pt idx="19">
                  <c:v>55.259717676306245</c:v>
                </c:pt>
                <c:pt idx="20">
                  <c:v>54.766388909177579</c:v>
                </c:pt>
                <c:pt idx="21">
                  <c:v>54.255204897326081</c:v>
                </c:pt>
                <c:pt idx="22">
                  <c:v>53.726936115073201</c:v>
                </c:pt>
                <c:pt idx="23">
                  <c:v>53.182334169262631</c:v>
                </c:pt>
                <c:pt idx="24">
                  <c:v>52.622129783668825</c:v>
                </c:pt>
                <c:pt idx="25">
                  <c:v>52.047031234385358</c:v>
                </c:pt>
                <c:pt idx="26">
                  <c:v>51.457723190986982</c:v>
                </c:pt>
                <c:pt idx="27">
                  <c:v>50.854865917856401</c:v>
                </c:pt>
                <c:pt idx="28">
                  <c:v>50.239094791002536</c:v>
                </c:pt>
                <c:pt idx="29">
                  <c:v>49.611020087635374</c:v>
                </c:pt>
                <c:pt idx="30">
                  <c:v>48.971227008408285</c:v>
                </c:pt>
                <c:pt idx="31">
                  <c:v>48.320275895339826</c:v>
                </c:pt>
                <c:pt idx="32">
                  <c:v>47.658702611781251</c:v>
                </c:pt>
                <c:pt idx="33">
                  <c:v>46.987019054237962</c:v>
                </c:pt>
                <c:pt idx="34">
                  <c:v>46.305713769260976</c:v>
                </c:pt>
                <c:pt idx="35">
                  <c:v>45.61525265190712</c:v>
                </c:pt>
                <c:pt idx="36">
                  <c:v>44.916079705360318</c:v>
                </c:pt>
                <c:pt idx="37">
                  <c:v>44.208617844172245</c:v>
                </c:pt>
                <c:pt idx="38">
                  <c:v>43.493269726195955</c:v>
                </c:pt>
                <c:pt idx="39">
                  <c:v>42.770418600643026</c:v>
                </c:pt>
                <c:pt idx="40">
                  <c:v>42.040429161795494</c:v>
                </c:pt>
                <c:pt idx="41">
                  <c:v>41.303648399757257</c:v>
                </c:pt>
                <c:pt idx="42">
                  <c:v>40.560406441250564</c:v>
                </c:pt>
                <c:pt idx="43">
                  <c:v>39.811017374868626</c:v>
                </c:pt>
                <c:pt idx="44">
                  <c:v>39.055780056404743</c:v>
                </c:pt>
                <c:pt idx="45">
                  <c:v>38.294978890909761</c:v>
                </c:pt>
                <c:pt idx="46">
                  <c:v>37.52888458900452</c:v>
                </c:pt>
                <c:pt idx="47">
                  <c:v>36.757754895708409</c:v>
                </c:pt>
                <c:pt idx="48">
                  <c:v>35.981835290657394</c:v>
                </c:pt>
                <c:pt idx="49">
                  <c:v>35.201359659091672</c:v>
                </c:pt>
                <c:pt idx="50">
                  <c:v>34.41655093340718</c:v>
                </c:pt>
                <c:pt idx="51">
                  <c:v>33.6276217054006</c:v>
                </c:pt>
                <c:pt idx="52">
                  <c:v>32.834774809606238</c:v>
                </c:pt>
                <c:pt idx="53">
                  <c:v>32.038203878333796</c:v>
                </c:pt>
                <c:pt idx="54">
                  <c:v>31.238093869179892</c:v>
                </c:pt>
                <c:pt idx="55">
                  <c:v>30.434621565908287</c:v>
                </c:pt>
                <c:pt idx="56">
                  <c:v>29.627956053683718</c:v>
                </c:pt>
                <c:pt idx="57">
                  <c:v>28.818259169705442</c:v>
                </c:pt>
                <c:pt idx="58">
                  <c:v>28.005685930325207</c:v>
                </c:pt>
                <c:pt idx="59">
                  <c:v>27.190384935755439</c:v>
                </c:pt>
                <c:pt idx="60">
                  <c:v>26.372498753477402</c:v>
                </c:pt>
                <c:pt idx="61">
                  <c:v>25.552164281453997</c:v>
                </c:pt>
                <c:pt idx="62">
                  <c:v>24.729513092234839</c:v>
                </c:pt>
                <c:pt idx="63">
                  <c:v>23.904671759018626</c:v>
                </c:pt>
                <c:pt idx="64">
                  <c:v>23.077762164709327</c:v>
                </c:pt>
                <c:pt idx="65">
                  <c:v>22.248901794970095</c:v>
                </c:pt>
                <c:pt idx="66">
                  <c:v>21.418204016243379</c:v>
                </c:pt>
                <c:pt idx="67">
                  <c:v>20.585778339669375</c:v>
                </c:pt>
                <c:pt idx="68">
                  <c:v>19.751730671796679</c:v>
                </c:pt>
                <c:pt idx="69">
                  <c:v>18.91616355294066</c:v>
                </c:pt>
                <c:pt idx="70">
                  <c:v>18.079176384007795</c:v>
                </c:pt>
                <c:pt idx="71">
                  <c:v>17.240865642566533</c:v>
                </c:pt>
                <c:pt idx="72">
                  <c:v>16.401325088909203</c:v>
                </c:pt>
                <c:pt idx="73">
                  <c:v>15.560645962814618</c:v>
                </c:pt>
                <c:pt idx="74">
                  <c:v>14.718917171686982</c:v>
                </c:pt>
                <c:pt idx="75">
                  <c:v>13.876225470715553</c:v>
                </c:pt>
                <c:pt idx="76">
                  <c:v>13.032655635668391</c:v>
                </c:pt>
                <c:pt idx="77">
                  <c:v>12.188290628905293</c:v>
                </c:pt>
                <c:pt idx="78">
                  <c:v>11.343211759168085</c:v>
                </c:pt>
                <c:pt idx="79">
                  <c:v>10.497498835681341</c:v>
                </c:pt>
                <c:pt idx="80">
                  <c:v>9.6512303170731428</c:v>
                </c:pt>
                <c:pt idx="81">
                  <c:v>8.8044834556040996</c:v>
                </c:pt>
                <c:pt idx="82">
                  <c:v>7.9573344371727472</c:v>
                </c:pt>
                <c:pt idx="83">
                  <c:v>7.1098585175474796</c:v>
                </c:pt>
                <c:pt idx="84">
                  <c:v>6.2621301552583049</c:v>
                </c:pt>
                <c:pt idx="85">
                  <c:v>5.4142231415672768</c:v>
                </c:pt>
                <c:pt idx="86">
                  <c:v>4.5662107279226376</c:v>
                </c:pt>
                <c:pt idx="87">
                  <c:v>3.7181657512900159</c:v>
                </c:pt>
                <c:pt idx="88">
                  <c:v>2.8701607577438892</c:v>
                </c:pt>
                <c:pt idx="89">
                  <c:v>2.0222681246935252</c:v>
                </c:pt>
                <c:pt idx="90">
                  <c:v>1.1745601821097864</c:v>
                </c:pt>
                <c:pt idx="91">
                  <c:v>0.32710933311372514</c:v>
                </c:pt>
                <c:pt idx="92">
                  <c:v>-0.52001182571737559</c:v>
                </c:pt>
                <c:pt idx="93">
                  <c:v>-1.3667303839742004</c:v>
                </c:pt>
                <c:pt idx="94">
                  <c:v>-2.2129729966195981</c:v>
                </c:pt>
                <c:pt idx="95">
                  <c:v>-3.0586657624238285</c:v>
                </c:pt>
                <c:pt idx="96">
                  <c:v>-3.9037341012812021</c:v>
                </c:pt>
                <c:pt idx="97">
                  <c:v>-4.7481026300575735</c:v>
                </c:pt>
                <c:pt idx="98">
                  <c:v>-5.5916950366152065</c:v>
                </c:pt>
                <c:pt idx="99">
                  <c:v>-6.4344339516580646</c:v>
                </c:pt>
                <c:pt idx="100">
                  <c:v>-7.2762408180359301</c:v>
                </c:pt>
                <c:pt idx="101">
                  <c:v>-8.1170357571395044</c:v>
                </c:pt>
                <c:pt idx="102">
                  <c:v>-8.956737432012801</c:v>
                </c:pt>
                <c:pt idx="103">
                  <c:v>-9.7952629068002608</c:v>
                </c:pt>
                <c:pt idx="104">
                  <c:v>-10.63252750213843</c:v>
                </c:pt>
                <c:pt idx="105">
                  <c:v>-11.468444646091754</c:v>
                </c:pt>
                <c:pt idx="106">
                  <c:v>-12.302925720222618</c:v>
                </c:pt>
                <c:pt idx="107">
                  <c:v>-13.135879900374135</c:v>
                </c:pt>
                <c:pt idx="108">
                  <c:v>-13.967213991733217</c:v>
                </c:pt>
                <c:pt idx="109">
                  <c:v>-14.79683225772915</c:v>
                </c:pt>
                <c:pt idx="110">
                  <c:v>-15.624636242311453</c:v>
                </c:pt>
                <c:pt idx="111">
                  <c:v>-16.450524585137416</c:v>
                </c:pt>
                <c:pt idx="112">
                  <c:v>-17.274392829188415</c:v>
                </c:pt>
                <c:pt idx="113">
                  <c:v>-18.096133220322088</c:v>
                </c:pt>
                <c:pt idx="114">
                  <c:v>-18.915634498255756</c:v>
                </c:pt>
                <c:pt idx="115">
                  <c:v>-19.732781678467163</c:v>
                </c:pt>
                <c:pt idx="116">
                  <c:v>-20.547455824489276</c:v>
                </c:pt>
                <c:pt idx="117">
                  <c:v>-21.359533810069323</c:v>
                </c:pt>
                <c:pt idx="118">
                  <c:v>-22.168888070658355</c:v>
                </c:pt>
                <c:pt idx="119">
                  <c:v>-22.975386343695902</c:v>
                </c:pt>
                <c:pt idx="120">
                  <c:v>-23.778891397158148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574-45FF-A432-9D2AC50F8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78144"/>
        <c:axId val="135880064"/>
      </c:scatterChart>
      <c:scatterChart>
        <c:scatterStyle val="lineMarker"/>
        <c:varyColors val="0"/>
        <c:ser>
          <c:idx val="22"/>
          <c:order val="20"/>
          <c:tx>
            <c:strRef>
              <c:f>'Ej.Lat -32'!$C$3</c:f>
              <c:strCache>
                <c:ptCount val="1"/>
                <c:pt idx="0">
                  <c:v>S.Junio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'Ej.Lat -32'!$E$131:$E$251</c:f>
              <c:numCache>
                <c:formatCode>0.00</c:formatCode>
                <c:ptCount val="121"/>
                <c:pt idx="0">
                  <c:v>179.99888614306687</c:v>
                </c:pt>
                <c:pt idx="1">
                  <c:v>178.88623985609274</c:v>
                </c:pt>
                <c:pt idx="2">
                  <c:v>177.77305958920579</c:v>
                </c:pt>
                <c:pt idx="3">
                  <c:v>176.66103697253254</c:v>
                </c:pt>
                <c:pt idx="4">
                  <c:v>175.55074559029319</c:v>
                </c:pt>
                <c:pt idx="5">
                  <c:v>174.44275278964946</c:v>
                </c:pt>
                <c:pt idx="6">
                  <c:v>173.33761768744449</c:v>
                </c:pt>
                <c:pt idx="7">
                  <c:v>172.2358892486277</c:v>
                </c:pt>
                <c:pt idx="8">
                  <c:v>171.13810445207935</c:v>
                </c:pt>
                <c:pt idx="9">
                  <c:v>170.04478655814913</c:v>
                </c:pt>
                <c:pt idx="10">
                  <c:v>168.95644349063565</c:v>
                </c:pt>
                <c:pt idx="11">
                  <c:v>167.87356634419447</c:v>
                </c:pt>
                <c:pt idx="12">
                  <c:v>166.79662802628982</c:v>
                </c:pt>
                <c:pt idx="13">
                  <c:v>165.7260820408795</c:v>
                </c:pt>
                <c:pt idx="14">
                  <c:v>164.66236141904881</c:v>
                </c:pt>
                <c:pt idx="15">
                  <c:v>163.60587779985659</c:v>
                </c:pt>
                <c:pt idx="16">
                  <c:v>162.55702066275077</c:v>
                </c:pt>
                <c:pt idx="17">
                  <c:v>161.51615671108519</c:v>
                </c:pt>
                <c:pt idx="18">
                  <c:v>160.48362940456326</c:v>
                </c:pt>
                <c:pt idx="19">
                  <c:v>159.45975863686547</c:v>
                </c:pt>
                <c:pt idx="20">
                  <c:v>158.44484055330889</c:v>
                </c:pt>
                <c:pt idx="21">
                  <c:v>157.43914750215197</c:v>
                </c:pt>
                <c:pt idx="22">
                  <c:v>156.44292811211116</c:v>
                </c:pt>
                <c:pt idx="23">
                  <c:v>155.45640748778936</c:v>
                </c:pt>
                <c:pt idx="24">
                  <c:v>154.47978751404676</c:v>
                </c:pt>
                <c:pt idx="25">
                  <c:v>153.51324725984779</c:v>
                </c:pt>
                <c:pt idx="26">
                  <c:v>152.55694347180531</c:v>
                </c:pt>
                <c:pt idx="27">
                  <c:v>151.61101114748368</c:v>
                </c:pt>
                <c:pt idx="28">
                  <c:v>150.67556417852114</c:v>
                </c:pt>
                <c:pt idx="29">
                  <c:v>149.75069605375748</c:v>
                </c:pt>
                <c:pt idx="30">
                  <c:v>148.8364806127997</c:v>
                </c:pt>
                <c:pt idx="31">
                  <c:v>147.93297284080509</c:v>
                </c:pt>
                <c:pt idx="32">
                  <c:v>147.04020969568967</c:v>
                </c:pt>
                <c:pt idx="33">
                  <c:v>146.15821095946816</c:v>
                </c:pt>
                <c:pt idx="34">
                  <c:v>145.2869801059781</c:v>
                </c:pt>
                <c:pt idx="35">
                  <c:v>144.42650517782522</c:v>
                </c:pt>
                <c:pt idx="36">
                  <c:v>143.5767596659951</c:v>
                </c:pt>
                <c:pt idx="37">
                  <c:v>142.73770338619298</c:v>
                </c:pt>
                <c:pt idx="38">
                  <c:v>141.90928334659131</c:v>
                </c:pt>
                <c:pt idx="39">
                  <c:v>141.09143460227438</c:v>
                </c:pt>
                <c:pt idx="40">
                  <c:v>140.28408109225984</c:v>
                </c:pt>
                <c:pt idx="41">
                  <c:v>139.48713645554614</c:v>
                </c:pt>
                <c:pt idx="42">
                  <c:v>138.70050482317461</c:v>
                </c:pt>
                <c:pt idx="43">
                  <c:v>137.92408158380334</c:v>
                </c:pt>
                <c:pt idx="44">
                  <c:v>137.15775412076212</c:v>
                </c:pt>
                <c:pt idx="45">
                  <c:v>136.40140251899646</c:v>
                </c:pt>
                <c:pt idx="46">
                  <c:v>135.65490024070536</c:v>
                </c:pt>
                <c:pt idx="47">
                  <c:v>134.91811476884166</c:v>
                </c:pt>
                <c:pt idx="48">
                  <c:v>134.19090821796664</c:v>
                </c:pt>
                <c:pt idx="49">
                  <c:v>133.47313791224096</c:v>
                </c:pt>
                <c:pt idx="50">
                  <c:v>132.76465693058685</c:v>
                </c:pt>
                <c:pt idx="51">
                  <c:v>132.06531461927892</c:v>
                </c:pt>
                <c:pt idx="52">
                  <c:v>131.37495707241018</c:v>
                </c:pt>
                <c:pt idx="53">
                  <c:v>130.69342758084215</c:v>
                </c:pt>
                <c:pt idx="54">
                  <c:v>130.02056705038271</c:v>
                </c:pt>
                <c:pt idx="55">
                  <c:v>129.35621439004521</c:v>
                </c:pt>
                <c:pt idx="56">
                  <c:v>128.70020687133069</c:v>
                </c:pt>
                <c:pt idx="57">
                  <c:v>128.0523804595432</c:v>
                </c:pt>
                <c:pt idx="58">
                  <c:v>127.41257011819755</c:v>
                </c:pt>
                <c:pt idx="59">
                  <c:v>126.78061008761344</c:v>
                </c:pt>
                <c:pt idx="60">
                  <c:v>126.15633413880917</c:v>
                </c:pt>
                <c:pt idx="61">
                  <c:v>125.53957580381513</c:v>
                </c:pt>
                <c:pt idx="62">
                  <c:v>124.93016858352479</c:v>
                </c:pt>
                <c:pt idx="63">
                  <c:v>124.32794613418696</c:v>
                </c:pt>
                <c:pt idx="64">
                  <c:v>123.73274243362353</c:v>
                </c:pt>
                <c:pt idx="65">
                  <c:v>123.14439192822853</c:v>
                </c:pt>
                <c:pt idx="66">
                  <c:v>122.56272966177184</c:v>
                </c:pt>
                <c:pt idx="67">
                  <c:v>121.98759138699415</c:v>
                </c:pt>
                <c:pt idx="68">
                  <c:v>121.41881366093673</c:v>
                </c:pt>
                <c:pt idx="69">
                  <c:v>120.85623392490719</c:v>
                </c:pt>
                <c:pt idx="70">
                  <c:v>120.29969056993468</c:v>
                </c:pt>
                <c:pt idx="71">
                  <c:v>119.74902298852072</c:v>
                </c:pt>
                <c:pt idx="72">
                  <c:v>119.20407161344143</c:v>
                </c:pt>
                <c:pt idx="73">
                  <c:v>118.66467794430757</c:v>
                </c:pt>
                <c:pt idx="74">
                  <c:v>118.13068456253747</c:v>
                </c:pt>
                <c:pt idx="75">
                  <c:v>117.60193513534711</c:v>
                </c:pt>
                <c:pt idx="76">
                  <c:v>117.07827440931055</c:v>
                </c:pt>
                <c:pt idx="77">
                  <c:v>116.5595481939929</c:v>
                </c:pt>
                <c:pt idx="78">
                  <c:v>116.04560333610711</c:v>
                </c:pt>
                <c:pt idx="79">
                  <c:v>115.53628768459593</c:v>
                </c:pt>
                <c:pt idx="80">
                  <c:v>115.03145004698978</c:v>
                </c:pt>
                <c:pt idx="81">
                  <c:v>114.53094013734035</c:v>
                </c:pt>
                <c:pt idx="82">
                  <c:v>114.03460851598227</c:v>
                </c:pt>
                <c:pt idx="83">
                  <c:v>113.5423065213226</c:v>
                </c:pt>
                <c:pt idx="84">
                  <c:v>113.05388619381017</c:v>
                </c:pt>
                <c:pt idx="85">
                  <c:v>112.56920019218553</c:v>
                </c:pt>
                <c:pt idx="86">
                  <c:v>112.08810170206183</c:v>
                </c:pt>
                <c:pt idx="87">
                  <c:v>111.61044433683655</c:v>
                </c:pt>
                <c:pt idx="88">
                  <c:v>111.1360820308805</c:v>
                </c:pt>
                <c:pt idx="89">
                  <c:v>110.66486892489834</c:v>
                </c:pt>
                <c:pt idx="90">
                  <c:v>110.19665924329928</c:v>
                </c:pt>
                <c:pt idx="91">
                  <c:v>109.7313071633598</c:v>
                </c:pt>
                <c:pt idx="92">
                  <c:v>109.26866667590146</c:v>
                </c:pt>
                <c:pt idx="93">
                  <c:v>108.80859143714451</c:v>
                </c:pt>
                <c:pt idx="94">
                  <c:v>108.35093461133295</c:v>
                </c:pt>
                <c:pt idx="95">
                  <c:v>107.89554870365771</c:v>
                </c:pt>
                <c:pt idx="96">
                  <c:v>107.44228538293135</c:v>
                </c:pt>
                <c:pt idx="97">
                  <c:v>106.99099529338839</c:v>
                </c:pt>
                <c:pt idx="98">
                  <c:v>106.54152785490206</c:v>
                </c:pt>
                <c:pt idx="99">
                  <c:v>106.09373105081572</c:v>
                </c:pt>
                <c:pt idx="100">
                  <c:v>105.64745120248982</c:v>
                </c:pt>
                <c:pt idx="101">
                  <c:v>105.202532729556</c:v>
                </c:pt>
                <c:pt idx="102">
                  <c:v>104.75881789475375</c:v>
                </c:pt>
                <c:pt idx="103">
                  <c:v>104.31614653209525</c:v>
                </c:pt>
                <c:pt idx="104">
                  <c:v>103.87435575696252</c:v>
                </c:pt>
                <c:pt idx="105">
                  <c:v>103.43327965658469</c:v>
                </c:pt>
                <c:pt idx="106">
                  <c:v>102.99274895916999</c:v>
                </c:pt>
                <c:pt idx="107">
                  <c:v>102.55259067977563</c:v>
                </c:pt>
                <c:pt idx="108">
                  <c:v>102.11262774078568</c:v>
                </c:pt>
                <c:pt idx="109">
                  <c:v>101.67267856462932</c:v>
                </c:pt>
                <c:pt idx="110">
                  <c:v>101.23255663610747</c:v>
                </c:pt>
                <c:pt idx="111">
                  <c:v>100.79207003139916</c:v>
                </c:pt>
                <c:pt idx="112">
                  <c:v>100.35102091048753</c:v>
                </c:pt>
                <c:pt idx="113">
                  <c:v>99.909204969371828</c:v>
                </c:pt>
                <c:pt idx="114">
                  <c:v>99.466410848013666</c:v>
                </c:pt>
                <c:pt idx="115">
                  <c:v>99.02241948949235</c:v>
                </c:pt>
                <c:pt idx="116">
                  <c:v>98.577003445311789</c:v>
                </c:pt>
                <c:pt idx="117">
                  <c:v>98.129926121197997</c:v>
                </c:pt>
                <c:pt idx="118">
                  <c:v>97.680940957043561</c:v>
                </c:pt>
                <c:pt idx="119">
                  <c:v>97.229790533880589</c:v>
                </c:pt>
                <c:pt idx="120">
                  <c:v>96.776205599881848</c:v>
                </c:pt>
              </c:numCache>
            </c:numRef>
          </c:xVal>
          <c:yVal>
            <c:numRef>
              <c:f>'Ej.Lat -32'!$D$131:$D$251</c:f>
              <c:numCache>
                <c:formatCode>0.00</c:formatCode>
                <c:ptCount val="121"/>
                <c:pt idx="0">
                  <c:v>34.549999991756771</c:v>
                </c:pt>
                <c:pt idx="1">
                  <c:v>34.541757390848652</c:v>
                </c:pt>
                <c:pt idx="2">
                  <c:v>34.517036968619898</c:v>
                </c:pt>
                <c:pt idx="3">
                  <c:v>34.475860916048724</c:v>
                </c:pt>
                <c:pt idx="4">
                  <c:v>34.418266094899209</c:v>
                </c:pt>
                <c:pt idx="5">
                  <c:v>34.34430388296429</c:v>
                </c:pt>
                <c:pt idx="6">
                  <c:v>34.254039948225113</c:v>
                </c:pt>
                <c:pt idx="7">
                  <c:v>34.147553962476962</c:v>
                </c:pt>
                <c:pt idx="8">
                  <c:v>34.024939257314742</c:v>
                </c:pt>
                <c:pt idx="9">
                  <c:v>33.886302425905072</c:v>
                </c:pt>
                <c:pt idx="10">
                  <c:v>33.731762874444605</c:v>
                </c:pt>
                <c:pt idx="11">
                  <c:v>33.56145232761142</c:v>
                </c:pt>
                <c:pt idx="12">
                  <c:v>33.375514292648354</c:v>
                </c:pt>
                <c:pt idx="13">
                  <c:v>33.174103486976655</c:v>
                </c:pt>
                <c:pt idx="14">
                  <c:v>32.957385234418304</c:v>
                </c:pt>
                <c:pt idx="15">
                  <c:v>32.725534835210603</c:v>
                </c:pt>
                <c:pt idx="16">
                  <c:v>32.478736915026936</c:v>
                </c:pt>
                <c:pt idx="17">
                  <c:v>32.217184758177233</c:v>
                </c:pt>
                <c:pt idx="18">
                  <c:v>31.941079630055853</c:v>
                </c:pt>
                <c:pt idx="19">
                  <c:v>31.650630093738897</c:v>
                </c:pt>
                <c:pt idx="20">
                  <c:v>31.346051325415061</c:v>
                </c:pt>
                <c:pt idx="21">
                  <c:v>31.027564433069706</c:v>
                </c:pt>
                <c:pt idx="22">
                  <c:v>30.695395782541929</c:v>
                </c:pt>
                <c:pt idx="23">
                  <c:v>30.349776334742032</c:v>
                </c:pt>
                <c:pt idx="24">
                  <c:v>29.99094099746619</c:v>
                </c:pt>
                <c:pt idx="25">
                  <c:v>29.619127994876244</c:v>
                </c:pt>
                <c:pt idx="26">
                  <c:v>29.234578257340154</c:v>
                </c:pt>
                <c:pt idx="27">
                  <c:v>28.837534833952567</c:v>
                </c:pt>
                <c:pt idx="28">
                  <c:v>28.428242329685851</c:v>
                </c:pt>
                <c:pt idx="29">
                  <c:v>28.006946368762186</c:v>
                </c:pt>
                <c:pt idx="30">
                  <c:v>27.573893085491925</c:v>
                </c:pt>
                <c:pt idx="31">
                  <c:v>27.12932864349694</c:v>
                </c:pt>
                <c:pt idx="32">
                  <c:v>26.673498783931372</c:v>
                </c:pt>
                <c:pt idx="33">
                  <c:v>26.206648403029305</c:v>
                </c:pt>
                <c:pt idx="34">
                  <c:v>25.72902115905066</c:v>
                </c:pt>
                <c:pt idx="35">
                  <c:v>25.240859108463127</c:v>
                </c:pt>
                <c:pt idx="36">
                  <c:v>24.742402370990916</c:v>
                </c:pt>
                <c:pt idx="37">
                  <c:v>24.233888822979011</c:v>
                </c:pt>
                <c:pt idx="38">
                  <c:v>23.715553818364356</c:v>
                </c:pt>
                <c:pt idx="39">
                  <c:v>23.187629936412293</c:v>
                </c:pt>
                <c:pt idx="40">
                  <c:v>22.650346755266327</c:v>
                </c:pt>
                <c:pt idx="41">
                  <c:v>22.10393065026976</c:v>
                </c:pt>
                <c:pt idx="42">
                  <c:v>21.548604615948889</c:v>
                </c:pt>
                <c:pt idx="43">
                  <c:v>20.984588110496247</c:v>
                </c:pt>
                <c:pt idx="44">
                  <c:v>20.412096921557193</c:v>
                </c:pt>
                <c:pt idx="45">
                  <c:v>19.831343052104344</c:v>
                </c:pt>
                <c:pt idx="46">
                  <c:v>19.242534625176447</c:v>
                </c:pt>
                <c:pt idx="47">
                  <c:v>18.645875806263888</c:v>
                </c:pt>
                <c:pt idx="48">
                  <c:v>18.041566742137363</c:v>
                </c:pt>
                <c:pt idx="49">
                  <c:v>17.429803514939309</c:v>
                </c:pt>
                <c:pt idx="50">
                  <c:v>16.810778110388171</c:v>
                </c:pt>
                <c:pt idx="51">
                  <c:v>16.184678398981589</c:v>
                </c:pt>
                <c:pt idx="52">
                  <c:v>15.551688129125182</c:v>
                </c:pt>
                <c:pt idx="53">
                  <c:v>14.911986931158197</c:v>
                </c:pt>
                <c:pt idx="54">
                  <c:v>14.26575033129447</c:v>
                </c:pt>
                <c:pt idx="55">
                  <c:v>13.613149774545732</c:v>
                </c:pt>
                <c:pt idx="56">
                  <c:v>12.9543526557447</c:v>
                </c:pt>
                <c:pt idx="57">
                  <c:v>12.289522357836034</c:v>
                </c:pt>
                <c:pt idx="58">
                  <c:v>11.618818296653373</c:v>
                </c:pt>
                <c:pt idx="59">
                  <c:v>10.942395971451262</c:v>
                </c:pt>
                <c:pt idx="60">
                  <c:v>10.260407020509618</c:v>
                </c:pt>
                <c:pt idx="61">
                  <c:v>9.5729992811760809</c:v>
                </c:pt>
                <c:pt idx="62">
                  <c:v>8.8803168537590409</c:v>
                </c:pt>
                <c:pt idx="63">
                  <c:v>8.1825001687276142</c:v>
                </c:pt>
                <c:pt idx="64">
                  <c:v>7.4796860567191032</c:v>
                </c:pt>
                <c:pt idx="65">
                  <c:v>6.7720078208947285</c:v>
                </c:pt>
                <c:pt idx="66">
                  <c:v>6.0595953112239727</c:v>
                </c:pt>
                <c:pt idx="67">
                  <c:v>5.3425750003149375</c:v>
                </c:pt>
                <c:pt idx="68">
                  <c:v>4.6210700604428752</c:v>
                </c:pt>
                <c:pt idx="69">
                  <c:v>3.8952004414623076</c:v>
                </c:pt>
                <c:pt idx="70">
                  <c:v>3.165082949319185</c:v>
                </c:pt>
                <c:pt idx="71">
                  <c:v>2.4308313249085955</c:v>
                </c:pt>
                <c:pt idx="72">
                  <c:v>1.6925563230502831</c:v>
                </c:pt>
                <c:pt idx="73">
                  <c:v>0.95036579138044885</c:v>
                </c:pt>
                <c:pt idx="74">
                  <c:v>0.20436474898095014</c:v>
                </c:pt>
                <c:pt idx="75">
                  <c:v>-0.54534453541032235</c:v>
                </c:pt>
                <c:pt idx="76">
                  <c:v>-1.2986624657442007</c:v>
                </c:pt>
                <c:pt idx="77">
                  <c:v>-2.0554920416771694</c:v>
                </c:pt>
                <c:pt idx="78">
                  <c:v>-2.8157387823606399</c:v>
                </c:pt>
                <c:pt idx="79">
                  <c:v>-3.5793106510858905</c:v>
                </c:pt>
                <c:pt idx="80">
                  <c:v>-4.3461179808532222</c:v>
                </c:pt>
                <c:pt idx="81">
                  <c:v>-5.1160734009208255</c:v>
                </c:pt>
                <c:pt idx="82">
                  <c:v>-5.8890917643744274</c:v>
                </c:pt>
                <c:pt idx="83">
                  <c:v>-6.6650900767489247</c:v>
                </c:pt>
                <c:pt idx="84">
                  <c:v>-7.4439874257202803</c:v>
                </c:pt>
                <c:pt idx="85">
                  <c:v>-8.2257049118773296</c:v>
                </c:pt>
                <c:pt idx="86">
                  <c:v>-9.0101655805726892</c:v>
                </c:pt>
                <c:pt idx="87">
                  <c:v>-9.7972943548430749</c:v>
                </c:pt>
                <c:pt idx="88">
                  <c:v>-10.587017969381819</c:v>
                </c:pt>
                <c:pt idx="89">
                  <c:v>-11.37926490553717</c:v>
                </c:pt>
                <c:pt idx="90">
                  <c:v>-12.173965327303392</c:v>
                </c:pt>
                <c:pt idx="91">
                  <c:v>-12.971051018264291</c:v>
                </c:pt>
                <c:pt idx="92">
                  <c:v>-13.770455319441353</c:v>
                </c:pt>
                <c:pt idx="93">
                  <c:v>-14.572113067992234</c:v>
                </c:pt>
                <c:pt idx="94">
                  <c:v>-15.375960536698599</c:v>
                </c:pt>
                <c:pt idx="95">
                  <c:v>-16.181935374175112</c:v>
                </c:pt>
                <c:pt idx="96">
                  <c:v>-16.989976545725213</c:v>
                </c:pt>
                <c:pt idx="97">
                  <c:v>-17.800024274761483</c:v>
                </c:pt>
                <c:pt idx="98">
                  <c:v>-18.612019984701959</c:v>
                </c:pt>
                <c:pt idx="99">
                  <c:v>-19.425906241245499</c:v>
                </c:pt>
                <c:pt idx="100">
                  <c:v>-20.241626694921607</c:v>
                </c:pt>
                <c:pt idx="101">
                  <c:v>-21.059126023801525</c:v>
                </c:pt>
                <c:pt idx="102">
                  <c:v>-21.878349876247924</c:v>
                </c:pt>
                <c:pt idx="103">
                  <c:v>-22.6992448135708</c:v>
                </c:pt>
                <c:pt idx="104">
                  <c:v>-23.521758252445807</c:v>
                </c:pt>
                <c:pt idx="105">
                  <c:v>-24.345838406939677</c:v>
                </c:pt>
                <c:pt idx="106">
                  <c:v>-25.171434229973627</c:v>
                </c:pt>
                <c:pt idx="107">
                  <c:v>-25.998495354041268</c:v>
                </c:pt>
                <c:pt idx="108">
                  <c:v>-26.826972030980784</c:v>
                </c:pt>
                <c:pt idx="109">
                  <c:v>-27.656815070582908</c:v>
                </c:pt>
                <c:pt idx="110">
                  <c:v>-28.487975777795882</c:v>
                </c:pt>
                <c:pt idx="111">
                  <c:v>-29.320405888265498</c:v>
                </c:pt>
                <c:pt idx="112">
                  <c:v>-30.154057501921514</c:v>
                </c:pt>
                <c:pt idx="113">
                  <c:v>-30.988883014294274</c:v>
                </c:pt>
                <c:pt idx="114">
                  <c:v>-31.824835045210179</c:v>
                </c:pt>
                <c:pt idx="115">
                  <c:v>-32.661866364479081</c:v>
                </c:pt>
                <c:pt idx="116">
                  <c:v>-33.499929814142845</c:v>
                </c:pt>
                <c:pt idx="117">
                  <c:v>-34.338978226807072</c:v>
                </c:pt>
                <c:pt idx="118">
                  <c:v>-35.178964339522608</c:v>
                </c:pt>
                <c:pt idx="119">
                  <c:v>-36.019840702620741</c:v>
                </c:pt>
                <c:pt idx="120">
                  <c:v>-36.86155958283571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574-45FF-A432-9D2AC50F8694}"/>
            </c:ext>
          </c:extLst>
        </c:ser>
        <c:ser>
          <c:idx val="24"/>
          <c:order val="21"/>
          <c:tx>
            <c:strRef>
              <c:f>'Ej.Lat -32'!$J$7</c:f>
              <c:strCache>
                <c:ptCount val="1"/>
                <c:pt idx="0">
                  <c:v>EQUI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'Ej.Lat -32'!$K$131:$K$251</c:f>
              <c:numCache>
                <c:formatCode>0.00</c:formatCode>
                <c:ptCount val="121"/>
                <c:pt idx="0">
                  <c:v>179.99811291957786</c:v>
                </c:pt>
                <c:pt idx="1">
                  <c:v>178.11341055882693</c:v>
                </c:pt>
                <c:pt idx="2">
                  <c:v>176.22975774834097</c:v>
                </c:pt>
                <c:pt idx="3">
                  <c:v>174.35194731736124</c:v>
                </c:pt>
                <c:pt idx="4">
                  <c:v>172.48282405197534</c:v>
                </c:pt>
                <c:pt idx="5">
                  <c:v>170.6251432581461</c:v>
                </c:pt>
                <c:pt idx="6">
                  <c:v>168.7815444961978</c:v>
                </c:pt>
                <c:pt idx="7">
                  <c:v>166.95452815147891</c:v>
                </c:pt>
                <c:pt idx="8">
                  <c:v>165.14643529902969</c:v>
                </c:pt>
                <c:pt idx="9">
                  <c:v>163.35943117999395</c:v>
                </c:pt>
                <c:pt idx="10">
                  <c:v>161.59549246299594</c:v>
                </c:pt>
                <c:pt idx="11">
                  <c:v>159.85639832343085</c:v>
                </c:pt>
                <c:pt idx="12">
                  <c:v>158.14372524506788</c:v>
                </c:pt>
                <c:pt idx="13">
                  <c:v>156.45884533738351</c:v>
                </c:pt>
                <c:pt idx="14">
                  <c:v>154.80292787247936</c:v>
                </c:pt>
                <c:pt idx="15">
                  <c:v>153.17694367923812</c:v>
                </c:pt>
                <c:pt idx="16">
                  <c:v>151.58167198961689</c:v>
                </c:pt>
                <c:pt idx="17">
                  <c:v>150.01770931128027</c:v>
                </c:pt>
                <c:pt idx="18">
                  <c:v>148.48547989960167</c:v>
                </c:pt>
                <c:pt idx="19">
                  <c:v>146.98524741716128</c:v>
                </c:pt>
                <c:pt idx="20">
                  <c:v>145.51712739664578</c:v>
                </c:pt>
                <c:pt idx="21">
                  <c:v>144.0811001599011</c:v>
                </c:pt>
                <c:pt idx="22">
                  <c:v>142.67702388841954</c:v>
                </c:pt>
                <c:pt idx="23">
                  <c:v>141.30464758579151</c:v>
                </c:pt>
                <c:pt idx="24">
                  <c:v>139.96362371814706</c:v>
                </c:pt>
                <c:pt idx="25">
                  <c:v>138.6535203624226</c:v>
                </c:pt>
                <c:pt idx="26">
                  <c:v>137.37383273301711</c:v>
                </c:pt>
                <c:pt idx="27">
                  <c:v>136.12399399411012</c:v>
                </c:pt>
                <c:pt idx="28">
                  <c:v>134.90338529709788</c:v>
                </c:pt>
                <c:pt idx="29">
                  <c:v>133.7113450100683</c:v>
                </c:pt>
                <c:pt idx="30">
                  <c:v>132.54717712905693</c:v>
                </c:pt>
                <c:pt idx="31">
                  <c:v>131.41015887926011</c:v>
                </c:pt>
                <c:pt idx="32">
                  <c:v>130.2995475288007</c:v>
                </c:pt>
                <c:pt idx="33">
                  <c:v>129.21458644849901</c:v>
                </c:pt>
                <c:pt idx="34">
                  <c:v>128.15451045886672</c:v>
                </c:pt>
                <c:pt idx="35">
                  <c:v>127.11855051069635</c:v>
                </c:pt>
                <c:pt idx="36">
                  <c:v>126.10593774860732</c:v>
                </c:pt>
                <c:pt idx="37">
                  <c:v>125.11590700815698</c:v>
                </c:pt>
                <c:pt idx="38">
                  <c:v>124.14769979699466</c:v>
                </c:pt>
                <c:pt idx="39">
                  <c:v>123.20056680935669</c:v>
                </c:pt>
                <c:pt idx="40">
                  <c:v>122.27377002124692</c:v>
                </c:pt>
                <c:pt idx="41">
                  <c:v>121.36658441114886</c:v>
                </c:pt>
                <c:pt idx="42">
                  <c:v>120.47829934826305</c:v>
                </c:pt>
                <c:pt idx="43">
                  <c:v>119.60821968720886</c:v>
                </c:pt>
                <c:pt idx="44">
                  <c:v>118.75566660499022</c:v>
                </c:pt>
                <c:pt idx="45">
                  <c:v>117.91997821289543</c:v>
                </c:pt>
                <c:pt idx="46">
                  <c:v>117.10050997294616</c:v>
                </c:pt>
                <c:pt idx="47">
                  <c:v>116.29663494558309</c:v>
                </c:pt>
                <c:pt idx="48">
                  <c:v>115.50774389250458</c:v>
                </c:pt>
                <c:pt idx="49">
                  <c:v>114.73324525598528</c:v>
                </c:pt>
                <c:pt idx="50">
                  <c:v>113.97256503360353</c:v>
                </c:pt>
                <c:pt idx="51">
                  <c:v>113.22514656510032</c:v>
                </c:pt>
                <c:pt idx="52">
                  <c:v>112.49045024608462</c:v>
                </c:pt>
                <c:pt idx="53">
                  <c:v>111.76795318147458</c:v>
                </c:pt>
                <c:pt idx="54">
                  <c:v>111.0571487899217</c:v>
                </c:pt>
                <c:pt idx="55">
                  <c:v>110.35754636898791</c:v>
                </c:pt>
                <c:pt idx="56">
                  <c:v>109.66867062952824</c:v>
                </c:pt>
                <c:pt idx="57">
                  <c:v>108.990061206557</c:v>
                </c:pt>
                <c:pt idx="58">
                  <c:v>108.32127215283478</c:v>
                </c:pt>
                <c:pt idx="59">
                  <c:v>107.66187142049313</c:v>
                </c:pt>
                <c:pt idx="60">
                  <c:v>107.01144033520333</c:v>
                </c:pt>
                <c:pt idx="61">
                  <c:v>106.3695730666827</c:v>
                </c:pt>
                <c:pt idx="62">
                  <c:v>105.7358760987082</c:v>
                </c:pt>
                <c:pt idx="63">
                  <c:v>105.10996770126138</c:v>
                </c:pt>
                <c:pt idx="64">
                  <c:v>104.49147740695399</c:v>
                </c:pt>
                <c:pt idx="65">
                  <c:v>103.88004549347018</c:v>
                </c:pt>
                <c:pt idx="66">
                  <c:v>103.27532247340335</c:v>
                </c:pt>
                <c:pt idx="67">
                  <c:v>102.67696859255658</c:v>
                </c:pt>
                <c:pt idx="68">
                  <c:v>102.08465333750816</c:v>
                </c:pt>
                <c:pt idx="69">
                  <c:v>101.49805495301463</c:v>
                </c:pt>
                <c:pt idx="70">
                  <c:v>100.91685996962721</c:v>
                </c:pt>
                <c:pt idx="71">
                  <c:v>100.34076274172889</c:v>
                </c:pt>
                <c:pt idx="72">
                  <c:v>99.769464996056485</c:v>
                </c:pt>
                <c:pt idx="73">
                  <c:v>99.202675390650427</c:v>
                </c:pt>
                <c:pt idx="74">
                  <c:v>98.640109084071483</c:v>
                </c:pt>
                <c:pt idx="75">
                  <c:v>98.081487314637457</c:v>
                </c:pt>
                <c:pt idx="76">
                  <c:v>97.526536989359784</c:v>
                </c:pt>
                <c:pt idx="77">
                  <c:v>96.974990282198689</c:v>
                </c:pt>
                <c:pt idx="78">
                  <c:v>96.426584241205546</c:v>
                </c:pt>
                <c:pt idx="79">
                  <c:v>95.881060404078369</c:v>
                </c:pt>
                <c:pt idx="80">
                  <c:v>95.338164421622807</c:v>
                </c:pt>
                <c:pt idx="81">
                  <c:v>94.797645688581369</c:v>
                </c:pt>
                <c:pt idx="82">
                  <c:v>94.259256981272429</c:v>
                </c:pt>
                <c:pt idx="83">
                  <c:v>93.722754101460438</c:v>
                </c:pt>
                <c:pt idx="84">
                  <c:v>93.187895525864946</c:v>
                </c:pt>
                <c:pt idx="85">
                  <c:v>92.654442060703971</c:v>
                </c:pt>
                <c:pt idx="86">
                  <c:v>92.122156500657908</c:v>
                </c:pt>
                <c:pt idx="87">
                  <c:v>91.590803291633421</c:v>
                </c:pt>
                <c:pt idx="88">
                  <c:v>91.060148196700581</c:v>
                </c:pt>
                <c:pt idx="89">
                  <c:v>90.529957964573427</c:v>
                </c:pt>
                <c:pt idx="90">
                  <c:v>90</c:v>
                </c:pt>
                <c:pt idx="91">
                  <c:v>89.470042035426559</c:v>
                </c:pt>
                <c:pt idx="92">
                  <c:v>88.939851803299419</c:v>
                </c:pt>
                <c:pt idx="93">
                  <c:v>88.409196708366579</c:v>
                </c:pt>
                <c:pt idx="94">
                  <c:v>87.877843499342092</c:v>
                </c:pt>
                <c:pt idx="95">
                  <c:v>87.345557939296015</c:v>
                </c:pt>
                <c:pt idx="96">
                  <c:v>86.812104474135054</c:v>
                </c:pt>
                <c:pt idx="97">
                  <c:v>86.277245898539562</c:v>
                </c:pt>
                <c:pt idx="98">
                  <c:v>85.740743018727571</c:v>
                </c:pt>
                <c:pt idx="99">
                  <c:v>85.202354311418631</c:v>
                </c:pt>
                <c:pt idx="100">
                  <c:v>84.661835578377207</c:v>
                </c:pt>
                <c:pt idx="101">
                  <c:v>84.118939595921631</c:v>
                </c:pt>
                <c:pt idx="102">
                  <c:v>83.573415758794468</c:v>
                </c:pt>
                <c:pt idx="103">
                  <c:v>83.025009717801311</c:v>
                </c:pt>
                <c:pt idx="104">
                  <c:v>82.473463010640216</c:v>
                </c:pt>
                <c:pt idx="105">
                  <c:v>81.918512685362543</c:v>
                </c:pt>
                <c:pt idx="106">
                  <c:v>81.359890915928517</c:v>
                </c:pt>
                <c:pt idx="107">
                  <c:v>80.797324609349573</c:v>
                </c:pt>
                <c:pt idx="108">
                  <c:v>80.230535003943515</c:v>
                </c:pt>
                <c:pt idx="109">
                  <c:v>79.659237258271119</c:v>
                </c:pt>
                <c:pt idx="110">
                  <c:v>79.083140030372789</c:v>
                </c:pt>
                <c:pt idx="111">
                  <c:v>78.501945046985369</c:v>
                </c:pt>
                <c:pt idx="112">
                  <c:v>77.915346662491842</c:v>
                </c:pt>
                <c:pt idx="113">
                  <c:v>77.323031407443409</c:v>
                </c:pt>
                <c:pt idx="114">
                  <c:v>76.724677526596651</c:v>
                </c:pt>
                <c:pt idx="115">
                  <c:v>76.119954506529808</c:v>
                </c:pt>
                <c:pt idx="116">
                  <c:v>75.50852259304601</c:v>
                </c:pt>
                <c:pt idx="117">
                  <c:v>74.890032298738618</c:v>
                </c:pt>
                <c:pt idx="118">
                  <c:v>74.264123901291796</c:v>
                </c:pt>
                <c:pt idx="119">
                  <c:v>73.630426933317295</c:v>
                </c:pt>
                <c:pt idx="120">
                  <c:v>72.988559664796682</c:v>
                </c:pt>
              </c:numCache>
            </c:numRef>
          </c:xVal>
          <c:yVal>
            <c:numRef>
              <c:f>'Ej.Lat -32'!$J$131:$J$251</c:f>
              <c:numCache>
                <c:formatCode>0.00</c:formatCode>
                <c:ptCount val="121"/>
                <c:pt idx="0">
                  <c:v>57.999999986034446</c:v>
                </c:pt>
                <c:pt idx="1">
                  <c:v>57.98603752363325</c:v>
                </c:pt>
                <c:pt idx="2">
                  <c:v>57.944186953851109</c:v>
                </c:pt>
                <c:pt idx="3">
                  <c:v>57.874558388929344</c:v>
                </c:pt>
                <c:pt idx="4">
                  <c:v>57.777333741596003</c:v>
                </c:pt>
                <c:pt idx="5">
                  <c:v>57.652764412502691</c:v>
                </c:pt>
                <c:pt idx="6">
                  <c:v>57.501168130455994</c:v>
                </c:pt>
                <c:pt idx="7">
                  <c:v>57.322925050560549</c:v>
                </c:pt>
                <c:pt idx="8">
                  <c:v>57.118473219161331</c:v>
                </c:pt>
                <c:pt idx="9">
                  <c:v>56.888303526913248</c:v>
                </c:pt>
                <c:pt idx="10">
                  <c:v>56.632954278180094</c:v>
                </c:pt>
                <c:pt idx="11">
                  <c:v>56.353005506381393</c:v>
                </c:pt>
                <c:pt idx="12">
                  <c:v>56.049073161301287</c:v>
                </c:pt>
                <c:pt idx="13">
                  <c:v>55.721803286455554</c:v>
                </c:pt>
                <c:pt idx="14">
                  <c:v>55.371866293252978</c:v>
                </c:pt>
                <c:pt idx="15">
                  <c:v>54.999951424855126</c:v>
                </c:pt>
                <c:pt idx="16">
                  <c:v>54.60676148729867</c:v>
                </c:pt>
                <c:pt idx="17">
                  <c:v>54.193007909503216</c:v>
                </c:pt>
                <c:pt idx="18">
                  <c:v>53.759406178032627</c:v>
                </c:pt>
                <c:pt idx="19">
                  <c:v>53.306671677550746</c:v>
                </c:pt>
                <c:pt idx="20">
                  <c:v>52.83551595429531</c:v>
                </c:pt>
                <c:pt idx="21">
                  <c:v>52.346643407909418</c:v>
                </c:pt>
                <c:pt idx="22">
                  <c:v>51.840748406794795</c:v>
                </c:pt>
                <c:pt idx="23">
                  <c:v>51.318512813840599</c:v>
                </c:pt>
                <c:pt idx="24">
                  <c:v>50.780603902887471</c:v>
                </c:pt>
                <c:pt idx="25">
                  <c:v>50.22767264148964</c:v>
                </c:pt>
                <c:pt idx="26">
                  <c:v>49.660352312268017</c:v>
                </c:pt>
                <c:pt idx="27">
                  <c:v>49.079257443204156</c:v>
                </c:pt>
                <c:pt idx="28">
                  <c:v>48.484983016400953</c:v>
                </c:pt>
                <c:pt idx="29">
                  <c:v>47.878103924919692</c:v>
                </c:pt>
                <c:pt idx="30">
                  <c:v>47.259174648102118</c:v>
                </c:pt>
                <c:pt idx="31">
                  <c:v>46.628729117120272</c:v>
                </c:pt>
                <c:pt idx="32">
                  <c:v>45.98728074421205</c:v>
                </c:pt>
                <c:pt idx="33">
                  <c:v>45.335322591022624</c:v>
                </c:pt>
                <c:pt idx="34">
                  <c:v>44.673327653574205</c:v>
                </c:pt>
                <c:pt idx="35">
                  <c:v>44.001749243538917</c:v>
                </c:pt>
                <c:pt idx="36">
                  <c:v>43.321021447624837</c:v>
                </c:pt>
                <c:pt idx="37">
                  <c:v>42.631559648953179</c:v>
                </c:pt>
                <c:pt idx="38">
                  <c:v>41.93376109626756</c:v>
                </c:pt>
                <c:pt idx="39">
                  <c:v>41.228005508650327</c:v>
                </c:pt>
                <c:pt idx="40">
                  <c:v>40.514655705112496</c:v>
                </c:pt>
                <c:pt idx="41">
                  <c:v>39.794058249964884</c:v>
                </c:pt>
                <c:pt idx="42">
                  <c:v>39.06654410626755</c:v>
                </c:pt>
                <c:pt idx="43">
                  <c:v>38.332429290898112</c:v>
                </c:pt>
                <c:pt idx="44">
                  <c:v>37.592015525879901</c:v>
                </c:pt>
                <c:pt idx="45">
                  <c:v>36.845590881580598</c:v>
                </c:pt>
                <c:pt idx="46">
                  <c:v>36.093430408237779</c:v>
                </c:pt>
                <c:pt idx="47">
                  <c:v>35.335796753002029</c:v>
                </c:pt>
                <c:pt idx="48">
                  <c:v>34.57294076032052</c:v>
                </c:pt>
                <c:pt idx="49">
                  <c:v>33.805102054025426</c:v>
                </c:pt>
                <c:pt idx="50">
                  <c:v>33.032509599951446</c:v>
                </c:pt>
                <c:pt idx="51">
                  <c:v>32.255382248295106</c:v>
                </c:pt>
                <c:pt idx="52">
                  <c:v>31.473929255254163</c:v>
                </c:pt>
                <c:pt idx="53">
                  <c:v>30.688350783755276</c:v>
                </c:pt>
                <c:pt idx="54">
                  <c:v>29.898838383301481</c:v>
                </c:pt>
                <c:pt idx="55">
                  <c:v>29.105575449151807</c:v>
                </c:pt>
                <c:pt idx="56">
                  <c:v>28.308737661191813</c:v>
                </c:pt>
                <c:pt idx="57">
                  <c:v>27.50849340296984</c:v>
                </c:pt>
                <c:pt idx="58">
                  <c:v>26.705004161463272</c:v>
                </c:pt>
                <c:pt idx="59">
                  <c:v>25.89842490820844</c:v>
                </c:pt>
                <c:pt idx="60">
                  <c:v>25.088904462477402</c:v>
                </c:pt>
                <c:pt idx="61">
                  <c:v>24.276585837220054</c:v>
                </c:pt>
                <c:pt idx="62">
                  <c:v>23.461606568512522</c:v>
                </c:pt>
                <c:pt idx="63">
                  <c:v>22.644099029264737</c:v>
                </c:pt>
                <c:pt idx="64">
                  <c:v>21.824190727943474</c:v>
                </c:pt>
                <c:pt idx="65">
                  <c:v>21.002004593064299</c:v>
                </c:pt>
                <c:pt idx="66">
                  <c:v>20.177659244196803</c:v>
                </c:pt>
                <c:pt idx="67">
                  <c:v>19.351269250214784</c:v>
                </c:pt>
                <c:pt idx="68">
                  <c:v>18.522945375506922</c:v>
                </c:pt>
                <c:pt idx="69">
                  <c:v>17.692794814844675</c:v>
                </c:pt>
                <c:pt idx="70">
                  <c:v>16.860921417584336</c:v>
                </c:pt>
                <c:pt idx="71">
                  <c:v>16.02742590185828</c:v>
                </c:pt>
                <c:pt idx="72">
                  <c:v>15.192406059388858</c:v>
                </c:pt>
                <c:pt idx="73">
                  <c:v>14.355956951536058</c:v>
                </c:pt>
                <c:pt idx="74">
                  <c:v>13.518171097167624</c:v>
                </c:pt>
                <c:pt idx="75">
                  <c:v>12.679138652919093</c:v>
                </c:pt>
                <c:pt idx="76">
                  <c:v>11.838947586389622</c:v>
                </c:pt>
                <c:pt idx="77">
                  <c:v>10.997683842799162</c:v>
                </c:pt>
                <c:pt idx="78">
                  <c:v>10.155431505612981</c:v>
                </c:pt>
                <c:pt idx="79">
                  <c:v>9.3122729516211251</c:v>
                </c:pt>
                <c:pt idx="80">
                  <c:v>8.4682890009427467</c:v>
                </c:pt>
                <c:pt idx="81">
                  <c:v>7.6235590624089014</c:v>
                </c:pt>
                <c:pt idx="82">
                  <c:v>6.7781612747625957</c:v>
                </c:pt>
                <c:pt idx="83">
                  <c:v>5.9321726441005325</c:v>
                </c:pt>
                <c:pt idx="84">
                  <c:v>5.0856691779684411</c:v>
                </c:pt>
                <c:pt idx="85">
                  <c:v>4.2387260165108955</c:v>
                </c:pt>
                <c:pt idx="86">
                  <c:v>3.3914175610655377</c:v>
                </c:pt>
                <c:pt idx="87">
                  <c:v>2.5438176005835658</c:v>
                </c:pt>
                <c:pt idx="88">
                  <c:v>1.6959994362502187</c:v>
                </c:pt>
                <c:pt idx="89">
                  <c:v>0.84803600467300555</c:v>
                </c:pt>
                <c:pt idx="90">
                  <c:v>0</c:v>
                </c:pt>
                <c:pt idx="91">
                  <c:v>-0.84803600467300555</c:v>
                </c:pt>
                <c:pt idx="92">
                  <c:v>-1.6959994362502044</c:v>
                </c:pt>
                <c:pt idx="93">
                  <c:v>-2.5438176005835516</c:v>
                </c:pt>
                <c:pt idx="94">
                  <c:v>-3.3914175610655377</c:v>
                </c:pt>
                <c:pt idx="95">
                  <c:v>-4.2387260165109097</c:v>
                </c:pt>
                <c:pt idx="96">
                  <c:v>-5.0856691779684411</c:v>
                </c:pt>
                <c:pt idx="97">
                  <c:v>-5.9321726441005325</c:v>
                </c:pt>
                <c:pt idx="98">
                  <c:v>-6.7781612747625957</c:v>
                </c:pt>
                <c:pt idx="99">
                  <c:v>-7.6235590624089014</c:v>
                </c:pt>
                <c:pt idx="100">
                  <c:v>-8.4682890009427325</c:v>
                </c:pt>
                <c:pt idx="101">
                  <c:v>-9.3122729516211251</c:v>
                </c:pt>
                <c:pt idx="102">
                  <c:v>-10.155431505612967</c:v>
                </c:pt>
                <c:pt idx="103">
                  <c:v>-10.997683842799162</c:v>
                </c:pt>
                <c:pt idx="104">
                  <c:v>-11.838947586389622</c:v>
                </c:pt>
                <c:pt idx="105">
                  <c:v>-12.679138652919093</c:v>
                </c:pt>
                <c:pt idx="106">
                  <c:v>-13.518171097167624</c:v>
                </c:pt>
                <c:pt idx="107">
                  <c:v>-14.355956951536058</c:v>
                </c:pt>
                <c:pt idx="108">
                  <c:v>-15.192406059388858</c:v>
                </c:pt>
                <c:pt idx="109">
                  <c:v>-16.027425901858265</c:v>
                </c:pt>
                <c:pt idx="110">
                  <c:v>-16.860921417584336</c:v>
                </c:pt>
                <c:pt idx="111">
                  <c:v>-17.692794814844675</c:v>
                </c:pt>
                <c:pt idx="112">
                  <c:v>-18.522945375506922</c:v>
                </c:pt>
                <c:pt idx="113">
                  <c:v>-19.351269250214798</c:v>
                </c:pt>
                <c:pt idx="114">
                  <c:v>-20.177659244196803</c:v>
                </c:pt>
                <c:pt idx="115">
                  <c:v>-21.002004593064299</c:v>
                </c:pt>
                <c:pt idx="116">
                  <c:v>-21.824190727943474</c:v>
                </c:pt>
                <c:pt idx="117">
                  <c:v>-22.644099029264737</c:v>
                </c:pt>
                <c:pt idx="118">
                  <c:v>-23.461606568512522</c:v>
                </c:pt>
                <c:pt idx="119">
                  <c:v>-24.27658583722004</c:v>
                </c:pt>
                <c:pt idx="120">
                  <c:v>-25.088904462477387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574-45FF-A432-9D2AC50F8694}"/>
            </c:ext>
          </c:extLst>
        </c:ser>
        <c:ser>
          <c:idx val="26"/>
          <c:order val="22"/>
          <c:tx>
            <c:strRef>
              <c:f>'Ej.Lat -32'!$P$7</c:f>
              <c:strCache>
                <c:ptCount val="1"/>
                <c:pt idx="0">
                  <c:v>SINV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'Ej.Lat -32'!$Q$131:$Q$251</c:f>
              <c:numCache>
                <c:formatCode>0.00</c:formatCode>
                <c:ptCount val="121"/>
                <c:pt idx="0">
                  <c:v>179.99382933609934</c:v>
                </c:pt>
                <c:pt idx="1">
                  <c:v>173.85029903984469</c:v>
                </c:pt>
                <c:pt idx="2">
                  <c:v>167.82325091798262</c:v>
                </c:pt>
                <c:pt idx="3">
                  <c:v>162.02686545912169</c:v>
                </c:pt>
                <c:pt idx="4">
                  <c:v>156.54397823321204</c:v>
                </c:pt>
                <c:pt idx="5">
                  <c:v>151.4279426750002</c:v>
                </c:pt>
                <c:pt idx="6">
                  <c:v>146.70409253064463</c:v>
                </c:pt>
                <c:pt idx="7">
                  <c:v>142.37488696891452</c:v>
                </c:pt>
                <c:pt idx="8">
                  <c:v>138.42639553487209</c:v>
                </c:pt>
                <c:pt idx="9">
                  <c:v>134.83442264803344</c:v>
                </c:pt>
                <c:pt idx="10">
                  <c:v>131.56942542097505</c:v>
                </c:pt>
                <c:pt idx="11">
                  <c:v>128.60003183560417</c:v>
                </c:pt>
                <c:pt idx="12">
                  <c:v>125.8953219915763</c:v>
                </c:pt>
                <c:pt idx="13">
                  <c:v>123.42616142610946</c:v>
                </c:pt>
                <c:pt idx="14">
                  <c:v>121.16587364960222</c:v>
                </c:pt>
                <c:pt idx="15">
                  <c:v>119.0904852024743</c:v>
                </c:pt>
                <c:pt idx="16">
                  <c:v>117.17871312332875</c:v>
                </c:pt>
                <c:pt idx="17">
                  <c:v>115.41180988097304</c:v>
                </c:pt>
                <c:pt idx="18">
                  <c:v>113.77333944453333</c:v>
                </c:pt>
                <c:pt idx="19">
                  <c:v>112.2489293204215</c:v>
                </c:pt>
                <c:pt idx="20">
                  <c:v>110.82602432606507</c:v>
                </c:pt>
                <c:pt idx="21">
                  <c:v>109.49365578983037</c:v>
                </c:pt>
                <c:pt idx="22">
                  <c:v>108.24223249072983</c:v>
                </c:pt>
                <c:pt idx="23">
                  <c:v>107.06335532583158</c:v>
                </c:pt>
                <c:pt idx="24">
                  <c:v>105.94965528536522</c:v>
                </c:pt>
                <c:pt idx="25">
                  <c:v>104.89465308031386</c:v>
                </c:pt>
                <c:pt idx="26">
                  <c:v>103.8926382284055</c:v>
                </c:pt>
                <c:pt idx="27">
                  <c:v>102.93856526406796</c:v>
                </c:pt>
                <c:pt idx="28">
                  <c:v>102.02796481376419</c:v>
                </c:pt>
                <c:pt idx="29">
                  <c:v>101.15686746098298</c:v>
                </c:pt>
                <c:pt idx="30">
                  <c:v>100.3217385513595</c:v>
                </c:pt>
                <c:pt idx="31">
                  <c:v>99.519422322180347</c:v>
                </c:pt>
                <c:pt idx="32">
                  <c:v>98.747093962977459</c:v>
                </c:pt>
                <c:pt idx="33">
                  <c:v>98.002218416047469</c:v>
                </c:pt>
                <c:pt idx="34">
                  <c:v>97.282514904291304</c:v>
                </c:pt>
                <c:pt idx="35">
                  <c:v>96.585926328646266</c:v>
                </c:pt>
                <c:pt idx="36">
                  <c:v>95.910592810096404</c:v>
                </c:pt>
                <c:pt idx="37">
                  <c:v>95.254828764045001</c:v>
                </c:pt>
                <c:pt idx="38">
                  <c:v>94.617102990185757</c:v>
                </c:pt>
                <c:pt idx="39">
                  <c:v>93.996021341332423</c:v>
                </c:pt>
                <c:pt idx="40">
                  <c:v>93.390311602188063</c:v>
                </c:pt>
                <c:pt idx="41">
                  <c:v>92.798810265734261</c:v>
                </c:pt>
                <c:pt idx="42">
                  <c:v>92.220450942517473</c:v>
                </c:pt>
                <c:pt idx="43">
                  <c:v>91.654254178078517</c:v>
                </c:pt>
                <c:pt idx="44">
                  <c:v>91.099318487357465</c:v>
                </c:pt>
                <c:pt idx="45">
                  <c:v>90.554812443159989</c:v>
                </c:pt>
                <c:pt idx="46">
                  <c:v>90.019967679573355</c:v>
                </c:pt>
                <c:pt idx="47">
                  <c:v>89.494072691297276</c:v>
                </c:pt>
                <c:pt idx="48">
                  <c:v>88.976467326826068</c:v>
                </c:pt>
                <c:pt idx="49">
                  <c:v>88.466537887782536</c:v>
                </c:pt>
                <c:pt idx="50">
                  <c:v>87.963712758890566</c:v>
                </c:pt>
                <c:pt idx="51">
                  <c:v>87.467458503427878</c:v>
                </c:pt>
                <c:pt idx="52">
                  <c:v>86.977276367819371</c:v>
                </c:pt>
                <c:pt idx="53">
                  <c:v>86.492699146554926</c:v>
                </c:pt>
                <c:pt idx="54">
                  <c:v>86.013288365048737</c:v>
                </c:pt>
                <c:pt idx="55">
                  <c:v>85.538631743568217</c:v>
                </c:pt>
                <c:pt idx="56">
                  <c:v>85.068340910091138</c:v>
                </c:pt>
                <c:pt idx="57">
                  <c:v>84.602049334019469</c:v>
                </c:pt>
                <c:pt idx="58">
                  <c:v>84.139410456185061</c:v>
                </c:pt>
                <c:pt idx="59">
                  <c:v>83.680095993611701</c:v>
                </c:pt>
                <c:pt idx="60">
                  <c:v>83.223794400118152</c:v>
                </c:pt>
                <c:pt idx="61">
                  <c:v>82.770209466119411</c:v>
                </c:pt>
                <c:pt idx="62">
                  <c:v>82.319059042956425</c:v>
                </c:pt>
                <c:pt idx="63">
                  <c:v>81.870073878802003</c:v>
                </c:pt>
                <c:pt idx="64">
                  <c:v>81.422996554688211</c:v>
                </c:pt>
                <c:pt idx="65">
                  <c:v>80.97758051050765</c:v>
                </c:pt>
                <c:pt idx="66">
                  <c:v>80.53358915198632</c:v>
                </c:pt>
                <c:pt idx="67">
                  <c:v>80.090795030628172</c:v>
                </c:pt>
                <c:pt idx="68">
                  <c:v>79.64897908951248</c:v>
                </c:pt>
                <c:pt idx="69">
                  <c:v>79.207929968600837</c:v>
                </c:pt>
                <c:pt idx="70">
                  <c:v>78.767443363892525</c:v>
                </c:pt>
                <c:pt idx="71">
                  <c:v>78.327321435370678</c:v>
                </c:pt>
                <c:pt idx="72">
                  <c:v>77.887372259214317</c:v>
                </c:pt>
                <c:pt idx="73">
                  <c:v>77.447409320224395</c:v>
                </c:pt>
                <c:pt idx="74">
                  <c:v>77.007251040830013</c:v>
                </c:pt>
                <c:pt idx="75">
                  <c:v>76.566720343415298</c:v>
                </c:pt>
                <c:pt idx="76">
                  <c:v>76.12564424303747</c:v>
                </c:pt>
                <c:pt idx="77">
                  <c:v>75.683853467904754</c:v>
                </c:pt>
                <c:pt idx="78">
                  <c:v>75.241182105246253</c:v>
                </c:pt>
                <c:pt idx="79">
                  <c:v>74.797467270444017</c:v>
                </c:pt>
                <c:pt idx="80">
                  <c:v>74.352548797510167</c:v>
                </c:pt>
                <c:pt idx="81">
                  <c:v>73.906268949184295</c:v>
                </c:pt>
                <c:pt idx="82">
                  <c:v>73.458472145097957</c:v>
                </c:pt>
                <c:pt idx="83">
                  <c:v>73.009004706611606</c:v>
                </c:pt>
                <c:pt idx="84">
                  <c:v>72.55771461706864</c:v>
                </c:pt>
                <c:pt idx="85">
                  <c:v>72.10445129634229</c:v>
                </c:pt>
                <c:pt idx="86">
                  <c:v>71.649065388667054</c:v>
                </c:pt>
                <c:pt idx="87">
                  <c:v>71.191408562855486</c:v>
                </c:pt>
                <c:pt idx="88">
                  <c:v>70.731333324098543</c:v>
                </c:pt>
                <c:pt idx="89">
                  <c:v>70.268692836640199</c:v>
                </c:pt>
                <c:pt idx="90">
                  <c:v>69.80334075670072</c:v>
                </c:pt>
                <c:pt idx="91">
                  <c:v>69.335131075101657</c:v>
                </c:pt>
                <c:pt idx="92">
                  <c:v>68.863917969119498</c:v>
                </c:pt>
                <c:pt idx="93">
                  <c:v>68.389555663163449</c:v>
                </c:pt>
                <c:pt idx="94">
                  <c:v>67.911898297938151</c:v>
                </c:pt>
                <c:pt idx="95">
                  <c:v>67.430799807814466</c:v>
                </c:pt>
                <c:pt idx="96">
                  <c:v>66.946113806189814</c:v>
                </c:pt>
                <c:pt idx="97">
                  <c:v>66.457693478677399</c:v>
                </c:pt>
                <c:pt idx="98">
                  <c:v>65.965391484017729</c:v>
                </c:pt>
                <c:pt idx="99">
                  <c:v>65.469059862659648</c:v>
                </c:pt>
                <c:pt idx="100">
                  <c:v>64.968549953010225</c:v>
                </c:pt>
                <c:pt idx="101">
                  <c:v>64.463712315404067</c:v>
                </c:pt>
                <c:pt idx="102">
                  <c:v>63.954396663892922</c:v>
                </c:pt>
                <c:pt idx="103">
                  <c:v>63.440451806007083</c:v>
                </c:pt>
                <c:pt idx="104">
                  <c:v>62.921725590689412</c:v>
                </c:pt>
                <c:pt idx="105">
                  <c:v>62.398064864652873</c:v>
                </c:pt>
                <c:pt idx="106">
                  <c:v>61.869315437462546</c:v>
                </c:pt>
                <c:pt idx="107">
                  <c:v>61.33532205569243</c:v>
                </c:pt>
                <c:pt idx="108">
                  <c:v>60.795928386558565</c:v>
                </c:pt>
                <c:pt idx="109">
                  <c:v>60.250977011479272</c:v>
                </c:pt>
                <c:pt idx="110">
                  <c:v>59.700309430065317</c:v>
                </c:pt>
                <c:pt idx="111">
                  <c:v>59.14376607509282</c:v>
                </c:pt>
                <c:pt idx="112">
                  <c:v>58.581186339063265</c:v>
                </c:pt>
                <c:pt idx="113">
                  <c:v>58.012408613005846</c:v>
                </c:pt>
                <c:pt idx="114">
                  <c:v>57.43727033822816</c:v>
                </c:pt>
                <c:pt idx="115">
                  <c:v>56.855608071771478</c:v>
                </c:pt>
                <c:pt idx="116">
                  <c:v>56.26725756637645</c:v>
                </c:pt>
                <c:pt idx="117">
                  <c:v>55.672053865813055</c:v>
                </c:pt>
                <c:pt idx="118">
                  <c:v>55.069831416475232</c:v>
                </c:pt>
                <c:pt idx="119">
                  <c:v>54.46042419618486</c:v>
                </c:pt>
                <c:pt idx="120">
                  <c:v>53.84366586119085</c:v>
                </c:pt>
              </c:numCache>
            </c:numRef>
          </c:xVal>
          <c:yVal>
            <c:numRef>
              <c:f>'Ej.Lat -32'!$P$131:$P$251</c:f>
              <c:numCache>
                <c:formatCode>0.00</c:formatCode>
                <c:ptCount val="121"/>
                <c:pt idx="0">
                  <c:v>81.449999954333293</c:v>
                </c:pt>
                <c:pt idx="1">
                  <c:v>81.404454843984681</c:v>
                </c:pt>
                <c:pt idx="2">
                  <c:v>81.269247783339665</c:v>
                </c:pt>
                <c:pt idx="3">
                  <c:v>81.048449428045032</c:v>
                </c:pt>
                <c:pt idx="4">
                  <c:v>80.748199783640061</c:v>
                </c:pt>
                <c:pt idx="5">
                  <c:v>80.375950973309202</c:v>
                </c:pt>
                <c:pt idx="6">
                  <c:v>79.939715348014659</c:v>
                </c:pt>
                <c:pt idx="7">
                  <c:v>79.447452539701771</c:v>
                </c:pt>
                <c:pt idx="8">
                  <c:v>78.906649088091839</c:v>
                </c:pt>
                <c:pt idx="9">
                  <c:v>78.324081427663188</c:v>
                </c:pt>
                <c:pt idx="10">
                  <c:v>77.705721258450495</c:v>
                </c:pt>
                <c:pt idx="11">
                  <c:v>77.056735901051624</c:v>
                </c:pt>
                <c:pt idx="12">
                  <c:v>76.381543406654345</c:v>
                </c:pt>
                <c:pt idx="13">
                  <c:v>75.68389356288904</c:v>
                </c:pt>
                <c:pt idx="14">
                  <c:v>74.966956464537361</c:v>
                </c:pt>
                <c:pt idx="15">
                  <c:v>74.233408244216278</c:v>
                </c:pt>
                <c:pt idx="16">
                  <c:v>73.485508835015878</c:v>
                </c:pt>
                <c:pt idx="17">
                  <c:v>72.725169840822588</c:v>
                </c:pt>
                <c:pt idx="18">
                  <c:v>71.954012373061033</c:v>
                </c:pt>
                <c:pt idx="19">
                  <c:v>71.173415602756975</c:v>
                </c:pt>
                <c:pt idx="20">
                  <c:v>70.384557143352438</c:v>
                </c:pt>
                <c:pt idx="21">
                  <c:v>69.588446459407976</c:v>
                </c:pt>
                <c:pt idx="22">
                  <c:v>68.785952432076186</c:v>
                </c:pt>
                <c:pt idx="23">
                  <c:v>67.97782608578791</c:v>
                </c:pt>
                <c:pt idx="24">
                  <c:v>67.164719336262323</c:v>
                </c:pt>
                <c:pt idx="25">
                  <c:v>66.347200480037941</c:v>
                </c:pt>
                <c:pt idx="26">
                  <c:v>65.525767020162306</c:v>
                </c:pt>
                <c:pt idx="27">
                  <c:v>64.700856314742438</c:v>
                </c:pt>
                <c:pt idx="28">
                  <c:v>63.872854444652958</c:v>
                </c:pt>
                <c:pt idx="29">
                  <c:v>63.042103622200912</c:v>
                </c:pt>
                <c:pt idx="30">
                  <c:v>62.208908401785138</c:v>
                </c:pt>
                <c:pt idx="31">
                  <c:v>61.373540904341155</c:v>
                </c:pt>
                <c:pt idx="32">
                  <c:v>60.536245227595238</c:v>
                </c:pt>
                <c:pt idx="33">
                  <c:v>59.697241182094203</c:v>
                </c:pt>
                <c:pt idx="34">
                  <c:v>58.856727467144935</c:v>
                </c:pt>
                <c:pt idx="35">
                  <c:v>58.014884379971228</c:v>
                </c:pt>
                <c:pt idx="36">
                  <c:v>57.171876134580579</c:v>
                </c:pt>
                <c:pt idx="37">
                  <c:v>56.327852853234411</c:v>
                </c:pt>
                <c:pt idx="38">
                  <c:v>55.482952282391764</c:v>
                </c:pt>
                <c:pt idx="39">
                  <c:v>54.637301276038443</c:v>
                </c:pt>
                <c:pt idx="40">
                  <c:v>53.791017082015124</c:v>
                </c:pt>
                <c:pt idx="41">
                  <c:v>52.944208460993387</c:v>
                </c:pt>
                <c:pt idx="42">
                  <c:v>52.096976662861401</c:v>
                </c:pt>
                <c:pt idx="43">
                  <c:v>51.249416281263798</c:v>
                </c:pt>
                <c:pt idx="44">
                  <c:v>50.401616003727916</c:v>
                </c:pt>
                <c:pt idx="45">
                  <c:v>49.553659272070199</c:v>
                </c:pt>
                <c:pt idx="46">
                  <c:v>48.705624865505648</c:v>
                </c:pt>
                <c:pt idx="47">
                  <c:v>47.857587416992217</c:v>
                </c:pt>
                <c:pt idx="48">
                  <c:v>47.009617871767873</c:v>
                </c:pt>
                <c:pt idx="49">
                  <c:v>46.161783895717164</c:v>
                </c:pt>
                <c:pt idx="50">
                  <c:v>45.31415024009852</c:v>
                </c:pt>
                <c:pt idx="51">
                  <c:v>44.466779068231951</c:v>
                </c:pt>
                <c:pt idx="52">
                  <c:v>43.61973024896119</c:v>
                </c:pt>
                <c:pt idx="53">
                  <c:v>42.773061621039581</c:v>
                </c:pt>
                <c:pt idx="54">
                  <c:v>41.926829232025227</c:v>
                </c:pt>
                <c:pt idx="55">
                  <c:v>41.081087554791779</c:v>
                </c:pt>
                <c:pt idx="56">
                  <c:v>40.235889684352081</c:v>
                </c:pt>
                <c:pt idx="57">
                  <c:v>39.391287517343315</c:v>
                </c:pt>
                <c:pt idx="58">
                  <c:v>38.547331916222419</c:v>
                </c:pt>
                <c:pt idx="59">
                  <c:v>37.704072859964555</c:v>
                </c:pt>
                <c:pt idx="60">
                  <c:v>36.861559582835746</c:v>
                </c:pt>
                <c:pt idx="61">
                  <c:v>36.019840702620755</c:v>
                </c:pt>
                <c:pt idx="62">
                  <c:v>35.178964339522594</c:v>
                </c:pt>
                <c:pt idx="63">
                  <c:v>34.338978226807093</c:v>
                </c:pt>
                <c:pt idx="64">
                  <c:v>33.499929814142845</c:v>
                </c:pt>
                <c:pt idx="65">
                  <c:v>32.661866364479074</c:v>
                </c:pt>
                <c:pt idx="66">
                  <c:v>31.824835045210172</c:v>
                </c:pt>
                <c:pt idx="67">
                  <c:v>30.988883014294267</c:v>
                </c:pt>
                <c:pt idx="68">
                  <c:v>30.154057501921521</c:v>
                </c:pt>
                <c:pt idx="69">
                  <c:v>29.320405888265498</c:v>
                </c:pt>
                <c:pt idx="70">
                  <c:v>28.487975777795896</c:v>
                </c:pt>
                <c:pt idx="71">
                  <c:v>27.656815070582908</c:v>
                </c:pt>
                <c:pt idx="72">
                  <c:v>26.826972030980798</c:v>
                </c:pt>
                <c:pt idx="73">
                  <c:v>25.998495354041296</c:v>
                </c:pt>
                <c:pt idx="74">
                  <c:v>25.171434229973627</c:v>
                </c:pt>
                <c:pt idx="75">
                  <c:v>24.345838406939663</c:v>
                </c:pt>
                <c:pt idx="76">
                  <c:v>23.521758252445792</c:v>
                </c:pt>
                <c:pt idx="77">
                  <c:v>22.6992448135708</c:v>
                </c:pt>
                <c:pt idx="78">
                  <c:v>21.878349876247924</c:v>
                </c:pt>
                <c:pt idx="79">
                  <c:v>21.059126023801539</c:v>
                </c:pt>
                <c:pt idx="80">
                  <c:v>20.241626694921607</c:v>
                </c:pt>
                <c:pt idx="81">
                  <c:v>19.425906241245514</c:v>
                </c:pt>
                <c:pt idx="82">
                  <c:v>18.612019984701973</c:v>
                </c:pt>
                <c:pt idx="83">
                  <c:v>17.800024274761483</c:v>
                </c:pt>
                <c:pt idx="84">
                  <c:v>16.989976545725199</c:v>
                </c:pt>
                <c:pt idx="85">
                  <c:v>16.181935374175112</c:v>
                </c:pt>
                <c:pt idx="86">
                  <c:v>15.375960536698599</c:v>
                </c:pt>
                <c:pt idx="87">
                  <c:v>14.572113067992234</c:v>
                </c:pt>
                <c:pt idx="88">
                  <c:v>13.770455319441353</c:v>
                </c:pt>
                <c:pt idx="89">
                  <c:v>12.971051018264291</c:v>
                </c:pt>
                <c:pt idx="90">
                  <c:v>12.173965327303392</c:v>
                </c:pt>
                <c:pt idx="91">
                  <c:v>11.37926490553717</c:v>
                </c:pt>
                <c:pt idx="92">
                  <c:v>10.587017969381833</c:v>
                </c:pt>
                <c:pt idx="93">
                  <c:v>9.7972943548430749</c:v>
                </c:pt>
                <c:pt idx="94">
                  <c:v>9.010165580572675</c:v>
                </c:pt>
                <c:pt idx="95">
                  <c:v>8.2257049118773438</c:v>
                </c:pt>
                <c:pt idx="96">
                  <c:v>7.4439874257202661</c:v>
                </c:pt>
                <c:pt idx="97">
                  <c:v>6.6650900767489247</c:v>
                </c:pt>
                <c:pt idx="98">
                  <c:v>5.8890917643744274</c:v>
                </c:pt>
                <c:pt idx="99">
                  <c:v>5.1160734009208255</c:v>
                </c:pt>
                <c:pt idx="100">
                  <c:v>4.3461179808532364</c:v>
                </c:pt>
                <c:pt idx="101">
                  <c:v>3.5793106510858905</c:v>
                </c:pt>
                <c:pt idx="102">
                  <c:v>2.8157387823606541</c:v>
                </c:pt>
                <c:pt idx="103">
                  <c:v>2.0554920416771552</c:v>
                </c:pt>
                <c:pt idx="104">
                  <c:v>1.2986624657441865</c:v>
                </c:pt>
                <c:pt idx="105">
                  <c:v>0.54534453541032235</c:v>
                </c:pt>
                <c:pt idx="106">
                  <c:v>-0.20436474898093593</c:v>
                </c:pt>
                <c:pt idx="107">
                  <c:v>-0.95036579138044885</c:v>
                </c:pt>
                <c:pt idx="108">
                  <c:v>-1.6925563230502831</c:v>
                </c:pt>
                <c:pt idx="109">
                  <c:v>-2.4308313249085955</c:v>
                </c:pt>
                <c:pt idx="110">
                  <c:v>-3.165082949319185</c:v>
                </c:pt>
                <c:pt idx="111">
                  <c:v>-3.8952004414622934</c:v>
                </c:pt>
                <c:pt idx="112">
                  <c:v>-4.6210700604428752</c:v>
                </c:pt>
                <c:pt idx="113">
                  <c:v>-5.3425750003149375</c:v>
                </c:pt>
                <c:pt idx="114">
                  <c:v>-6.0595953112239727</c:v>
                </c:pt>
                <c:pt idx="115">
                  <c:v>-6.7720078208947143</c:v>
                </c:pt>
                <c:pt idx="116">
                  <c:v>-7.4796860567191032</c:v>
                </c:pt>
                <c:pt idx="117">
                  <c:v>-8.1825001687276142</c:v>
                </c:pt>
                <c:pt idx="118">
                  <c:v>-8.8803168537590409</c:v>
                </c:pt>
                <c:pt idx="119">
                  <c:v>-9.5729992811760809</c:v>
                </c:pt>
                <c:pt idx="120">
                  <c:v>-10.260407020509589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574-45FF-A432-9D2AC50F8694}"/>
            </c:ext>
          </c:extLst>
        </c:ser>
        <c:ser>
          <c:idx val="27"/>
          <c:order val="23"/>
          <c:tx>
            <c:strRef>
              <c:f>'Ej.Lat -32'!$R$3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508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'Ej.Lat -32'!$T$10:$T$130</c:f>
              <c:numCache>
                <c:formatCode>0.00</c:formatCode>
                <c:ptCount val="121"/>
                <c:pt idx="0">
                  <c:v>-71.024122997774867</c:v>
                </c:pt>
                <c:pt idx="1">
                  <c:v>-71.67129530231837</c:v>
                </c:pt>
                <c:pt idx="2">
                  <c:v>-72.310216039866731</c:v>
                </c:pt>
                <c:pt idx="3">
                  <c:v>-72.941250806514702</c:v>
                </c:pt>
                <c:pt idx="4">
                  <c:v>-73.564755315681467</c:v>
                </c:pt>
                <c:pt idx="5">
                  <c:v>-74.181075803070769</c:v>
                </c:pt>
                <c:pt idx="6">
                  <c:v>-74.790549432688749</c:v>
                </c:pt>
                <c:pt idx="7">
                  <c:v>-75.393504702323952</c:v>
                </c:pt>
                <c:pt idx="8">
                  <c:v>-75.990261847178516</c:v>
                </c:pt>
                <c:pt idx="9">
                  <c:v>-76.581133240592422</c:v>
                </c:pt>
                <c:pt idx="10">
                  <c:v>-77.166423791022893</c:v>
                </c:pt>
                <c:pt idx="11">
                  <c:v>-77.74643133463448</c:v>
                </c:pt>
                <c:pt idx="12">
                  <c:v>-78.321447023024362</c:v>
                </c:pt>
                <c:pt idx="13">
                  <c:v>-78.891755705754591</c:v>
                </c:pt>
                <c:pt idx="14">
                  <c:v>-79.457636307491782</c:v>
                </c:pt>
                <c:pt idx="15">
                  <c:v>-80.019362199667114</c:v>
                </c:pt>
                <c:pt idx="16">
                  <c:v>-80.577201566665593</c:v>
                </c:pt>
                <c:pt idx="17">
                  <c:v>-81.131417766640055</c:v>
                </c:pt>
                <c:pt idx="18">
                  <c:v>-81.682269687117369</c:v>
                </c:pt>
                <c:pt idx="19">
                  <c:v>-82.230012095629306</c:v>
                </c:pt>
                <c:pt idx="20">
                  <c:v>-82.774895985655718</c:v>
                </c:pt>
                <c:pt idx="21">
                  <c:v>-83.31716891821641</c:v>
                </c:pt>
                <c:pt idx="22">
                  <c:v>-83.857075359490452</c:v>
                </c:pt>
                <c:pt idx="23">
                  <c:v>-84.394857014878724</c:v>
                </c:pt>
                <c:pt idx="24">
                  <c:v>-84.93075315995803</c:v>
                </c:pt>
                <c:pt idx="25">
                  <c:v>-85.465000968804262</c:v>
                </c:pt>
                <c:pt idx="26">
                  <c:v>-85.997835840187804</c:v>
                </c:pt>
                <c:pt idx="27">
                  <c:v>-86.529491722167094</c:v>
                </c:pt>
                <c:pt idx="28">
                  <c:v>-87.060201435627931</c:v>
                </c:pt>
                <c:pt idx="29">
                  <c:v>-87.590196997334502</c:v>
                </c:pt>
                <c:pt idx="30">
                  <c:v>-88.119709943076757</c:v>
                </c:pt>
                <c:pt idx="31">
                  <c:v>-88.648971651514572</c:v>
                </c:pt>
                <c:pt idx="32">
                  <c:v>-89.178213669335548</c:v>
                </c:pt>
                <c:pt idx="33">
                  <c:v>-89.70766803835815</c:v>
                </c:pt>
                <c:pt idx="34">
                  <c:v>-90.237567625225978</c:v>
                </c:pt>
                <c:pt idx="35">
                  <c:v>-90.768146454354024</c:v>
                </c:pt>
                <c:pt idx="36">
                  <c:v>-91.299640044799901</c:v>
                </c:pt>
                <c:pt idx="37">
                  <c:v>-91.832285751747662</c:v>
                </c:pt>
                <c:pt idx="38">
                  <c:v>-92.366323113303778</c:v>
                </c:pt>
                <c:pt idx="39">
                  <c:v>-92.90199420331723</c:v>
                </c:pt>
                <c:pt idx="40">
                  <c:v>-93.439543990947115</c:v>
                </c:pt>
                <c:pt idx="41">
                  <c:v>-93.979220707712457</c:v>
                </c:pt>
                <c:pt idx="42">
                  <c:v>-94.521276222767426</c:v>
                </c:pt>
                <c:pt idx="43">
                  <c:v>-95.065966427153995</c:v>
                </c:pt>
                <c:pt idx="44">
                  <c:v>-95.613551627789903</c:v>
                </c:pt>
                <c:pt idx="45">
                  <c:v>-96.16429695195356</c:v>
                </c:pt>
                <c:pt idx="46">
                  <c:v>-96.718472763028004</c:v>
                </c:pt>
                <c:pt idx="47">
                  <c:v>-97.276355088263017</c:v>
                </c:pt>
                <c:pt idx="48">
                  <c:v>-97.838226059307146</c:v>
                </c:pt>
                <c:pt idx="49">
                  <c:v>-98.404374366246671</c:v>
                </c:pt>
                <c:pt idx="50">
                  <c:v>-98.975095725869636</c:v>
                </c:pt>
                <c:pt idx="51">
                  <c:v>-99.550693364843283</c:v>
                </c:pt>
                <c:pt idx="52">
                  <c:v>-100.13147851845464</c:v>
                </c:pt>
                <c:pt idx="53">
                  <c:v>-100.71777094551348</c:v>
                </c:pt>
                <c:pt idx="54">
                  <c:v>-101.30989945995179</c:v>
                </c:pt>
                <c:pt idx="55">
                  <c:v>-101.90820247957204</c:v>
                </c:pt>
                <c:pt idx="56">
                  <c:v>-102.51302859229497</c:v>
                </c:pt>
                <c:pt idx="57">
                  <c:v>-103.12473714013272</c:v>
                </c:pt>
                <c:pt idx="58">
                  <c:v>-103.7436988209605</c:v>
                </c:pt>
                <c:pt idx="59">
                  <c:v>-104.37029630797623</c:v>
                </c:pt>
                <c:pt idx="60">
                  <c:v>-105.00492488651548</c:v>
                </c:pt>
                <c:pt idx="61">
                  <c:v>-105.64799310762446</c:v>
                </c:pt>
                <c:pt idx="62">
                  <c:v>-106.29992345747866</c:v>
                </c:pt>
                <c:pt idx="63">
                  <c:v>-106.96115304136173</c:v>
                </c:pt>
                <c:pt idx="64">
                  <c:v>-107.6321342804781</c:v>
                </c:pt>
                <c:pt idx="65">
                  <c:v>-108.31333561935756</c:v>
                </c:pt>
                <c:pt idx="66">
                  <c:v>-109.00524224100124</c:v>
                </c:pt>
                <c:pt idx="67">
                  <c:v>-109.70835678621513</c:v>
                </c:pt>
                <c:pt idx="68">
                  <c:v>-110.42320007275192</c:v>
                </c:pt>
                <c:pt idx="69">
                  <c:v>-111.15031180893077</c:v>
                </c:pt>
                <c:pt idx="70">
                  <c:v>-111.89025129530209</c:v>
                </c:pt>
                <c:pt idx="71">
                  <c:v>-112.64359810665555</c:v>
                </c:pt>
                <c:pt idx="72">
                  <c:v>-113.41095274521304</c:v>
                </c:pt>
                <c:pt idx="73">
                  <c:v>-114.1929372541821</c:v>
                </c:pt>
                <c:pt idx="74">
                  <c:v>-114.99019577894596</c:v>
                </c:pt>
                <c:pt idx="75">
                  <c:v>-115.80339506101176</c:v>
                </c:pt>
                <c:pt idx="76">
                  <c:v>-116.6332248474024</c:v>
                </c:pt>
                <c:pt idx="77">
                  <c:v>-117.48039819543938</c:v>
                </c:pt>
                <c:pt idx="78">
                  <c:v>-118.34565164979919</c:v>
                </c:pt>
                <c:pt idx="79">
                  <c:v>-119.22974526532134</c:v>
                </c:pt>
                <c:pt idx="80">
                  <c:v>-120.13346244528373</c:v>
                </c:pt>
                <c:pt idx="81">
                  <c:v>-121.05760956074302</c:v>
                </c:pt>
                <c:pt idx="82">
                  <c:v>-122.00301531206598</c:v>
                </c:pt>
                <c:pt idx="83">
                  <c:v>-122.97052978897963</c:v>
                </c:pt>
                <c:pt idx="84">
                  <c:v>-123.96102318038702</c:v>
                </c:pt>
                <c:pt idx="85">
                  <c:v>-124.97538407990136</c:v>
                </c:pt>
                <c:pt idx="86">
                  <c:v>-126.01451732765349</c:v>
                </c:pt>
                <c:pt idx="87">
                  <c:v>-127.07934132357273</c:v>
                </c:pt>
                <c:pt idx="88">
                  <c:v>-128.17078474223297</c:v>
                </c:pt>
                <c:pt idx="89">
                  <c:v>-129.28978257475765</c:v>
                </c:pt>
                <c:pt idx="90">
                  <c:v>-130.43727141952951</c:v>
                </c:pt>
                <c:pt idx="91">
                  <c:v>-131.61418394097331</c:v>
                </c:pt>
                <c:pt idx="92">
                  <c:v>-132.8214424149914</c:v>
                </c:pt>
                <c:pt idx="93">
                  <c:v>-134.05995128134421</c:v>
                </c:pt>
                <c:pt idx="94">
                  <c:v>-135.33058862810009</c:v>
                </c:pt>
                <c:pt idx="95">
                  <c:v>-136.63419654203608</c:v>
                </c:pt>
                <c:pt idx="96">
                  <c:v>-137.97157027244756</c:v>
                </c:pt>
                <c:pt idx="97">
                  <c:v>-139.34344617514714</c:v>
                </c:pt>
                <c:pt idx="98">
                  <c:v>-140.75048842944051</c:v>
                </c:pt>
                <c:pt idx="99">
                  <c:v>-142.19327455441112</c:v>
                </c:pt>
                <c:pt idx="100">
                  <c:v>-143.67227979261801</c:v>
                </c:pt>
                <c:pt idx="101">
                  <c:v>-145.18786047970593</c:v>
                </c:pt>
                <c:pt idx="102">
                  <c:v>-146.74023657739758</c:v>
                </c:pt>
                <c:pt idx="103">
                  <c:v>-148.3294736142355</c:v>
                </c:pt>
                <c:pt idx="104">
                  <c:v>-149.95546435182285</c:v>
                </c:pt>
                <c:pt idx="105">
                  <c:v>-151.61791057181256</c:v>
                </c:pt>
                <c:pt idx="106">
                  <c:v>-153.31630545704078</c:v>
                </c:pt>
                <c:pt idx="107">
                  <c:v>-155.04991711442619</c:v>
                </c:pt>
                <c:pt idx="108">
                  <c:v>-156.81777385188133</c:v>
                </c:pt>
                <c:pt idx="109">
                  <c:v>-158.61865186996101</c:v>
                </c:pt>
                <c:pt idx="110">
                  <c:v>-160.45106605421736</c:v>
                </c:pt>
                <c:pt idx="111">
                  <c:v>-162.31326454922115</c:v>
                </c:pt>
                <c:pt idx="112">
                  <c:v>-164.2032277536515</c:v>
                </c:pt>
                <c:pt idx="113">
                  <c:v>-166.11867229313975</c:v>
                </c:pt>
                <c:pt idx="114">
                  <c:v>-168.05706040155104</c:v>
                </c:pt>
                <c:pt idx="115">
                  <c:v>-170.0156149733653</c:v>
                </c:pt>
                <c:pt idx="116">
                  <c:v>-171.99134034497277</c:v>
                </c:pt>
                <c:pt idx="117">
                  <c:v>-173.98104863035365</c:v>
                </c:pt>
                <c:pt idx="118">
                  <c:v>-175.98139118997886</c:v>
                </c:pt>
                <c:pt idx="119">
                  <c:v>-177.98889456703165</c:v>
                </c:pt>
                <c:pt idx="120">
                  <c:v>-179.9979882929585</c:v>
                </c:pt>
              </c:numCache>
            </c:numRef>
          </c:xVal>
          <c:yVal>
            <c:numRef>
              <c:f>'Ej.Lat -32'!$S$10:$S$130</c:f>
              <c:numCache>
                <c:formatCode>0.00</c:formatCode>
                <c:ptCount val="121"/>
                <c:pt idx="0">
                  <c:v>-23.778891397158148</c:v>
                </c:pt>
                <c:pt idx="1">
                  <c:v>-22.975386343695902</c:v>
                </c:pt>
                <c:pt idx="2">
                  <c:v>-22.168888070658355</c:v>
                </c:pt>
                <c:pt idx="3">
                  <c:v>-21.359533810069323</c:v>
                </c:pt>
                <c:pt idx="4">
                  <c:v>-20.547455824489276</c:v>
                </c:pt>
                <c:pt idx="5">
                  <c:v>-19.732781678467163</c:v>
                </c:pt>
                <c:pt idx="6">
                  <c:v>-18.915634498255756</c:v>
                </c:pt>
                <c:pt idx="7">
                  <c:v>-18.096133220322088</c:v>
                </c:pt>
                <c:pt idx="8">
                  <c:v>-17.274392829188415</c:v>
                </c:pt>
                <c:pt idx="9">
                  <c:v>-16.450524585137416</c:v>
                </c:pt>
                <c:pt idx="10">
                  <c:v>-15.624636242311453</c:v>
                </c:pt>
                <c:pt idx="11">
                  <c:v>-14.79683225772915</c:v>
                </c:pt>
                <c:pt idx="12">
                  <c:v>-13.967213991733217</c:v>
                </c:pt>
                <c:pt idx="13">
                  <c:v>-13.135879900374135</c:v>
                </c:pt>
                <c:pt idx="14">
                  <c:v>-12.302925720222618</c:v>
                </c:pt>
                <c:pt idx="15">
                  <c:v>-11.468444646091754</c:v>
                </c:pt>
                <c:pt idx="16">
                  <c:v>-10.63252750213843</c:v>
                </c:pt>
                <c:pt idx="17">
                  <c:v>-9.7952629068002608</c:v>
                </c:pt>
                <c:pt idx="18">
                  <c:v>-8.956737432012801</c:v>
                </c:pt>
                <c:pt idx="19">
                  <c:v>-8.1170357571395044</c:v>
                </c:pt>
                <c:pt idx="20">
                  <c:v>-7.2762408180359301</c:v>
                </c:pt>
                <c:pt idx="21">
                  <c:v>-6.4344339516580646</c:v>
                </c:pt>
                <c:pt idx="22">
                  <c:v>-5.5916950366152065</c:v>
                </c:pt>
                <c:pt idx="23">
                  <c:v>-4.7481026300575735</c:v>
                </c:pt>
                <c:pt idx="24">
                  <c:v>-3.9037341012812021</c:v>
                </c:pt>
                <c:pt idx="25">
                  <c:v>-3.0586657624238285</c:v>
                </c:pt>
                <c:pt idx="26">
                  <c:v>-2.2129729966195981</c:v>
                </c:pt>
                <c:pt idx="27">
                  <c:v>-1.3667303839742004</c:v>
                </c:pt>
                <c:pt idx="28">
                  <c:v>-0.52001182571737559</c:v>
                </c:pt>
                <c:pt idx="29">
                  <c:v>0.32710933311372514</c:v>
                </c:pt>
                <c:pt idx="30">
                  <c:v>1.1745601821097864</c:v>
                </c:pt>
                <c:pt idx="31">
                  <c:v>2.0222681246935252</c:v>
                </c:pt>
                <c:pt idx="32">
                  <c:v>2.8701607577438892</c:v>
                </c:pt>
                <c:pt idx="33">
                  <c:v>3.7181657512900159</c:v>
                </c:pt>
                <c:pt idx="34">
                  <c:v>4.5662107279226376</c:v>
                </c:pt>
                <c:pt idx="35">
                  <c:v>5.4142231415672768</c:v>
                </c:pt>
                <c:pt idx="36">
                  <c:v>6.2621301552583049</c:v>
                </c:pt>
                <c:pt idx="37">
                  <c:v>7.1098585175474796</c:v>
                </c:pt>
                <c:pt idx="38">
                  <c:v>7.9573344371727472</c:v>
                </c:pt>
                <c:pt idx="39">
                  <c:v>8.8044834556040996</c:v>
                </c:pt>
                <c:pt idx="40">
                  <c:v>9.6512303170731428</c:v>
                </c:pt>
                <c:pt idx="41">
                  <c:v>10.497498835681341</c:v>
                </c:pt>
                <c:pt idx="42">
                  <c:v>11.343211759168085</c:v>
                </c:pt>
                <c:pt idx="43">
                  <c:v>12.188290628905293</c:v>
                </c:pt>
                <c:pt idx="44">
                  <c:v>13.032655635668391</c:v>
                </c:pt>
                <c:pt idx="45">
                  <c:v>13.876225470715553</c:v>
                </c:pt>
                <c:pt idx="46">
                  <c:v>14.718917171686982</c:v>
                </c:pt>
                <c:pt idx="47">
                  <c:v>15.560645962814618</c:v>
                </c:pt>
                <c:pt idx="48">
                  <c:v>16.401325088909203</c:v>
                </c:pt>
                <c:pt idx="49">
                  <c:v>17.240865642566533</c:v>
                </c:pt>
                <c:pt idx="50">
                  <c:v>18.079176384007795</c:v>
                </c:pt>
                <c:pt idx="51">
                  <c:v>18.91616355294066</c:v>
                </c:pt>
                <c:pt idx="52">
                  <c:v>19.751730671796679</c:v>
                </c:pt>
                <c:pt idx="53">
                  <c:v>20.585778339669375</c:v>
                </c:pt>
                <c:pt idx="54">
                  <c:v>21.418204016243379</c:v>
                </c:pt>
                <c:pt idx="55">
                  <c:v>22.248901794970095</c:v>
                </c:pt>
                <c:pt idx="56">
                  <c:v>23.077762164709327</c:v>
                </c:pt>
                <c:pt idx="57">
                  <c:v>23.904671759018626</c:v>
                </c:pt>
                <c:pt idx="58">
                  <c:v>24.729513092234839</c:v>
                </c:pt>
                <c:pt idx="59">
                  <c:v>25.552164281453997</c:v>
                </c:pt>
                <c:pt idx="60">
                  <c:v>26.372498753477402</c:v>
                </c:pt>
                <c:pt idx="61">
                  <c:v>27.190384935755439</c:v>
                </c:pt>
                <c:pt idx="62">
                  <c:v>28.005685930325207</c:v>
                </c:pt>
                <c:pt idx="63">
                  <c:v>28.818259169705442</c:v>
                </c:pt>
                <c:pt idx="64">
                  <c:v>29.627956053683718</c:v>
                </c:pt>
                <c:pt idx="65">
                  <c:v>30.434621565908287</c:v>
                </c:pt>
                <c:pt idx="66">
                  <c:v>31.238093869179892</c:v>
                </c:pt>
                <c:pt idx="67">
                  <c:v>32.038203878333796</c:v>
                </c:pt>
                <c:pt idx="68">
                  <c:v>32.834774809606238</c:v>
                </c:pt>
                <c:pt idx="69">
                  <c:v>33.6276217054006</c:v>
                </c:pt>
                <c:pt idx="70">
                  <c:v>34.41655093340718</c:v>
                </c:pt>
                <c:pt idx="71">
                  <c:v>35.201359659091672</c:v>
                </c:pt>
                <c:pt idx="72">
                  <c:v>35.981835290657394</c:v>
                </c:pt>
                <c:pt idx="73">
                  <c:v>36.757754895708409</c:v>
                </c:pt>
                <c:pt idx="74">
                  <c:v>37.52888458900452</c:v>
                </c:pt>
                <c:pt idx="75">
                  <c:v>38.294978890909761</c:v>
                </c:pt>
                <c:pt idx="76">
                  <c:v>39.055780056404743</c:v>
                </c:pt>
                <c:pt idx="77">
                  <c:v>39.811017374868626</c:v>
                </c:pt>
                <c:pt idx="78">
                  <c:v>40.560406441250564</c:v>
                </c:pt>
                <c:pt idx="79">
                  <c:v>41.303648399757257</c:v>
                </c:pt>
                <c:pt idx="80">
                  <c:v>42.040429161795494</c:v>
                </c:pt>
                <c:pt idx="81">
                  <c:v>42.770418600643026</c:v>
                </c:pt>
                <c:pt idx="82">
                  <c:v>43.493269726195955</c:v>
                </c:pt>
                <c:pt idx="83">
                  <c:v>44.208617844172245</c:v>
                </c:pt>
                <c:pt idx="84">
                  <c:v>44.916079705360318</c:v>
                </c:pt>
                <c:pt idx="85">
                  <c:v>45.61525265190712</c:v>
                </c:pt>
                <c:pt idx="86">
                  <c:v>46.305713769260976</c:v>
                </c:pt>
                <c:pt idx="87">
                  <c:v>46.987019054237962</c:v>
                </c:pt>
                <c:pt idx="88">
                  <c:v>47.658702611781251</c:v>
                </c:pt>
                <c:pt idx="89">
                  <c:v>48.320275895339826</c:v>
                </c:pt>
                <c:pt idx="90">
                  <c:v>48.971227008408285</c:v>
                </c:pt>
                <c:pt idx="91">
                  <c:v>49.611020087635374</c:v>
                </c:pt>
                <c:pt idx="92">
                  <c:v>50.239094791002536</c:v>
                </c:pt>
                <c:pt idx="93">
                  <c:v>50.854865917856401</c:v>
                </c:pt>
                <c:pt idx="94">
                  <c:v>51.457723190986982</c:v>
                </c:pt>
                <c:pt idx="95">
                  <c:v>52.047031234385358</c:v>
                </c:pt>
                <c:pt idx="96">
                  <c:v>52.622129783668825</c:v>
                </c:pt>
                <c:pt idx="97">
                  <c:v>53.182334169262631</c:v>
                </c:pt>
                <c:pt idx="98">
                  <c:v>53.726936115073201</c:v>
                </c:pt>
                <c:pt idx="99">
                  <c:v>54.255204897326081</c:v>
                </c:pt>
                <c:pt idx="100">
                  <c:v>54.766388909177579</c:v>
                </c:pt>
                <c:pt idx="101">
                  <c:v>55.259717676306245</c:v>
                </c:pt>
                <c:pt idx="102">
                  <c:v>55.734404366579113</c:v>
                </c:pt>
                <c:pt idx="103">
                  <c:v>56.189648832684107</c:v>
                </c:pt>
                <c:pt idx="104">
                  <c:v>56.624641219946746</c:v>
                </c:pt>
                <c:pt idx="105">
                  <c:v>57.038566162072733</c:v>
                </c:pt>
                <c:pt idx="106">
                  <c:v>57.430607575021604</c:v>
                </c:pt>
                <c:pt idx="107">
                  <c:v>57.799954043501288</c:v>
                </c:pt>
                <c:pt idx="108">
                  <c:v>58.145804775738583</c:v>
                </c:pt>
                <c:pt idx="109">
                  <c:v>58.467376080525213</c:v>
                </c:pt>
                <c:pt idx="110">
                  <c:v>58.76390829664151</c:v>
                </c:pt>
                <c:pt idx="111">
                  <c:v>59.034673079509489</c:v>
                </c:pt>
                <c:pt idx="112">
                  <c:v>59.278980924522585</c:v>
                </c:pt>
                <c:pt idx="113">
                  <c:v>59.496188782423502</c:v>
                </c:pt>
                <c:pt idx="114">
                  <c:v>59.685707601041045</c:v>
                </c:pt>
                <c:pt idx="115">
                  <c:v>59.847009611432554</c:v>
                </c:pt>
                <c:pt idx="116">
                  <c:v>59.979635166730887</c:v>
                </c:pt>
                <c:pt idx="117">
                  <c:v>60.083198940239939</c:v>
                </c:pt>
                <c:pt idx="118">
                  <c:v>60.15739529661596</c:v>
                </c:pt>
                <c:pt idx="119">
                  <c:v>60.202002666773495</c:v>
                </c:pt>
                <c:pt idx="120">
                  <c:v>60.216886768325423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574-45FF-A432-9D2AC50F8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94144"/>
        <c:axId val="135895680"/>
      </c:scatterChart>
      <c:valAx>
        <c:axId val="135878144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2664606242"/>
              <c:y val="0.908222491419341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5880064"/>
        <c:crosses val="autoZero"/>
        <c:crossBetween val="midCat"/>
        <c:majorUnit val="30"/>
      </c:valAx>
      <c:valAx>
        <c:axId val="135880064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5878144"/>
        <c:crossesAt val="0"/>
        <c:crossBetween val="midCat"/>
        <c:majorUnit val="10"/>
      </c:valAx>
      <c:valAx>
        <c:axId val="135894144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135895680"/>
        <c:crossesAt val="0"/>
        <c:crossBetween val="midCat"/>
      </c:valAx>
      <c:valAx>
        <c:axId val="135895680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330"/>
            </a:pPr>
            <a:endParaRPr lang="es-ES"/>
          </a:p>
        </c:txPr>
        <c:crossAx val="135894144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</xdr:row>
      <xdr:rowOff>89947</xdr:rowOff>
    </xdr:from>
    <xdr:to>
      <xdr:col>4</xdr:col>
      <xdr:colOff>571500</xdr:colOff>
      <xdr:row>13</xdr:row>
      <xdr:rowOff>80187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080547"/>
          <a:ext cx="3629025" cy="1580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412750</xdr:colOff>
      <xdr:row>6</xdr:row>
      <xdr:rowOff>25400</xdr:rowOff>
    </xdr:from>
    <xdr:to>
      <xdr:col>3</xdr:col>
      <xdr:colOff>120756</xdr:colOff>
      <xdr:row>8</xdr:row>
      <xdr:rowOff>149252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2D76CB-0AD2-4C9C-BFE6-B8D44962E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" y="1206500"/>
          <a:ext cx="2060681" cy="5175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6</xdr:row>
      <xdr:rowOff>47625</xdr:rowOff>
    </xdr:from>
    <xdr:to>
      <xdr:col>3</xdr:col>
      <xdr:colOff>504825</xdr:colOff>
      <xdr:row>12</xdr:row>
      <xdr:rowOff>78834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238250"/>
          <a:ext cx="2733675" cy="12218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262957</xdr:colOff>
      <xdr:row>9</xdr:row>
      <xdr:rowOff>126887</xdr:rowOff>
    </xdr:from>
    <xdr:to>
      <xdr:col>12</xdr:col>
      <xdr:colOff>79942</xdr:colOff>
      <xdr:row>40</xdr:row>
      <xdr:rowOff>67357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167707</xdr:colOff>
      <xdr:row>10</xdr:row>
      <xdr:rowOff>79263</xdr:rowOff>
    </xdr:from>
    <xdr:to>
      <xdr:col>11</xdr:col>
      <xdr:colOff>746692</xdr:colOff>
      <xdr:row>41</xdr:row>
      <xdr:rowOff>19732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370113</xdr:colOff>
      <xdr:row>9</xdr:row>
      <xdr:rowOff>162607</xdr:rowOff>
    </xdr:from>
    <xdr:to>
      <xdr:col>12</xdr:col>
      <xdr:colOff>187098</xdr:colOff>
      <xdr:row>40</xdr:row>
      <xdr:rowOff>103077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370113</xdr:colOff>
      <xdr:row>9</xdr:row>
      <xdr:rowOff>162607</xdr:rowOff>
    </xdr:from>
    <xdr:to>
      <xdr:col>12</xdr:col>
      <xdr:colOff>187098</xdr:colOff>
      <xdr:row>40</xdr:row>
      <xdr:rowOff>103077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tefania\Documents\PRESENTACIONES_E\DOCENCIA\ESFpA\curso1415\3-RadiacionSolar\Calculos_RadiacionSolar_Sombras_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Datos Mundiales"/>
      <sheetName val="Gdm"/>
      <sheetName val="Ghm"/>
      <sheetName val="Tabla_FS"/>
      <sheetName val="PObs_H"/>
      <sheetName val="PObs_V"/>
      <sheetName val="PSombras_ej"/>
      <sheetName val="Ga_FI"/>
    </sheetNames>
    <sheetDataSet>
      <sheetData sheetId="0" refreshError="1"/>
      <sheetData sheetId="1" refreshError="1"/>
      <sheetData sheetId="2"/>
      <sheetData sheetId="3">
        <row r="4">
          <cell r="C4">
            <v>0.70598568243170634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31"/>
  <sheetViews>
    <sheetView zoomScaleNormal="100" workbookViewId="0">
      <selection activeCell="A19" sqref="A19"/>
    </sheetView>
  </sheetViews>
  <sheetFormatPr baseColWidth="10" defaultRowHeight="12.75" x14ac:dyDescent="0.2"/>
  <cols>
    <col min="2" max="2" width="13.28515625" customWidth="1"/>
    <col min="3" max="3" width="9" customWidth="1"/>
    <col min="4" max="4" width="13.5703125" customWidth="1"/>
    <col min="5" max="5" width="14.5703125" customWidth="1"/>
    <col min="6" max="6" width="10.5703125" customWidth="1"/>
    <col min="7" max="7" width="10.85546875" customWidth="1"/>
    <col min="8" max="8" width="13.140625" customWidth="1"/>
    <col min="9" max="9" width="10.7109375" customWidth="1"/>
    <col min="10" max="10" width="13.42578125" customWidth="1"/>
    <col min="11" max="12" width="10.7109375" customWidth="1"/>
    <col min="13" max="13" width="12.5703125" customWidth="1"/>
    <col min="14" max="14" width="12.7109375" customWidth="1"/>
  </cols>
  <sheetData>
    <row r="1" spans="1:14" ht="15.75" x14ac:dyDescent="0.25">
      <c r="A1" s="119" t="s">
        <v>33</v>
      </c>
      <c r="B1" s="22" t="s">
        <v>27</v>
      </c>
      <c r="E1" s="8"/>
      <c r="G1" s="108" t="s">
        <v>29</v>
      </c>
      <c r="H1" s="109" t="s">
        <v>36</v>
      </c>
      <c r="I1" s="120" t="s">
        <v>64</v>
      </c>
      <c r="J1" s="110" t="s">
        <v>37</v>
      </c>
      <c r="K1" s="8"/>
    </row>
    <row r="2" spans="1:14" ht="15.75" x14ac:dyDescent="0.25">
      <c r="E2" s="8"/>
      <c r="G2" s="127"/>
      <c r="H2" s="10" t="s">
        <v>7</v>
      </c>
      <c r="I2" s="38">
        <v>31</v>
      </c>
      <c r="J2" s="129" t="str">
        <f>IF(G2&lt;&gt;"",G2,"")</f>
        <v/>
      </c>
      <c r="K2" s="8"/>
    </row>
    <row r="3" spans="1:14" ht="15.75" x14ac:dyDescent="0.25">
      <c r="A3" s="138" t="s">
        <v>20</v>
      </c>
      <c r="B3" s="139"/>
      <c r="C3" s="17" t="s">
        <v>21</v>
      </c>
      <c r="E3" s="8"/>
      <c r="G3" s="127"/>
      <c r="H3" s="10" t="s">
        <v>8</v>
      </c>
      <c r="I3" s="38">
        <v>28</v>
      </c>
      <c r="J3" s="40" t="str">
        <f>IF(G3&lt;&gt;"",I2+G3,"")</f>
        <v/>
      </c>
      <c r="K3" s="8"/>
    </row>
    <row r="4" spans="1:14" ht="15" x14ac:dyDescent="0.2">
      <c r="A4" s="18" t="s">
        <v>19</v>
      </c>
      <c r="B4" s="19" t="s">
        <v>1</v>
      </c>
      <c r="C4" s="18" t="s">
        <v>19</v>
      </c>
      <c r="E4" s="21"/>
      <c r="G4" s="111">
        <v>22</v>
      </c>
      <c r="H4" s="10" t="s">
        <v>9</v>
      </c>
      <c r="I4" s="38">
        <v>31</v>
      </c>
      <c r="J4" s="41">
        <f>IF(G4&lt;&gt;"",G4+I2+I3,"")</f>
        <v>81</v>
      </c>
      <c r="K4" s="8"/>
    </row>
    <row r="5" spans="1:14" ht="15.75" x14ac:dyDescent="0.25">
      <c r="A5" s="116">
        <f>40+26/60</f>
        <v>40.43333333333333</v>
      </c>
      <c r="B5" s="117">
        <f>RADIANS(A5)</f>
        <v>0.70569479422304049</v>
      </c>
      <c r="C5" s="118">
        <f>3+42/60</f>
        <v>3.7</v>
      </c>
      <c r="D5" s="9"/>
      <c r="E5" s="9"/>
      <c r="G5" s="111"/>
      <c r="H5" s="10" t="s">
        <v>10</v>
      </c>
      <c r="I5" s="38">
        <v>30</v>
      </c>
      <c r="J5" s="41" t="str">
        <f>IF(G5&lt;&gt;"",G5+I2+I3+I4,"")</f>
        <v/>
      </c>
      <c r="K5" s="9"/>
    </row>
    <row r="6" spans="1:14" ht="15.75" x14ac:dyDescent="0.25">
      <c r="A6" s="13"/>
      <c r="B6" s="14"/>
      <c r="C6" s="14"/>
      <c r="D6" s="15"/>
      <c r="E6" s="15"/>
      <c r="G6" s="111"/>
      <c r="H6" s="10" t="s">
        <v>11</v>
      </c>
      <c r="I6" s="38">
        <v>31</v>
      </c>
      <c r="J6" s="41" t="str">
        <f>IF(G6&lt;&gt;"",G6+I2+I3+I4+I5,"")</f>
        <v/>
      </c>
      <c r="K6" s="15"/>
    </row>
    <row r="7" spans="1:14" ht="15.75" x14ac:dyDescent="0.25">
      <c r="E7" s="13"/>
      <c r="F7" s="8"/>
      <c r="G7" s="111">
        <v>21</v>
      </c>
      <c r="H7" s="10" t="s">
        <v>12</v>
      </c>
      <c r="I7" s="38">
        <v>30</v>
      </c>
      <c r="J7" s="41">
        <f>IF(G7&lt;&gt;"",G7+I2+I3+I4+I5+I6,"")</f>
        <v>172</v>
      </c>
      <c r="K7" s="8"/>
    </row>
    <row r="8" spans="1:14" ht="15.75" x14ac:dyDescent="0.25">
      <c r="E8" s="8"/>
      <c r="F8" s="9"/>
      <c r="G8" s="111"/>
      <c r="H8" s="10" t="s">
        <v>13</v>
      </c>
      <c r="I8" s="38">
        <v>31</v>
      </c>
      <c r="J8" s="41" t="str">
        <f>IF(G8&lt;&gt;"",G8+I2+I3+I4+I5+I6+I7,"")</f>
        <v/>
      </c>
      <c r="K8" s="8"/>
    </row>
    <row r="9" spans="1:14" ht="15.75" x14ac:dyDescent="0.25">
      <c r="E9" s="9"/>
      <c r="F9" s="9"/>
      <c r="G9" s="111"/>
      <c r="H9" s="10" t="s">
        <v>14</v>
      </c>
      <c r="I9" s="38">
        <v>31</v>
      </c>
      <c r="J9" s="41" t="str">
        <f>IF(G9&lt;&gt;"",G9+I2+I3+I4+I5+I6+I7+I8,"")</f>
        <v/>
      </c>
      <c r="K9" s="9"/>
    </row>
    <row r="10" spans="1:14" ht="15.75" x14ac:dyDescent="0.25">
      <c r="E10" s="9"/>
      <c r="F10" s="16"/>
      <c r="G10" s="111">
        <v>21</v>
      </c>
      <c r="H10" s="10" t="s">
        <v>15</v>
      </c>
      <c r="I10" s="38">
        <v>30</v>
      </c>
      <c r="J10" s="41">
        <f>IF(G10&lt;&gt;"",G10+I2+I3+I4+I5+I6+I7+I8+I9,"")</f>
        <v>264</v>
      </c>
      <c r="K10" s="16"/>
    </row>
    <row r="11" spans="1:14" ht="15" x14ac:dyDescent="0.2">
      <c r="E11" s="16"/>
      <c r="F11" s="17"/>
      <c r="G11" s="112">
        <v>24</v>
      </c>
      <c r="H11" s="10" t="s">
        <v>16</v>
      </c>
      <c r="I11" s="38">
        <v>31</v>
      </c>
      <c r="J11" s="40">
        <f>IF(G11&lt;&gt;"",G11+I2+I3+I4+I5+I6+I7+I8+I9+I10,"")</f>
        <v>297</v>
      </c>
      <c r="K11" s="16"/>
    </row>
    <row r="12" spans="1:14" ht="15.75" x14ac:dyDescent="0.25">
      <c r="E12" s="17"/>
      <c r="F12" s="17"/>
      <c r="G12" s="111"/>
      <c r="H12" s="10" t="s">
        <v>17</v>
      </c>
      <c r="I12" s="38">
        <v>30</v>
      </c>
      <c r="J12" s="39" t="str">
        <f>IF(G12&lt;&gt;"",G12+I2+I3+I4+I5+I6+I7+I8+I9+I10+I11,"")</f>
        <v/>
      </c>
      <c r="K12" s="16"/>
    </row>
    <row r="13" spans="1:14" ht="15.75" thickBot="1" x14ac:dyDescent="0.25">
      <c r="E13" s="17"/>
      <c r="F13" s="17"/>
      <c r="G13" s="113">
        <v>21</v>
      </c>
      <c r="H13" s="114" t="s">
        <v>18</v>
      </c>
      <c r="I13" s="115">
        <v>31</v>
      </c>
      <c r="J13" s="42">
        <f>IF(G13&lt;&gt;"",G13+I2+I3+I4+I5+I6+I7+I8+I9+I10+I11+I12,"")</f>
        <v>355</v>
      </c>
      <c r="K13" s="16"/>
    </row>
    <row r="14" spans="1:14" ht="15.75" x14ac:dyDescent="0.25">
      <c r="A14" s="20"/>
      <c r="B14" s="10"/>
      <c r="C14" s="17"/>
      <c r="D14" s="9"/>
      <c r="E14" s="17"/>
      <c r="F14" s="17"/>
      <c r="G14" s="16"/>
      <c r="H14" s="16"/>
      <c r="I14" s="16"/>
      <c r="J14" s="16"/>
      <c r="K14" s="16"/>
      <c r="L14" s="16"/>
      <c r="M14" s="16"/>
      <c r="N14" s="8"/>
    </row>
    <row r="16" spans="1:14" ht="18.75" x14ac:dyDescent="0.35">
      <c r="A16" s="27" t="s">
        <v>29</v>
      </c>
      <c r="B16" s="132" t="s">
        <v>28</v>
      </c>
      <c r="C16" s="133"/>
      <c r="D16" s="134" t="s">
        <v>31</v>
      </c>
      <c r="E16" s="135"/>
      <c r="F16" s="136"/>
      <c r="G16" s="130" t="s">
        <v>24</v>
      </c>
      <c r="H16" s="131"/>
      <c r="I16" s="28" t="s">
        <v>25</v>
      </c>
      <c r="J16" s="44" t="s">
        <v>23</v>
      </c>
      <c r="K16" s="137" t="s">
        <v>32</v>
      </c>
      <c r="L16" s="136"/>
    </row>
    <row r="17" spans="1:13" ht="15.75" x14ac:dyDescent="0.25">
      <c r="A17" s="29" t="s">
        <v>30</v>
      </c>
      <c r="B17" s="30" t="s">
        <v>19</v>
      </c>
      <c r="C17" s="35" t="s">
        <v>1</v>
      </c>
      <c r="D17" s="36" t="s">
        <v>1</v>
      </c>
      <c r="E17" s="31" t="s">
        <v>19</v>
      </c>
      <c r="F17" s="31" t="s">
        <v>22</v>
      </c>
      <c r="G17" s="32" t="s">
        <v>26</v>
      </c>
      <c r="H17" s="33" t="s">
        <v>22</v>
      </c>
      <c r="I17" s="31" t="s">
        <v>22</v>
      </c>
      <c r="J17" s="33" t="s">
        <v>22</v>
      </c>
      <c r="K17" s="36" t="s">
        <v>1</v>
      </c>
      <c r="L17" s="31" t="s">
        <v>19</v>
      </c>
    </row>
    <row r="18" spans="1:13" ht="15.75" x14ac:dyDescent="0.25">
      <c r="A18" s="48">
        <v>297</v>
      </c>
      <c r="B18" s="23">
        <f>23.45*SIN(RADIANS((360/365)*(A18+284)))</f>
        <v>-12.785888283778254</v>
      </c>
      <c r="C18" s="34">
        <f>RADIANS(B18)</f>
        <v>-0.22315584834409763</v>
      </c>
      <c r="D18" s="37">
        <f>-ACOS(-TAN(C18)*TAN($B$5))</f>
        <v>-1.3762056458926257</v>
      </c>
      <c r="E18" s="104">
        <f>DEGREES(D18)</f>
        <v>-78.850775251722936</v>
      </c>
      <c r="F18" s="43">
        <f>E18/15</f>
        <v>-5.2567183501148627</v>
      </c>
      <c r="G18" s="23">
        <f>-7.64*SIN(RADIANS(A18-2))+9.86*SIN(RADIANS(2*(A18-80)))</f>
        <v>16.402231814911829</v>
      </c>
      <c r="H18" s="24">
        <f>G18/60</f>
        <v>0.27337053024853047</v>
      </c>
      <c r="I18" s="25">
        <v>1</v>
      </c>
      <c r="J18" s="45">
        <f>F18+12-H18+I18+($C$5-0)/15</f>
        <v>7.7165777863032741</v>
      </c>
      <c r="K18" s="37">
        <f>ASIN(SIN(C18)*SIN($B$5)+COS(C18)*COS($B$5))</f>
        <v>0.64194568422775844</v>
      </c>
      <c r="L18" s="43">
        <f>DEGREES(K18)</f>
        <v>36.780778382888414</v>
      </c>
      <c r="M18" s="1"/>
    </row>
    <row r="19" spans="1:13" ht="15" x14ac:dyDescent="0.25">
      <c r="A19" s="6"/>
      <c r="B19" s="6"/>
      <c r="C19" s="6"/>
      <c r="D19" s="6"/>
      <c r="E19" s="6"/>
      <c r="F19" s="6"/>
      <c r="G19" s="1"/>
      <c r="H19" s="1"/>
      <c r="I19" s="1"/>
      <c r="J19" s="46" t="str">
        <f>TEXT(INT(J18),"#") &amp; " horas"</f>
        <v>7 horas</v>
      </c>
      <c r="K19" s="1"/>
      <c r="L19" s="1"/>
      <c r="M19" s="1"/>
    </row>
    <row r="20" spans="1:13" ht="15" x14ac:dyDescent="0.25">
      <c r="A20" s="6"/>
      <c r="B20" s="6"/>
      <c r="C20" s="6"/>
      <c r="D20" s="6"/>
      <c r="E20" s="6"/>
      <c r="F20" s="6"/>
      <c r="G20" s="1"/>
      <c r="H20" s="1"/>
      <c r="I20" s="1"/>
      <c r="J20" s="47" t="str">
        <f>TEXT((J18-INT(J18))*60,"#") &amp; " minutos"</f>
        <v>43 minutos</v>
      </c>
      <c r="K20" s="26"/>
      <c r="L20" s="1"/>
      <c r="M20" s="1"/>
    </row>
    <row r="21" spans="1:13" x14ac:dyDescent="0.2">
      <c r="A21" s="6"/>
      <c r="B21" s="6"/>
      <c r="C21" s="6"/>
      <c r="D21" s="6"/>
      <c r="E21" s="6"/>
      <c r="F21" s="6"/>
      <c r="G21" s="1"/>
      <c r="H21" s="1"/>
      <c r="I21" s="1"/>
      <c r="K21" s="26"/>
      <c r="L21" s="1"/>
      <c r="M21" s="1"/>
    </row>
    <row r="22" spans="1:13" x14ac:dyDescent="0.2">
      <c r="A22" s="6"/>
      <c r="B22" s="6"/>
      <c r="C22" s="6"/>
      <c r="D22" s="6"/>
      <c r="E22" s="6"/>
      <c r="F22" s="6"/>
      <c r="G22" s="1"/>
      <c r="H22" s="1"/>
      <c r="I22" s="1"/>
      <c r="J22" s="1"/>
      <c r="K22" s="1"/>
      <c r="L22" s="1"/>
      <c r="M22" s="1"/>
    </row>
    <row r="23" spans="1:13" x14ac:dyDescent="0.2">
      <c r="A23" s="6"/>
      <c r="B23" s="6"/>
      <c r="C23" s="6"/>
      <c r="D23" s="6"/>
      <c r="E23" s="6"/>
      <c r="F23" s="6"/>
      <c r="G23" s="1"/>
      <c r="H23" s="1"/>
      <c r="I23" s="1"/>
      <c r="J23" s="1"/>
      <c r="K23" s="1"/>
      <c r="L23" s="1"/>
      <c r="M23" s="1"/>
    </row>
    <row r="24" spans="1:13" x14ac:dyDescent="0.2">
      <c r="A24" s="6"/>
      <c r="B24" s="6"/>
      <c r="C24" s="6"/>
      <c r="D24" s="6"/>
      <c r="E24" s="6"/>
      <c r="F24" s="6"/>
      <c r="G24" s="1"/>
      <c r="H24" s="1"/>
      <c r="I24" s="1"/>
      <c r="J24" s="1"/>
      <c r="K24" s="1"/>
      <c r="L24" s="1"/>
      <c r="M24" s="1"/>
    </row>
    <row r="25" spans="1:13" x14ac:dyDescent="0.2">
      <c r="A25" s="6"/>
      <c r="B25" s="6"/>
      <c r="C25" s="6"/>
      <c r="D25" s="6"/>
      <c r="E25" s="6"/>
      <c r="F25" s="6"/>
      <c r="G25" s="1"/>
      <c r="H25" s="1"/>
      <c r="I25" s="1"/>
      <c r="J25" s="1"/>
      <c r="K25" s="1"/>
      <c r="L25" s="1"/>
      <c r="M25" s="1"/>
    </row>
    <row r="26" spans="1:13" x14ac:dyDescent="0.2">
      <c r="A26" s="6"/>
      <c r="B26" s="6"/>
      <c r="C26" s="6"/>
      <c r="D26" s="6"/>
      <c r="E26" s="6"/>
      <c r="F26" s="6"/>
      <c r="G26" s="1"/>
      <c r="H26" s="1"/>
      <c r="I26" s="1"/>
      <c r="J26" s="1"/>
      <c r="K26" s="1"/>
      <c r="L26" s="1"/>
      <c r="M26" s="1"/>
    </row>
    <row r="27" spans="1:13" x14ac:dyDescent="0.2">
      <c r="A27" s="6"/>
      <c r="B27" s="6"/>
      <c r="C27" s="6"/>
      <c r="D27" s="6"/>
      <c r="E27" s="6"/>
      <c r="F27" s="6"/>
      <c r="G27" s="1"/>
      <c r="H27" s="1"/>
      <c r="I27" s="1"/>
      <c r="J27" s="1"/>
      <c r="K27" s="1"/>
      <c r="L27" s="1"/>
      <c r="M27" s="1"/>
    </row>
    <row r="28" spans="1:13" x14ac:dyDescent="0.2">
      <c r="A28" s="6"/>
      <c r="B28" s="6"/>
      <c r="C28" s="6"/>
      <c r="D28" s="6"/>
      <c r="E28" s="6"/>
      <c r="F28" s="6"/>
      <c r="G28" s="1"/>
      <c r="H28" s="1"/>
      <c r="I28" s="1"/>
      <c r="J28" s="1"/>
      <c r="K28" s="1"/>
      <c r="L28" s="1"/>
      <c r="M28" s="1"/>
    </row>
    <row r="29" spans="1:13" x14ac:dyDescent="0.2">
      <c r="A29" s="6"/>
      <c r="B29" s="6"/>
      <c r="C29" s="6"/>
      <c r="D29" s="6"/>
      <c r="E29" s="6"/>
      <c r="F29" s="6"/>
      <c r="G29" s="1"/>
      <c r="H29" s="1"/>
      <c r="I29" s="1"/>
      <c r="J29" s="1"/>
      <c r="K29" s="1"/>
      <c r="L29" s="1"/>
      <c r="M29" s="1"/>
    </row>
    <row r="30" spans="1:13" x14ac:dyDescent="0.2">
      <c r="A30" s="6"/>
      <c r="B30" s="6"/>
      <c r="C30" s="6"/>
      <c r="D30" s="6"/>
      <c r="E30" s="6"/>
      <c r="F30" s="6"/>
      <c r="G30" s="1"/>
      <c r="H30" s="1"/>
      <c r="I30" s="1"/>
      <c r="J30" s="1"/>
      <c r="K30" s="1"/>
      <c r="L30" s="1"/>
      <c r="M30" s="1"/>
    </row>
    <row r="31" spans="1:13" x14ac:dyDescent="0.2">
      <c r="A31" s="6"/>
      <c r="B31" s="6"/>
      <c r="C31" s="6"/>
      <c r="D31" s="6"/>
      <c r="E31" s="6"/>
      <c r="F31" s="6"/>
      <c r="G31" s="1"/>
      <c r="H31" s="1"/>
      <c r="I31" s="1"/>
      <c r="J31" s="1"/>
      <c r="K31" s="1"/>
      <c r="L31" s="1"/>
      <c r="M31" s="1"/>
    </row>
    <row r="32" spans="1:13" x14ac:dyDescent="0.2">
      <c r="A32" s="6"/>
      <c r="B32" s="6"/>
      <c r="C32" s="6"/>
      <c r="D32" s="6"/>
      <c r="E32" s="6"/>
      <c r="F32" s="6"/>
      <c r="G32" s="1"/>
      <c r="H32" s="1"/>
      <c r="I32" s="1"/>
      <c r="J32" s="1"/>
      <c r="K32" s="1"/>
      <c r="L32" s="1"/>
      <c r="M32" s="1"/>
    </row>
    <row r="33" spans="1:13" x14ac:dyDescent="0.2">
      <c r="A33" s="6"/>
      <c r="B33" s="6"/>
      <c r="C33" s="6"/>
      <c r="D33" s="6"/>
      <c r="E33" s="6"/>
      <c r="F33" s="6"/>
      <c r="G33" s="1"/>
      <c r="H33" s="1"/>
      <c r="I33" s="1"/>
      <c r="J33" s="1"/>
      <c r="K33" s="1"/>
      <c r="L33" s="1"/>
      <c r="M33" s="1"/>
    </row>
    <row r="34" spans="1:13" x14ac:dyDescent="0.2">
      <c r="A34" s="6"/>
      <c r="B34" s="6"/>
      <c r="C34" s="6"/>
      <c r="D34" s="6"/>
      <c r="E34" s="6"/>
      <c r="F34" s="6"/>
      <c r="G34" s="1"/>
      <c r="H34" s="1"/>
      <c r="I34" s="1"/>
      <c r="J34" s="1"/>
      <c r="K34" s="1"/>
      <c r="L34" s="1"/>
      <c r="M34" s="1"/>
    </row>
    <row r="35" spans="1:13" x14ac:dyDescent="0.2">
      <c r="A35" s="6"/>
      <c r="B35" s="6"/>
      <c r="C35" s="6"/>
      <c r="D35" s="6"/>
      <c r="E35" s="6"/>
      <c r="F35" s="6"/>
      <c r="G35" s="1"/>
      <c r="H35" s="1"/>
      <c r="I35" s="1"/>
      <c r="J35" s="1"/>
      <c r="K35" s="1"/>
      <c r="L35" s="1"/>
      <c r="M35" s="1"/>
    </row>
    <row r="36" spans="1:13" x14ac:dyDescent="0.2">
      <c r="A36" s="6"/>
      <c r="B36" s="6"/>
      <c r="C36" s="6"/>
      <c r="D36" s="6"/>
      <c r="E36" s="6"/>
      <c r="F36" s="6"/>
      <c r="G36" s="1"/>
      <c r="H36" s="1"/>
      <c r="I36" s="1"/>
      <c r="J36" s="1"/>
      <c r="K36" s="1"/>
      <c r="L36" s="1"/>
      <c r="M36" s="1"/>
    </row>
    <row r="37" spans="1:13" x14ac:dyDescent="0.2">
      <c r="A37" s="6"/>
      <c r="B37" s="6"/>
      <c r="C37" s="6"/>
      <c r="D37" s="6"/>
      <c r="E37" s="6"/>
      <c r="F37" s="6"/>
      <c r="G37" s="1"/>
      <c r="H37" s="1"/>
      <c r="I37" s="1"/>
      <c r="J37" s="1"/>
      <c r="K37" s="1"/>
      <c r="L37" s="1"/>
      <c r="M37" s="1"/>
    </row>
    <row r="38" spans="1:13" x14ac:dyDescent="0.2">
      <c r="A38" s="6"/>
      <c r="B38" s="6"/>
      <c r="C38" s="6"/>
      <c r="D38" s="6"/>
      <c r="E38" s="6"/>
      <c r="F38" s="6"/>
      <c r="G38" s="1"/>
      <c r="H38" s="1"/>
      <c r="I38" s="1"/>
      <c r="J38" s="1"/>
      <c r="K38" s="1"/>
      <c r="L38" s="1"/>
      <c r="M38" s="1"/>
    </row>
    <row r="39" spans="1:13" x14ac:dyDescent="0.2">
      <c r="A39" s="6"/>
      <c r="B39" s="6"/>
      <c r="C39" s="6"/>
      <c r="D39" s="6"/>
      <c r="E39" s="6"/>
      <c r="F39" s="6"/>
      <c r="G39" s="1"/>
      <c r="H39" s="1"/>
      <c r="I39" s="1"/>
      <c r="J39" s="1"/>
      <c r="K39" s="1"/>
      <c r="L39" s="1"/>
      <c r="M39" s="1"/>
    </row>
    <row r="40" spans="1:13" x14ac:dyDescent="0.2">
      <c r="A40" s="6"/>
      <c r="B40" s="6"/>
      <c r="C40" s="6"/>
      <c r="D40" s="6"/>
      <c r="E40" s="6"/>
      <c r="F40" s="6"/>
      <c r="G40" s="1"/>
      <c r="H40" s="1"/>
      <c r="I40" s="1"/>
      <c r="J40" s="1"/>
      <c r="K40" s="1"/>
      <c r="L40" s="1"/>
      <c r="M40" s="1"/>
    </row>
    <row r="41" spans="1:13" x14ac:dyDescent="0.2">
      <c r="A41" s="6"/>
      <c r="B41" s="6"/>
      <c r="C41" s="6"/>
      <c r="D41" s="6"/>
      <c r="E41" s="6"/>
      <c r="F41" s="6"/>
      <c r="G41" s="1"/>
      <c r="H41" s="1"/>
      <c r="I41" s="1"/>
      <c r="J41" s="1"/>
      <c r="K41" s="1"/>
      <c r="L41" s="1"/>
      <c r="M41" s="1"/>
    </row>
    <row r="42" spans="1:13" x14ac:dyDescent="0.2">
      <c r="A42" s="6"/>
      <c r="B42" s="6"/>
      <c r="C42" s="6"/>
      <c r="D42" s="6"/>
      <c r="E42" s="6"/>
      <c r="F42" s="6"/>
      <c r="G42" s="1"/>
      <c r="H42" s="1"/>
      <c r="I42" s="1"/>
      <c r="J42" s="1"/>
      <c r="K42" s="1"/>
      <c r="L42" s="1"/>
      <c r="M42" s="1"/>
    </row>
    <row r="43" spans="1:13" x14ac:dyDescent="0.2">
      <c r="A43" s="6"/>
      <c r="B43" s="6"/>
      <c r="C43" s="6"/>
      <c r="D43" s="6"/>
      <c r="E43" s="6"/>
      <c r="F43" s="6"/>
      <c r="G43" s="1"/>
      <c r="H43" s="1"/>
      <c r="I43" s="1"/>
      <c r="J43" s="1"/>
      <c r="K43" s="1"/>
      <c r="L43" s="1"/>
      <c r="M43" s="1"/>
    </row>
    <row r="44" spans="1:13" x14ac:dyDescent="0.2">
      <c r="A44" s="6"/>
      <c r="B44" s="6"/>
      <c r="C44" s="6"/>
      <c r="D44" s="6"/>
      <c r="E44" s="6"/>
      <c r="F44" s="6"/>
      <c r="G44" s="1"/>
      <c r="H44" s="1"/>
      <c r="I44" s="1"/>
      <c r="J44" s="1"/>
      <c r="K44" s="1"/>
      <c r="L44" s="1"/>
      <c r="M44" s="1"/>
    </row>
    <row r="45" spans="1:13" x14ac:dyDescent="0.2">
      <c r="A45" s="6"/>
      <c r="B45" s="6"/>
      <c r="C45" s="6"/>
      <c r="D45" s="6"/>
      <c r="E45" s="6"/>
      <c r="F45" s="6"/>
      <c r="G45" s="1"/>
      <c r="H45" s="1"/>
      <c r="I45" s="1"/>
      <c r="J45" s="1"/>
      <c r="K45" s="1"/>
      <c r="L45" s="1"/>
      <c r="M45" s="1"/>
    </row>
    <row r="46" spans="1:13" x14ac:dyDescent="0.2">
      <c r="A46" s="6"/>
      <c r="B46" s="6"/>
      <c r="C46" s="6"/>
      <c r="D46" s="6"/>
      <c r="E46" s="6"/>
      <c r="F46" s="6"/>
      <c r="G46" s="1"/>
      <c r="H46" s="1"/>
      <c r="I46" s="1"/>
      <c r="J46" s="1"/>
      <c r="K46" s="1"/>
      <c r="L46" s="1"/>
      <c r="M46" s="1"/>
    </row>
    <row r="47" spans="1:13" x14ac:dyDescent="0.2">
      <c r="A47" s="6"/>
      <c r="B47" s="6"/>
      <c r="C47" s="6"/>
      <c r="D47" s="6"/>
      <c r="E47" s="6"/>
      <c r="F47" s="6"/>
      <c r="G47" s="1"/>
      <c r="H47" s="1"/>
      <c r="I47" s="1"/>
      <c r="J47" s="1"/>
      <c r="K47" s="1"/>
      <c r="L47" s="1"/>
      <c r="M47" s="1"/>
    </row>
    <row r="48" spans="1:13" x14ac:dyDescent="0.2">
      <c r="A48" s="6"/>
      <c r="B48" s="6"/>
      <c r="C48" s="6"/>
      <c r="D48" s="6"/>
      <c r="E48" s="6"/>
      <c r="F48" s="6"/>
      <c r="G48" s="1"/>
      <c r="H48" s="1"/>
      <c r="I48" s="1"/>
      <c r="J48" s="1"/>
      <c r="K48" s="1"/>
      <c r="L48" s="1"/>
      <c r="M48" s="1"/>
    </row>
    <row r="49" spans="1:13" x14ac:dyDescent="0.2">
      <c r="A49" s="6"/>
      <c r="B49" s="6"/>
      <c r="C49" s="6"/>
      <c r="D49" s="6"/>
      <c r="E49" s="6"/>
      <c r="F49" s="6"/>
      <c r="G49" s="1"/>
      <c r="H49" s="1"/>
      <c r="I49" s="1"/>
      <c r="J49" s="1"/>
      <c r="K49" s="1"/>
      <c r="L49" s="1"/>
      <c r="M49" s="1"/>
    </row>
    <row r="50" spans="1:13" x14ac:dyDescent="0.2">
      <c r="A50" s="6"/>
      <c r="B50" s="6"/>
      <c r="C50" s="6"/>
      <c r="D50" s="6"/>
      <c r="E50" s="6"/>
      <c r="F50" s="6"/>
      <c r="G50" s="1"/>
      <c r="H50" s="1"/>
      <c r="I50" s="1"/>
      <c r="J50" s="1"/>
      <c r="K50" s="1"/>
      <c r="L50" s="1"/>
      <c r="M50" s="1"/>
    </row>
    <row r="51" spans="1:13" x14ac:dyDescent="0.2">
      <c r="A51" s="6"/>
      <c r="B51" s="6"/>
      <c r="C51" s="6"/>
      <c r="D51" s="6"/>
      <c r="E51" s="6"/>
      <c r="F51" s="6"/>
      <c r="G51" s="1"/>
      <c r="H51" s="1"/>
      <c r="I51" s="4"/>
      <c r="J51" s="1"/>
      <c r="K51" s="1"/>
      <c r="L51" s="1"/>
      <c r="M51" s="1"/>
    </row>
    <row r="52" spans="1:13" x14ac:dyDescent="0.2">
      <c r="A52" s="6"/>
      <c r="B52" s="6"/>
      <c r="C52" s="6"/>
      <c r="D52" s="6"/>
      <c r="E52" s="6"/>
      <c r="F52" s="6"/>
      <c r="M52" s="2"/>
    </row>
    <row r="53" spans="1:13" x14ac:dyDescent="0.2">
      <c r="A53" s="6"/>
      <c r="B53" s="6"/>
      <c r="C53" s="6"/>
      <c r="D53" s="6"/>
      <c r="E53" s="6"/>
      <c r="F53" s="6"/>
      <c r="M53" s="2"/>
    </row>
    <row r="54" spans="1:13" x14ac:dyDescent="0.2">
      <c r="A54" s="6"/>
      <c r="B54" s="6"/>
      <c r="C54" s="6"/>
      <c r="D54" s="6"/>
      <c r="E54" s="6"/>
      <c r="F54" s="6"/>
      <c r="M54" s="2"/>
    </row>
    <row r="55" spans="1:13" x14ac:dyDescent="0.2">
      <c r="A55" s="6"/>
      <c r="B55" s="6"/>
      <c r="C55" s="6"/>
      <c r="D55" s="6"/>
      <c r="E55" s="6"/>
      <c r="F55" s="6"/>
      <c r="M55" s="2"/>
    </row>
    <row r="56" spans="1:13" x14ac:dyDescent="0.2">
      <c r="A56" s="6"/>
      <c r="B56" s="6"/>
      <c r="C56" s="6"/>
      <c r="D56" s="6"/>
      <c r="E56" s="6"/>
      <c r="F56" s="6"/>
      <c r="M56" s="2"/>
    </row>
    <row r="57" spans="1:13" x14ac:dyDescent="0.2">
      <c r="A57" s="6"/>
      <c r="B57" s="6"/>
      <c r="C57" s="6"/>
      <c r="D57" s="6"/>
      <c r="E57" s="6"/>
      <c r="F57" s="6"/>
      <c r="M57" s="2"/>
    </row>
    <row r="58" spans="1:13" x14ac:dyDescent="0.2">
      <c r="A58" s="6"/>
      <c r="B58" s="6"/>
      <c r="C58" s="6"/>
      <c r="D58" s="6"/>
      <c r="E58" s="6"/>
      <c r="F58" s="6"/>
      <c r="M58" s="2"/>
    </row>
    <row r="59" spans="1:13" x14ac:dyDescent="0.2">
      <c r="A59" s="6"/>
      <c r="B59" s="6"/>
      <c r="C59" s="6"/>
      <c r="D59" s="6"/>
      <c r="E59" s="6"/>
      <c r="F59" s="6"/>
      <c r="M59" s="2"/>
    </row>
    <row r="60" spans="1:13" x14ac:dyDescent="0.2">
      <c r="A60" s="6"/>
      <c r="B60" s="6"/>
      <c r="C60" s="6"/>
      <c r="D60" s="6"/>
      <c r="E60" s="6"/>
      <c r="F60" s="6"/>
      <c r="M60" s="2"/>
    </row>
    <row r="61" spans="1:13" x14ac:dyDescent="0.2">
      <c r="A61" s="6"/>
      <c r="B61" s="6"/>
      <c r="C61" s="6"/>
      <c r="D61" s="6"/>
      <c r="E61" s="6"/>
      <c r="F61" s="6"/>
      <c r="M61" s="2"/>
    </row>
    <row r="62" spans="1:13" x14ac:dyDescent="0.2">
      <c r="A62" s="6"/>
      <c r="B62" s="6"/>
      <c r="C62" s="6"/>
      <c r="D62" s="6"/>
      <c r="E62" s="6"/>
      <c r="F62" s="6"/>
      <c r="M62" s="2"/>
    </row>
    <row r="63" spans="1:13" x14ac:dyDescent="0.2">
      <c r="A63" s="6"/>
      <c r="B63" s="6"/>
      <c r="C63" s="6"/>
      <c r="D63" s="6"/>
      <c r="E63" s="6"/>
      <c r="F63" s="6"/>
      <c r="M63" s="2"/>
    </row>
    <row r="64" spans="1:13" x14ac:dyDescent="0.2">
      <c r="A64" s="6"/>
      <c r="B64" s="6"/>
      <c r="C64" s="6"/>
      <c r="D64" s="6"/>
      <c r="E64" s="6"/>
      <c r="F64" s="6"/>
      <c r="M64" s="2"/>
    </row>
    <row r="65" spans="1:13" x14ac:dyDescent="0.2">
      <c r="A65" s="6"/>
      <c r="B65" s="6"/>
      <c r="C65" s="6"/>
      <c r="D65" s="6"/>
      <c r="E65" s="6"/>
      <c r="F65" s="6"/>
      <c r="M65" s="2"/>
    </row>
    <row r="66" spans="1:13" x14ac:dyDescent="0.2">
      <c r="A66" s="6"/>
      <c r="B66" s="6"/>
      <c r="C66" s="6"/>
      <c r="D66" s="6"/>
      <c r="E66" s="6"/>
      <c r="F66" s="6"/>
      <c r="M66" s="2"/>
    </row>
    <row r="67" spans="1:13" x14ac:dyDescent="0.2">
      <c r="A67" s="6"/>
      <c r="B67" s="6"/>
      <c r="C67" s="6"/>
      <c r="D67" s="6"/>
      <c r="E67" s="6"/>
      <c r="F67" s="6"/>
      <c r="M67" s="2"/>
    </row>
    <row r="68" spans="1:13" x14ac:dyDescent="0.2">
      <c r="A68" s="6"/>
      <c r="B68" s="6"/>
      <c r="C68" s="6"/>
      <c r="D68" s="6"/>
      <c r="E68" s="6"/>
      <c r="F68" s="6"/>
      <c r="M68" s="2"/>
    </row>
    <row r="69" spans="1:13" x14ac:dyDescent="0.2">
      <c r="A69" s="6"/>
      <c r="B69" s="6"/>
      <c r="C69" s="6"/>
      <c r="D69" s="6"/>
      <c r="E69" s="6"/>
      <c r="F69" s="6"/>
      <c r="M69" s="2"/>
    </row>
    <row r="70" spans="1:13" x14ac:dyDescent="0.2">
      <c r="A70" s="6"/>
      <c r="B70" s="6"/>
      <c r="C70" s="6"/>
      <c r="D70" s="6"/>
      <c r="E70" s="6"/>
      <c r="F70" s="6"/>
      <c r="M70" s="2"/>
    </row>
    <row r="71" spans="1:13" x14ac:dyDescent="0.2">
      <c r="A71" s="6"/>
      <c r="B71" s="6"/>
      <c r="C71" s="6"/>
      <c r="D71" s="6"/>
      <c r="E71" s="6"/>
      <c r="F71" s="6"/>
      <c r="M71" s="2"/>
    </row>
    <row r="72" spans="1:13" x14ac:dyDescent="0.2">
      <c r="A72" s="6"/>
      <c r="B72" s="6"/>
      <c r="C72" s="6"/>
      <c r="D72" s="6"/>
      <c r="E72" s="6"/>
      <c r="F72" s="6"/>
      <c r="G72" s="5"/>
      <c r="H72" s="5"/>
      <c r="I72" s="5"/>
      <c r="J72" s="5"/>
      <c r="K72" s="5"/>
      <c r="L72" s="5"/>
      <c r="M72" s="2"/>
    </row>
    <row r="73" spans="1:13" x14ac:dyDescent="0.2">
      <c r="A73" s="6"/>
      <c r="B73" s="6"/>
      <c r="C73" s="6"/>
      <c r="D73" s="6"/>
      <c r="E73" s="6"/>
      <c r="F73" s="6"/>
      <c r="M73" s="2"/>
    </row>
    <row r="74" spans="1:13" x14ac:dyDescent="0.2">
      <c r="A74" s="6"/>
      <c r="B74" s="6"/>
      <c r="C74" s="6"/>
      <c r="D74" s="6"/>
      <c r="E74" s="6"/>
      <c r="F74" s="6"/>
      <c r="M74" s="2"/>
    </row>
    <row r="75" spans="1:13" x14ac:dyDescent="0.2">
      <c r="A75" s="6"/>
      <c r="B75" s="6"/>
      <c r="C75" s="6"/>
      <c r="D75" s="6"/>
      <c r="E75" s="6"/>
      <c r="F75" s="6"/>
      <c r="M75" s="2"/>
    </row>
    <row r="76" spans="1:13" x14ac:dyDescent="0.2">
      <c r="A76" s="6"/>
      <c r="B76" s="6"/>
      <c r="C76" s="6"/>
      <c r="D76" s="6"/>
      <c r="E76" s="6"/>
      <c r="F76" s="6"/>
      <c r="M76" s="2"/>
    </row>
    <row r="77" spans="1:13" x14ac:dyDescent="0.2">
      <c r="A77" s="6"/>
      <c r="B77" s="6"/>
      <c r="C77" s="6"/>
      <c r="D77" s="6"/>
      <c r="E77" s="6"/>
      <c r="F77" s="6"/>
      <c r="M77" s="2"/>
    </row>
    <row r="78" spans="1:13" x14ac:dyDescent="0.2">
      <c r="A78" s="6"/>
      <c r="B78" s="6"/>
      <c r="C78" s="6"/>
      <c r="D78" s="6"/>
      <c r="E78" s="6"/>
      <c r="F78" s="6"/>
      <c r="M78" s="2"/>
    </row>
    <row r="79" spans="1:13" x14ac:dyDescent="0.2">
      <c r="A79" s="6"/>
      <c r="B79" s="6"/>
      <c r="C79" s="6"/>
      <c r="D79" s="6"/>
      <c r="E79" s="6"/>
      <c r="F79" s="6"/>
      <c r="M79" s="2"/>
    </row>
    <row r="80" spans="1:13" x14ac:dyDescent="0.2">
      <c r="A80" s="6"/>
      <c r="B80" s="6"/>
      <c r="C80" s="6"/>
      <c r="D80" s="6"/>
      <c r="E80" s="6"/>
      <c r="F80" s="6"/>
      <c r="M80" s="2"/>
    </row>
    <row r="81" spans="1:13" x14ac:dyDescent="0.2">
      <c r="A81" s="6"/>
      <c r="B81" s="6"/>
      <c r="C81" s="6"/>
      <c r="D81" s="6"/>
      <c r="E81" s="6"/>
      <c r="F81" s="6"/>
      <c r="M81" s="2"/>
    </row>
    <row r="82" spans="1:13" x14ac:dyDescent="0.2">
      <c r="A82" s="6"/>
      <c r="B82" s="6"/>
      <c r="C82" s="6"/>
      <c r="D82" s="6"/>
      <c r="E82" s="6"/>
      <c r="F82" s="6"/>
      <c r="M82" s="2"/>
    </row>
    <row r="83" spans="1:13" x14ac:dyDescent="0.2">
      <c r="A83" s="6"/>
      <c r="B83" s="6"/>
      <c r="C83" s="6"/>
      <c r="D83" s="6"/>
      <c r="E83" s="6"/>
      <c r="F83" s="6"/>
      <c r="M83" s="2"/>
    </row>
    <row r="84" spans="1:13" x14ac:dyDescent="0.2">
      <c r="A84" s="6"/>
      <c r="B84" s="6"/>
      <c r="C84" s="6"/>
      <c r="D84" s="6"/>
      <c r="E84" s="6"/>
      <c r="F84" s="6"/>
      <c r="M84" s="2"/>
    </row>
    <row r="85" spans="1:13" x14ac:dyDescent="0.2">
      <c r="A85" s="6"/>
      <c r="B85" s="6"/>
      <c r="C85" s="6"/>
      <c r="D85" s="6"/>
      <c r="E85" s="6"/>
      <c r="F85" s="6"/>
      <c r="M85" s="2"/>
    </row>
    <row r="86" spans="1:13" x14ac:dyDescent="0.2">
      <c r="A86" s="6"/>
      <c r="B86" s="6"/>
      <c r="C86" s="6"/>
      <c r="D86" s="6"/>
      <c r="E86" s="6"/>
      <c r="F86" s="6"/>
      <c r="M86" s="2"/>
    </row>
    <row r="87" spans="1:13" x14ac:dyDescent="0.2">
      <c r="A87" s="6"/>
      <c r="B87" s="6"/>
      <c r="C87" s="6"/>
      <c r="D87" s="6"/>
      <c r="E87" s="6"/>
      <c r="F87" s="6"/>
      <c r="M87" s="2"/>
    </row>
    <row r="88" spans="1:13" x14ac:dyDescent="0.2">
      <c r="A88" s="6"/>
      <c r="B88" s="6"/>
      <c r="C88" s="6"/>
      <c r="D88" s="6"/>
      <c r="E88" s="6"/>
      <c r="F88" s="6"/>
      <c r="M88" s="2"/>
    </row>
    <row r="89" spans="1:13" x14ac:dyDescent="0.2">
      <c r="A89" s="6"/>
      <c r="B89" s="6"/>
      <c r="C89" s="6"/>
      <c r="D89" s="6"/>
      <c r="E89" s="6"/>
      <c r="F89" s="6"/>
      <c r="M89" s="2"/>
    </row>
    <row r="90" spans="1:13" x14ac:dyDescent="0.2">
      <c r="A90" s="6"/>
      <c r="B90" s="6"/>
      <c r="C90" s="6"/>
      <c r="D90" s="6"/>
      <c r="E90" s="6"/>
      <c r="F90" s="6"/>
      <c r="M90" s="2"/>
    </row>
    <row r="91" spans="1:13" x14ac:dyDescent="0.2">
      <c r="A91" s="6"/>
      <c r="B91" s="6"/>
      <c r="C91" s="6"/>
      <c r="D91" s="6"/>
      <c r="E91" s="6"/>
      <c r="F91" s="6"/>
      <c r="M91" s="2"/>
    </row>
    <row r="92" spans="1:13" x14ac:dyDescent="0.2">
      <c r="A92" s="6"/>
      <c r="B92" s="6"/>
      <c r="C92" s="6"/>
      <c r="D92" s="6"/>
      <c r="E92" s="6"/>
      <c r="F92" s="6"/>
      <c r="M92" s="2"/>
    </row>
    <row r="93" spans="1:13" x14ac:dyDescent="0.2">
      <c r="A93" s="6"/>
      <c r="B93" s="6"/>
      <c r="C93" s="6"/>
      <c r="D93" s="6"/>
      <c r="E93" s="6"/>
      <c r="F93" s="6"/>
      <c r="M93" s="2"/>
    </row>
    <row r="94" spans="1:13" x14ac:dyDescent="0.2">
      <c r="A94" s="6"/>
      <c r="B94" s="6"/>
      <c r="C94" s="6"/>
      <c r="D94" s="6"/>
      <c r="E94" s="6"/>
      <c r="F94" s="6"/>
      <c r="M94" s="2"/>
    </row>
    <row r="95" spans="1:13" x14ac:dyDescent="0.2">
      <c r="A95" s="6"/>
      <c r="B95" s="6"/>
      <c r="C95" s="6"/>
      <c r="D95" s="6"/>
      <c r="E95" s="6"/>
      <c r="F95" s="6"/>
      <c r="M95" s="2"/>
    </row>
    <row r="96" spans="1:13" x14ac:dyDescent="0.2">
      <c r="A96" s="6"/>
      <c r="B96" s="6"/>
      <c r="C96" s="6"/>
      <c r="D96" s="6"/>
      <c r="E96" s="6"/>
      <c r="F96" s="6"/>
      <c r="G96" s="3"/>
      <c r="H96" s="3"/>
      <c r="I96" s="3"/>
      <c r="M96" s="2"/>
    </row>
    <row r="97" spans="1:13" x14ac:dyDescent="0.2">
      <c r="A97" s="6"/>
      <c r="B97" s="6"/>
      <c r="C97" s="6"/>
      <c r="D97" s="6"/>
      <c r="E97" s="6"/>
      <c r="F97" s="6"/>
      <c r="M97" s="2"/>
    </row>
    <row r="98" spans="1:13" x14ac:dyDescent="0.2">
      <c r="A98" s="6"/>
      <c r="B98" s="6"/>
      <c r="C98" s="6"/>
      <c r="D98" s="6"/>
      <c r="E98" s="6"/>
      <c r="F98" s="6"/>
      <c r="M98" s="2"/>
    </row>
    <row r="99" spans="1:13" x14ac:dyDescent="0.2">
      <c r="A99" s="6"/>
      <c r="B99" s="6"/>
      <c r="C99" s="6"/>
      <c r="D99" s="6"/>
      <c r="E99" s="6"/>
      <c r="F99" s="6"/>
      <c r="M99" s="2"/>
    </row>
    <row r="100" spans="1:13" x14ac:dyDescent="0.2">
      <c r="A100" s="6"/>
      <c r="B100" s="6"/>
      <c r="C100" s="6"/>
      <c r="D100" s="6"/>
      <c r="E100" s="6"/>
      <c r="F100" s="6"/>
      <c r="M100" s="2"/>
    </row>
    <row r="101" spans="1:13" x14ac:dyDescent="0.2">
      <c r="A101" s="6"/>
      <c r="B101" s="6"/>
      <c r="C101" s="6"/>
      <c r="D101" s="6"/>
      <c r="E101" s="6"/>
      <c r="F101" s="6"/>
      <c r="M101" s="2"/>
    </row>
    <row r="102" spans="1:13" x14ac:dyDescent="0.2">
      <c r="A102" s="6"/>
      <c r="B102" s="6"/>
      <c r="C102" s="6"/>
      <c r="D102" s="6"/>
      <c r="E102" s="6"/>
      <c r="F102" s="6"/>
      <c r="M102" s="2"/>
    </row>
    <row r="103" spans="1:13" x14ac:dyDescent="0.2">
      <c r="A103" s="6"/>
      <c r="B103" s="6"/>
      <c r="C103" s="6"/>
      <c r="D103" s="6"/>
      <c r="E103" s="6"/>
      <c r="F103" s="6"/>
      <c r="M103" s="2"/>
    </row>
    <row r="104" spans="1:13" x14ac:dyDescent="0.2">
      <c r="A104" s="6"/>
      <c r="B104" s="6"/>
      <c r="C104" s="6"/>
      <c r="D104" s="6"/>
      <c r="E104" s="6"/>
      <c r="F104" s="6"/>
      <c r="M104" s="2"/>
    </row>
    <row r="105" spans="1:13" x14ac:dyDescent="0.2">
      <c r="A105" s="6"/>
      <c r="B105" s="6"/>
      <c r="C105" s="6"/>
      <c r="D105" s="6"/>
      <c r="E105" s="6"/>
      <c r="F105" s="6"/>
      <c r="M105" s="2"/>
    </row>
    <row r="106" spans="1:13" x14ac:dyDescent="0.2">
      <c r="A106" s="6"/>
      <c r="B106" s="6"/>
      <c r="C106" s="6"/>
      <c r="D106" s="6"/>
      <c r="E106" s="6"/>
      <c r="F106" s="6"/>
      <c r="M106" s="2"/>
    </row>
    <row r="107" spans="1:13" x14ac:dyDescent="0.2">
      <c r="A107" s="6"/>
      <c r="B107" s="6"/>
      <c r="C107" s="6"/>
      <c r="D107" s="6"/>
      <c r="E107" s="6"/>
      <c r="F107" s="6"/>
      <c r="M107" s="2"/>
    </row>
    <row r="108" spans="1:13" x14ac:dyDescent="0.2">
      <c r="A108" s="6"/>
      <c r="B108" s="6"/>
      <c r="C108" s="6"/>
      <c r="D108" s="6"/>
      <c r="E108" s="6"/>
      <c r="F108" s="6"/>
      <c r="M108" s="2"/>
    </row>
    <row r="109" spans="1:13" x14ac:dyDescent="0.2">
      <c r="A109" s="6"/>
      <c r="B109" s="6"/>
      <c r="C109" s="6"/>
      <c r="D109" s="6"/>
      <c r="E109" s="6"/>
      <c r="F109" s="6"/>
      <c r="M109" s="2"/>
    </row>
    <row r="110" spans="1:13" x14ac:dyDescent="0.2">
      <c r="A110" s="6"/>
      <c r="B110" s="6"/>
      <c r="C110" s="6"/>
      <c r="D110" s="6"/>
      <c r="E110" s="6"/>
      <c r="F110" s="6"/>
      <c r="M110" s="2"/>
    </row>
    <row r="111" spans="1:13" x14ac:dyDescent="0.2">
      <c r="A111" s="6"/>
      <c r="B111" s="6"/>
      <c r="C111" s="6"/>
      <c r="D111" s="6"/>
      <c r="E111" s="6"/>
      <c r="F111" s="6"/>
      <c r="M111" s="2"/>
    </row>
    <row r="112" spans="1:13" x14ac:dyDescent="0.2">
      <c r="A112" s="6"/>
      <c r="B112" s="6"/>
      <c r="C112" s="6"/>
      <c r="D112" s="6"/>
      <c r="E112" s="6"/>
      <c r="F112" s="6"/>
      <c r="M112" s="2"/>
    </row>
    <row r="113" spans="1:13" x14ac:dyDescent="0.2">
      <c r="A113" s="6"/>
      <c r="B113" s="6"/>
      <c r="C113" s="6"/>
      <c r="D113" s="6"/>
      <c r="E113" s="6"/>
      <c r="F113" s="6"/>
      <c r="M113" s="2"/>
    </row>
    <row r="114" spans="1:13" x14ac:dyDescent="0.2">
      <c r="A114" s="6"/>
      <c r="B114" s="6"/>
      <c r="C114" s="6"/>
      <c r="D114" s="6"/>
      <c r="E114" s="6"/>
      <c r="F114" s="6"/>
      <c r="M114" s="2"/>
    </row>
    <row r="115" spans="1:13" x14ac:dyDescent="0.2">
      <c r="A115" s="6"/>
      <c r="B115" s="6"/>
      <c r="C115" s="6"/>
      <c r="D115" s="6"/>
      <c r="E115" s="6"/>
      <c r="F115" s="6"/>
      <c r="M115" s="2"/>
    </row>
    <row r="116" spans="1:13" x14ac:dyDescent="0.2">
      <c r="A116" s="6"/>
      <c r="B116" s="6"/>
      <c r="C116" s="6"/>
      <c r="D116" s="6"/>
      <c r="E116" s="6"/>
      <c r="F116" s="6"/>
      <c r="M116" s="2"/>
    </row>
    <row r="117" spans="1:13" x14ac:dyDescent="0.2">
      <c r="A117" s="6"/>
      <c r="B117" s="6"/>
      <c r="C117" s="6"/>
      <c r="D117" s="6"/>
      <c r="E117" s="6"/>
      <c r="F117" s="6"/>
      <c r="M117" s="2"/>
    </row>
    <row r="118" spans="1:13" x14ac:dyDescent="0.2">
      <c r="A118" s="6"/>
      <c r="B118" s="6"/>
      <c r="C118" s="6"/>
      <c r="D118" s="6"/>
      <c r="E118" s="6"/>
      <c r="F118" s="6"/>
      <c r="M118" s="2"/>
    </row>
    <row r="119" spans="1:13" x14ac:dyDescent="0.2">
      <c r="A119" s="6"/>
      <c r="B119" s="6"/>
      <c r="C119" s="6"/>
      <c r="D119" s="6"/>
      <c r="E119" s="6"/>
      <c r="F119" s="6"/>
      <c r="M119" s="2"/>
    </row>
    <row r="120" spans="1:13" x14ac:dyDescent="0.2">
      <c r="A120" s="6"/>
      <c r="B120" s="6"/>
      <c r="C120" s="6"/>
      <c r="D120" s="6"/>
      <c r="E120" s="6"/>
      <c r="F120" s="6"/>
      <c r="M120" s="2"/>
    </row>
    <row r="121" spans="1:13" x14ac:dyDescent="0.2">
      <c r="A121" s="6"/>
      <c r="B121" s="6"/>
      <c r="C121" s="6"/>
      <c r="D121" s="6"/>
      <c r="E121" s="6"/>
      <c r="F121" s="6"/>
      <c r="M121" s="2"/>
    </row>
    <row r="122" spans="1:13" x14ac:dyDescent="0.2">
      <c r="A122" s="6"/>
      <c r="B122" s="6"/>
      <c r="C122" s="6"/>
      <c r="D122" s="6"/>
      <c r="E122" s="6"/>
      <c r="F122" s="6"/>
      <c r="M122" s="2"/>
    </row>
    <row r="123" spans="1:13" x14ac:dyDescent="0.2">
      <c r="A123" s="6"/>
      <c r="B123" s="6"/>
      <c r="C123" s="6"/>
      <c r="D123" s="6"/>
      <c r="E123" s="6"/>
      <c r="F123" s="6"/>
      <c r="M123" s="2"/>
    </row>
    <row r="124" spans="1:13" x14ac:dyDescent="0.2">
      <c r="A124" s="6"/>
      <c r="B124" s="6"/>
      <c r="C124" s="6"/>
      <c r="D124" s="6"/>
      <c r="E124" s="6"/>
      <c r="F124" s="6"/>
      <c r="M124" s="2"/>
    </row>
    <row r="125" spans="1:13" x14ac:dyDescent="0.2">
      <c r="A125" s="6"/>
      <c r="B125" s="6"/>
      <c r="C125" s="6"/>
      <c r="D125" s="6"/>
      <c r="E125" s="6"/>
      <c r="F125" s="6"/>
      <c r="M125" s="2"/>
    </row>
    <row r="126" spans="1:13" x14ac:dyDescent="0.2">
      <c r="A126" s="6"/>
      <c r="B126" s="6"/>
      <c r="C126" s="6"/>
      <c r="D126" s="6"/>
      <c r="E126" s="6"/>
      <c r="F126" s="6"/>
      <c r="M126" s="2"/>
    </row>
    <row r="127" spans="1:13" x14ac:dyDescent="0.2">
      <c r="A127" s="6"/>
      <c r="B127" s="6"/>
      <c r="C127" s="6"/>
      <c r="D127" s="6"/>
      <c r="E127" s="6"/>
      <c r="F127" s="6"/>
      <c r="M127" s="2"/>
    </row>
    <row r="128" spans="1:13" x14ac:dyDescent="0.2">
      <c r="A128" s="6"/>
      <c r="B128" s="6"/>
      <c r="C128" s="6"/>
      <c r="D128" s="6"/>
      <c r="E128" s="6"/>
      <c r="F128" s="6"/>
      <c r="M128" s="2"/>
    </row>
    <row r="129" spans="1:13" x14ac:dyDescent="0.2">
      <c r="A129" s="6"/>
      <c r="B129" s="6"/>
      <c r="C129" s="6"/>
      <c r="D129" s="6"/>
      <c r="E129" s="6"/>
      <c r="F129" s="6"/>
      <c r="M129" s="2"/>
    </row>
    <row r="130" spans="1:13" x14ac:dyDescent="0.2">
      <c r="A130" s="6"/>
      <c r="B130" s="6"/>
      <c r="C130" s="6"/>
      <c r="D130" s="6"/>
      <c r="E130" s="6"/>
      <c r="F130" s="6"/>
      <c r="M130" s="2"/>
    </row>
    <row r="131" spans="1:13" x14ac:dyDescent="0.2">
      <c r="A131" s="6"/>
      <c r="B131" s="6"/>
      <c r="C131" s="6"/>
      <c r="D131" s="6"/>
      <c r="E131" s="6"/>
      <c r="F131" s="6"/>
      <c r="M131" s="2"/>
    </row>
    <row r="132" spans="1:13" x14ac:dyDescent="0.2">
      <c r="A132" s="6"/>
      <c r="B132" s="6"/>
      <c r="C132" s="6"/>
      <c r="D132" s="6"/>
      <c r="E132" s="6"/>
      <c r="F132" s="6"/>
      <c r="M132" s="2"/>
    </row>
    <row r="133" spans="1:13" x14ac:dyDescent="0.2">
      <c r="A133" s="6"/>
      <c r="B133" s="6"/>
      <c r="C133" s="6"/>
      <c r="D133" s="6"/>
      <c r="E133" s="6"/>
      <c r="F133" s="6"/>
      <c r="M133" s="2"/>
    </row>
    <row r="134" spans="1:13" x14ac:dyDescent="0.2">
      <c r="A134" s="6"/>
      <c r="B134" s="6"/>
      <c r="C134" s="6"/>
      <c r="D134" s="6"/>
      <c r="E134" s="6"/>
      <c r="F134" s="6"/>
      <c r="M134" s="2"/>
    </row>
    <row r="135" spans="1:13" x14ac:dyDescent="0.2">
      <c r="A135" s="6"/>
      <c r="B135" s="6"/>
      <c r="C135" s="6"/>
      <c r="D135" s="6"/>
      <c r="E135" s="6"/>
      <c r="F135" s="6"/>
      <c r="M135" s="2"/>
    </row>
    <row r="136" spans="1:13" x14ac:dyDescent="0.2">
      <c r="A136" s="6"/>
      <c r="B136" s="6"/>
      <c r="C136" s="6"/>
      <c r="D136" s="6"/>
      <c r="E136" s="6"/>
      <c r="F136" s="6"/>
      <c r="M136" s="2"/>
    </row>
    <row r="137" spans="1:13" x14ac:dyDescent="0.2">
      <c r="A137" s="6"/>
      <c r="B137" s="6"/>
      <c r="C137" s="6"/>
      <c r="D137" s="6"/>
      <c r="E137" s="6"/>
      <c r="F137" s="6"/>
      <c r="M137" s="2"/>
    </row>
    <row r="138" spans="1:13" x14ac:dyDescent="0.2">
      <c r="A138" s="6"/>
      <c r="B138" s="6"/>
      <c r="C138" s="6"/>
      <c r="D138" s="6"/>
      <c r="E138" s="6"/>
      <c r="F138" s="6"/>
      <c r="M138" s="2"/>
    </row>
    <row r="139" spans="1:13" x14ac:dyDescent="0.2">
      <c r="A139" s="6"/>
      <c r="B139" s="6"/>
      <c r="C139" s="6"/>
      <c r="D139" s="6"/>
      <c r="E139" s="6"/>
      <c r="F139" s="6"/>
      <c r="M139" s="2"/>
    </row>
    <row r="140" spans="1:13" x14ac:dyDescent="0.2">
      <c r="A140" s="6"/>
      <c r="B140" s="6"/>
      <c r="C140" s="6"/>
      <c r="D140" s="6"/>
      <c r="E140" s="6"/>
      <c r="F140" s="6"/>
      <c r="M140" s="2"/>
    </row>
    <row r="141" spans="1:13" x14ac:dyDescent="0.2">
      <c r="A141" s="6"/>
      <c r="B141" s="6"/>
      <c r="C141" s="6"/>
      <c r="D141" s="6"/>
      <c r="E141" s="6"/>
      <c r="F141" s="6"/>
      <c r="G141" s="3"/>
      <c r="H141" s="3"/>
      <c r="I141" s="3"/>
      <c r="M141" s="2"/>
    </row>
    <row r="142" spans="1:13" x14ac:dyDescent="0.2">
      <c r="A142" s="6"/>
      <c r="B142" s="6"/>
      <c r="C142" s="6"/>
      <c r="D142" s="6"/>
      <c r="E142" s="6"/>
      <c r="F142" s="6"/>
      <c r="M142" s="2"/>
    </row>
    <row r="143" spans="1:13" x14ac:dyDescent="0.2">
      <c r="A143" s="6"/>
      <c r="B143" s="6"/>
      <c r="C143" s="6"/>
      <c r="D143" s="6"/>
      <c r="E143" s="6"/>
      <c r="F143" s="6"/>
      <c r="M143" s="2"/>
    </row>
    <row r="144" spans="1:13" x14ac:dyDescent="0.2">
      <c r="A144" s="6"/>
      <c r="B144" s="6"/>
      <c r="C144" s="6"/>
      <c r="D144" s="6"/>
      <c r="E144" s="6"/>
      <c r="F144" s="6"/>
      <c r="M144" s="2"/>
    </row>
    <row r="145" spans="1:13" x14ac:dyDescent="0.2">
      <c r="A145" s="6"/>
      <c r="B145" s="6"/>
      <c r="C145" s="6"/>
      <c r="D145" s="6"/>
      <c r="E145" s="6"/>
      <c r="F145" s="6"/>
      <c r="M145" s="2"/>
    </row>
    <row r="146" spans="1:13" x14ac:dyDescent="0.2">
      <c r="A146" s="6"/>
      <c r="B146" s="6"/>
      <c r="C146" s="6"/>
      <c r="D146" s="6"/>
      <c r="E146" s="6"/>
      <c r="F146" s="6"/>
      <c r="M146" s="2"/>
    </row>
    <row r="147" spans="1:13" x14ac:dyDescent="0.2">
      <c r="A147" s="6"/>
      <c r="B147" s="6"/>
      <c r="C147" s="6"/>
      <c r="D147" s="6"/>
      <c r="E147" s="6"/>
      <c r="F147" s="6"/>
      <c r="M147" s="2"/>
    </row>
    <row r="148" spans="1:13" x14ac:dyDescent="0.2">
      <c r="A148" s="6"/>
      <c r="B148" s="6"/>
      <c r="C148" s="6"/>
      <c r="D148" s="6"/>
      <c r="E148" s="6"/>
      <c r="F148" s="6"/>
      <c r="M148" s="2"/>
    </row>
    <row r="149" spans="1:13" x14ac:dyDescent="0.2">
      <c r="A149" s="6"/>
      <c r="B149" s="6"/>
      <c r="C149" s="6"/>
      <c r="D149" s="6"/>
      <c r="E149" s="6"/>
      <c r="F149" s="6"/>
      <c r="M149" s="2"/>
    </row>
    <row r="150" spans="1:13" x14ac:dyDescent="0.2">
      <c r="A150" s="6"/>
      <c r="B150" s="6"/>
      <c r="C150" s="6"/>
      <c r="D150" s="6"/>
      <c r="E150" s="6"/>
      <c r="F150" s="6"/>
      <c r="M150" s="2"/>
    </row>
    <row r="151" spans="1:13" x14ac:dyDescent="0.2">
      <c r="A151" s="6"/>
      <c r="B151" s="6"/>
      <c r="C151" s="6"/>
      <c r="D151" s="6"/>
      <c r="E151" s="6"/>
      <c r="F151" s="6"/>
      <c r="M151" s="2"/>
    </row>
    <row r="152" spans="1:13" x14ac:dyDescent="0.2">
      <c r="A152" s="6"/>
      <c r="B152" s="6"/>
      <c r="C152" s="6"/>
      <c r="D152" s="6"/>
      <c r="E152" s="6"/>
      <c r="F152" s="6"/>
      <c r="M152" s="2"/>
    </row>
    <row r="153" spans="1:13" x14ac:dyDescent="0.2">
      <c r="A153" s="6"/>
      <c r="B153" s="6"/>
      <c r="C153" s="6"/>
      <c r="D153" s="6"/>
      <c r="E153" s="6"/>
      <c r="F153" s="6"/>
      <c r="M153" s="2"/>
    </row>
    <row r="154" spans="1:13" x14ac:dyDescent="0.2">
      <c r="A154" s="6"/>
      <c r="B154" s="6"/>
      <c r="C154" s="6"/>
      <c r="D154" s="6"/>
      <c r="E154" s="6"/>
      <c r="F154" s="6"/>
      <c r="M154" s="2"/>
    </row>
    <row r="155" spans="1:13" x14ac:dyDescent="0.2">
      <c r="A155" s="6"/>
      <c r="B155" s="6"/>
      <c r="C155" s="6"/>
      <c r="D155" s="6"/>
      <c r="E155" s="6"/>
      <c r="F155" s="6"/>
      <c r="M155" s="2"/>
    </row>
    <row r="156" spans="1:13" x14ac:dyDescent="0.2">
      <c r="A156" s="6"/>
      <c r="B156" s="6"/>
      <c r="C156" s="6"/>
      <c r="D156" s="6"/>
      <c r="E156" s="6"/>
      <c r="F156" s="6"/>
      <c r="M156" s="2"/>
    </row>
    <row r="157" spans="1:13" x14ac:dyDescent="0.2">
      <c r="A157" s="6"/>
      <c r="B157" s="6"/>
      <c r="C157" s="6"/>
      <c r="D157" s="6"/>
      <c r="E157" s="6"/>
      <c r="F157" s="6"/>
      <c r="M157" s="2"/>
    </row>
    <row r="158" spans="1:13" x14ac:dyDescent="0.2">
      <c r="A158" s="6"/>
      <c r="B158" s="6"/>
      <c r="C158" s="6"/>
      <c r="D158" s="6"/>
      <c r="E158" s="6"/>
      <c r="F158" s="6"/>
      <c r="M158" s="2"/>
    </row>
    <row r="159" spans="1:13" x14ac:dyDescent="0.2">
      <c r="A159" s="6"/>
      <c r="B159" s="6"/>
      <c r="C159" s="6"/>
      <c r="D159" s="6"/>
      <c r="E159" s="6"/>
      <c r="F159" s="6"/>
      <c r="M159" s="2"/>
    </row>
    <row r="160" spans="1:13" x14ac:dyDescent="0.2">
      <c r="A160" s="6"/>
      <c r="B160" s="6"/>
      <c r="C160" s="6"/>
      <c r="D160" s="6"/>
      <c r="E160" s="6"/>
      <c r="F160" s="6"/>
      <c r="M160" s="2"/>
    </row>
    <row r="161" spans="1:13" x14ac:dyDescent="0.2">
      <c r="A161" s="6"/>
      <c r="B161" s="6"/>
      <c r="C161" s="6"/>
      <c r="D161" s="6"/>
      <c r="E161" s="6"/>
      <c r="F161" s="6"/>
      <c r="M161" s="2"/>
    </row>
    <row r="162" spans="1:13" x14ac:dyDescent="0.2">
      <c r="A162" s="6"/>
      <c r="B162" s="6"/>
      <c r="C162" s="6"/>
      <c r="D162" s="6"/>
      <c r="E162" s="6"/>
      <c r="F162" s="6"/>
      <c r="M162" s="2"/>
    </row>
    <row r="163" spans="1:13" x14ac:dyDescent="0.2">
      <c r="A163" s="6"/>
      <c r="B163" s="6"/>
      <c r="C163" s="6"/>
      <c r="D163" s="6"/>
      <c r="E163" s="6"/>
      <c r="F163" s="6"/>
      <c r="M163" s="2"/>
    </row>
    <row r="164" spans="1:13" x14ac:dyDescent="0.2">
      <c r="A164" s="6"/>
      <c r="B164" s="6"/>
      <c r="C164" s="6"/>
      <c r="D164" s="6"/>
      <c r="E164" s="6"/>
      <c r="F164" s="6"/>
      <c r="M164" s="2"/>
    </row>
    <row r="165" spans="1:13" x14ac:dyDescent="0.2">
      <c r="A165" s="6"/>
      <c r="B165" s="6"/>
      <c r="C165" s="6"/>
      <c r="D165" s="6"/>
      <c r="E165" s="6"/>
      <c r="F165" s="6"/>
      <c r="M165" s="2"/>
    </row>
    <row r="166" spans="1:13" x14ac:dyDescent="0.2">
      <c r="A166" s="6"/>
      <c r="B166" s="6"/>
      <c r="C166" s="6"/>
      <c r="D166" s="6"/>
      <c r="E166" s="6"/>
      <c r="F166" s="6"/>
      <c r="M166" s="2"/>
    </row>
    <row r="167" spans="1:13" x14ac:dyDescent="0.2">
      <c r="A167" s="6"/>
      <c r="B167" s="6"/>
      <c r="C167" s="6"/>
      <c r="D167" s="6"/>
      <c r="E167" s="6"/>
      <c r="F167" s="6"/>
      <c r="M167" s="2"/>
    </row>
    <row r="168" spans="1:13" x14ac:dyDescent="0.2">
      <c r="A168" s="6"/>
      <c r="B168" s="6"/>
      <c r="C168" s="6"/>
      <c r="D168" s="6"/>
      <c r="E168" s="6"/>
      <c r="F168" s="6"/>
      <c r="M168" s="2"/>
    </row>
    <row r="169" spans="1:13" x14ac:dyDescent="0.2">
      <c r="A169" s="6"/>
      <c r="B169" s="6"/>
      <c r="C169" s="6"/>
      <c r="D169" s="6"/>
      <c r="E169" s="6"/>
      <c r="F169" s="6"/>
      <c r="M169" s="2"/>
    </row>
    <row r="170" spans="1:13" x14ac:dyDescent="0.2">
      <c r="A170" s="6"/>
      <c r="B170" s="6"/>
      <c r="C170" s="6"/>
      <c r="D170" s="6"/>
      <c r="E170" s="6"/>
      <c r="F170" s="6"/>
      <c r="M170" s="2"/>
    </row>
    <row r="171" spans="1:13" x14ac:dyDescent="0.2">
      <c r="A171" s="6"/>
      <c r="B171" s="6"/>
      <c r="C171" s="6"/>
      <c r="D171" s="6"/>
      <c r="E171" s="6"/>
      <c r="F171" s="6"/>
      <c r="M171" s="2"/>
    </row>
    <row r="172" spans="1:13" x14ac:dyDescent="0.2">
      <c r="A172" s="6"/>
      <c r="B172" s="6"/>
      <c r="C172" s="6"/>
      <c r="D172" s="6"/>
      <c r="E172" s="6"/>
      <c r="F172" s="6"/>
      <c r="M172" s="2"/>
    </row>
    <row r="173" spans="1:13" x14ac:dyDescent="0.2">
      <c r="A173" s="6"/>
      <c r="B173" s="6"/>
      <c r="C173" s="6"/>
      <c r="D173" s="6"/>
      <c r="E173" s="6"/>
      <c r="F173" s="6"/>
      <c r="M173" s="2"/>
    </row>
    <row r="174" spans="1:13" x14ac:dyDescent="0.2">
      <c r="A174" s="6"/>
      <c r="B174" s="6"/>
      <c r="C174" s="6"/>
      <c r="D174" s="6"/>
      <c r="E174" s="6"/>
      <c r="F174" s="6"/>
      <c r="M174" s="2"/>
    </row>
    <row r="175" spans="1:13" x14ac:dyDescent="0.2">
      <c r="A175" s="6"/>
      <c r="B175" s="6"/>
      <c r="C175" s="6"/>
      <c r="D175" s="6"/>
      <c r="E175" s="6"/>
      <c r="F175" s="6"/>
      <c r="M175" s="2"/>
    </row>
    <row r="176" spans="1:13" x14ac:dyDescent="0.2">
      <c r="A176" s="6"/>
      <c r="B176" s="6"/>
      <c r="C176" s="6"/>
      <c r="D176" s="6"/>
      <c r="E176" s="6"/>
      <c r="F176" s="6"/>
      <c r="M176" s="2"/>
    </row>
    <row r="177" spans="1:13" x14ac:dyDescent="0.2">
      <c r="A177" s="6"/>
      <c r="B177" s="6"/>
      <c r="C177" s="6"/>
      <c r="D177" s="6"/>
      <c r="E177" s="6"/>
      <c r="F177" s="6"/>
      <c r="M177" s="2"/>
    </row>
    <row r="178" spans="1:13" x14ac:dyDescent="0.2">
      <c r="A178" s="6"/>
      <c r="B178" s="6"/>
      <c r="C178" s="6"/>
      <c r="D178" s="6"/>
      <c r="E178" s="6"/>
      <c r="F178" s="6"/>
      <c r="M178" s="2"/>
    </row>
    <row r="179" spans="1:13" x14ac:dyDescent="0.2">
      <c r="A179" s="6"/>
      <c r="B179" s="6"/>
      <c r="C179" s="6"/>
      <c r="D179" s="6"/>
      <c r="E179" s="6"/>
      <c r="F179" s="6"/>
      <c r="M179" s="2"/>
    </row>
    <row r="180" spans="1:13" x14ac:dyDescent="0.2">
      <c r="A180" s="6"/>
      <c r="B180" s="6"/>
      <c r="C180" s="6"/>
      <c r="D180" s="6"/>
      <c r="E180" s="6"/>
      <c r="F180" s="6"/>
      <c r="M180" s="2"/>
    </row>
    <row r="181" spans="1:13" x14ac:dyDescent="0.2">
      <c r="A181" s="6"/>
      <c r="B181" s="6"/>
      <c r="C181" s="6"/>
      <c r="D181" s="6"/>
      <c r="E181" s="6"/>
      <c r="F181" s="6"/>
      <c r="M181" s="2"/>
    </row>
    <row r="182" spans="1:13" x14ac:dyDescent="0.2">
      <c r="A182" s="6"/>
      <c r="B182" s="6"/>
      <c r="C182" s="6"/>
      <c r="D182" s="6"/>
      <c r="E182" s="6"/>
      <c r="F182" s="6"/>
      <c r="M182" s="2"/>
    </row>
    <row r="183" spans="1:13" x14ac:dyDescent="0.2">
      <c r="A183" s="6"/>
      <c r="B183" s="6"/>
      <c r="C183" s="6"/>
      <c r="D183" s="6"/>
      <c r="E183" s="6"/>
      <c r="F183" s="6"/>
      <c r="M183" s="2"/>
    </row>
    <row r="184" spans="1:13" x14ac:dyDescent="0.2">
      <c r="A184" s="6"/>
      <c r="B184" s="6"/>
      <c r="C184" s="6"/>
      <c r="D184" s="6"/>
      <c r="E184" s="6"/>
      <c r="F184" s="6"/>
      <c r="M184" s="2"/>
    </row>
    <row r="185" spans="1:13" x14ac:dyDescent="0.2">
      <c r="A185" s="6"/>
      <c r="B185" s="6"/>
      <c r="C185" s="6"/>
      <c r="D185" s="6"/>
      <c r="E185" s="6"/>
      <c r="F185" s="6"/>
      <c r="M185" s="2"/>
    </row>
    <row r="186" spans="1:13" x14ac:dyDescent="0.2">
      <c r="A186" s="6"/>
      <c r="B186" s="6"/>
      <c r="C186" s="6"/>
      <c r="D186" s="6"/>
      <c r="E186" s="6"/>
      <c r="F186" s="6"/>
      <c r="G186" s="3"/>
      <c r="H186" s="3"/>
      <c r="I186" s="3"/>
      <c r="M186" s="2"/>
    </row>
    <row r="187" spans="1:13" x14ac:dyDescent="0.2">
      <c r="A187" s="6"/>
      <c r="B187" s="6"/>
      <c r="C187" s="6"/>
      <c r="D187" s="6"/>
      <c r="E187" s="6"/>
      <c r="F187" s="6"/>
      <c r="M187" s="2"/>
    </row>
    <row r="188" spans="1:13" x14ac:dyDescent="0.2">
      <c r="A188" s="6"/>
      <c r="B188" s="6"/>
      <c r="C188" s="6"/>
      <c r="D188" s="6"/>
      <c r="E188" s="6"/>
      <c r="F188" s="6"/>
      <c r="M188" s="2"/>
    </row>
    <row r="189" spans="1:13" x14ac:dyDescent="0.2">
      <c r="A189" s="6"/>
      <c r="B189" s="6"/>
      <c r="C189" s="6"/>
      <c r="D189" s="6"/>
      <c r="E189" s="6"/>
      <c r="F189" s="6"/>
      <c r="M189" s="2"/>
    </row>
    <row r="190" spans="1:13" x14ac:dyDescent="0.2">
      <c r="A190" s="6"/>
      <c r="B190" s="6"/>
      <c r="C190" s="6"/>
      <c r="D190" s="6"/>
      <c r="E190" s="6"/>
      <c r="F190" s="6"/>
      <c r="M190" s="2"/>
    </row>
    <row r="191" spans="1:13" x14ac:dyDescent="0.2">
      <c r="A191" s="6"/>
      <c r="B191" s="6"/>
      <c r="C191" s="6"/>
      <c r="D191" s="6"/>
      <c r="E191" s="6"/>
      <c r="F191" s="6"/>
      <c r="M191" s="2"/>
    </row>
    <row r="192" spans="1:13" x14ac:dyDescent="0.2">
      <c r="A192" s="6"/>
      <c r="B192" s="6"/>
      <c r="C192" s="6"/>
      <c r="D192" s="6"/>
      <c r="E192" s="6"/>
      <c r="F192" s="6"/>
      <c r="M192" s="2"/>
    </row>
    <row r="193" spans="1:13" x14ac:dyDescent="0.2">
      <c r="A193" s="6"/>
      <c r="B193" s="6"/>
      <c r="C193" s="6"/>
      <c r="D193" s="6"/>
      <c r="E193" s="6"/>
      <c r="F193" s="6"/>
      <c r="M193" s="2"/>
    </row>
    <row r="194" spans="1:13" x14ac:dyDescent="0.2">
      <c r="A194" s="6"/>
      <c r="B194" s="6"/>
      <c r="C194" s="6"/>
      <c r="D194" s="6"/>
      <c r="E194" s="6"/>
      <c r="F194" s="6"/>
      <c r="M194" s="2"/>
    </row>
    <row r="195" spans="1:13" x14ac:dyDescent="0.2">
      <c r="A195" s="6"/>
      <c r="B195" s="6"/>
      <c r="C195" s="6"/>
      <c r="D195" s="6"/>
      <c r="E195" s="6"/>
      <c r="F195" s="6"/>
      <c r="M195" s="2"/>
    </row>
    <row r="196" spans="1:13" x14ac:dyDescent="0.2">
      <c r="A196" s="6"/>
      <c r="B196" s="6"/>
      <c r="C196" s="6"/>
      <c r="D196" s="6"/>
      <c r="E196" s="6"/>
      <c r="F196" s="6"/>
      <c r="M196" s="2"/>
    </row>
    <row r="197" spans="1:13" x14ac:dyDescent="0.2">
      <c r="A197" s="6"/>
      <c r="B197" s="6"/>
      <c r="C197" s="6"/>
      <c r="D197" s="6"/>
      <c r="E197" s="6"/>
      <c r="F197" s="6"/>
      <c r="M197" s="2"/>
    </row>
    <row r="198" spans="1:13" x14ac:dyDescent="0.2">
      <c r="A198" s="6"/>
      <c r="B198" s="6"/>
      <c r="C198" s="6"/>
      <c r="D198" s="6"/>
      <c r="E198" s="6"/>
      <c r="F198" s="6"/>
      <c r="M198" s="2"/>
    </row>
    <row r="199" spans="1:13" x14ac:dyDescent="0.2">
      <c r="A199" s="6"/>
      <c r="B199" s="6"/>
      <c r="C199" s="6"/>
      <c r="D199" s="6"/>
      <c r="E199" s="6"/>
      <c r="F199" s="6"/>
      <c r="M199" s="2"/>
    </row>
    <row r="200" spans="1:13" x14ac:dyDescent="0.2">
      <c r="A200" s="6"/>
      <c r="B200" s="6"/>
      <c r="C200" s="6"/>
      <c r="D200" s="6"/>
      <c r="E200" s="6"/>
      <c r="F200" s="6"/>
      <c r="M200" s="2"/>
    </row>
    <row r="201" spans="1:13" x14ac:dyDescent="0.2">
      <c r="A201" s="6"/>
      <c r="B201" s="6"/>
      <c r="C201" s="6"/>
      <c r="D201" s="6"/>
      <c r="E201" s="6"/>
      <c r="F201" s="6"/>
      <c r="M201" s="2"/>
    </row>
    <row r="202" spans="1:13" x14ac:dyDescent="0.2">
      <c r="A202" s="6"/>
      <c r="B202" s="6"/>
      <c r="C202" s="6"/>
      <c r="D202" s="6"/>
      <c r="E202" s="6"/>
      <c r="F202" s="6"/>
      <c r="M202" s="2"/>
    </row>
    <row r="203" spans="1:13" x14ac:dyDescent="0.2">
      <c r="A203" s="6"/>
      <c r="B203" s="6"/>
      <c r="C203" s="6"/>
      <c r="D203" s="6"/>
      <c r="E203" s="6"/>
      <c r="F203" s="6"/>
      <c r="M203" s="2"/>
    </row>
    <row r="204" spans="1:13" x14ac:dyDescent="0.2">
      <c r="A204" s="6"/>
      <c r="B204" s="6"/>
      <c r="C204" s="6"/>
      <c r="D204" s="6"/>
      <c r="E204" s="6"/>
      <c r="F204" s="6"/>
      <c r="M204" s="2"/>
    </row>
    <row r="205" spans="1:13" x14ac:dyDescent="0.2">
      <c r="A205" s="6"/>
      <c r="B205" s="6"/>
      <c r="C205" s="6"/>
      <c r="D205" s="6"/>
      <c r="E205" s="6"/>
      <c r="F205" s="6"/>
      <c r="M205" s="2"/>
    </row>
    <row r="206" spans="1:13" x14ac:dyDescent="0.2">
      <c r="A206" s="6"/>
      <c r="B206" s="6"/>
      <c r="C206" s="6"/>
      <c r="D206" s="6"/>
      <c r="E206" s="6"/>
      <c r="F206" s="6"/>
      <c r="M206" s="2"/>
    </row>
    <row r="207" spans="1:13" x14ac:dyDescent="0.2">
      <c r="A207" s="6"/>
      <c r="B207" s="6"/>
      <c r="C207" s="6"/>
      <c r="D207" s="6"/>
      <c r="E207" s="6"/>
      <c r="F207" s="6"/>
      <c r="M207" s="2"/>
    </row>
    <row r="208" spans="1:13" x14ac:dyDescent="0.2">
      <c r="A208" s="6"/>
      <c r="B208" s="6"/>
      <c r="C208" s="6"/>
      <c r="D208" s="6"/>
      <c r="E208" s="6"/>
      <c r="F208" s="6"/>
      <c r="M208" s="2"/>
    </row>
    <row r="209" spans="1:13" x14ac:dyDescent="0.2">
      <c r="A209" s="6"/>
      <c r="B209" s="6"/>
      <c r="C209" s="6"/>
      <c r="D209" s="6"/>
      <c r="E209" s="6"/>
      <c r="F209" s="6"/>
      <c r="M209" s="2"/>
    </row>
    <row r="210" spans="1:13" x14ac:dyDescent="0.2">
      <c r="A210" s="6"/>
      <c r="B210" s="6"/>
      <c r="C210" s="6"/>
      <c r="D210" s="6"/>
      <c r="E210" s="6"/>
      <c r="F210" s="6"/>
      <c r="M210" s="2"/>
    </row>
    <row r="211" spans="1:13" x14ac:dyDescent="0.2">
      <c r="A211" s="6"/>
      <c r="B211" s="6"/>
      <c r="C211" s="6"/>
      <c r="D211" s="6"/>
      <c r="E211" s="6"/>
      <c r="F211" s="6"/>
      <c r="M211" s="2"/>
    </row>
    <row r="212" spans="1:13" x14ac:dyDescent="0.2">
      <c r="A212" s="6"/>
      <c r="B212" s="6"/>
      <c r="C212" s="6"/>
      <c r="D212" s="6"/>
      <c r="E212" s="6"/>
      <c r="F212" s="6"/>
      <c r="M212" s="2"/>
    </row>
    <row r="213" spans="1:13" x14ac:dyDescent="0.2">
      <c r="A213" s="6"/>
      <c r="B213" s="6"/>
      <c r="C213" s="6"/>
      <c r="D213" s="6"/>
      <c r="E213" s="6"/>
      <c r="F213" s="6"/>
      <c r="M213" s="2"/>
    </row>
    <row r="214" spans="1:13" x14ac:dyDescent="0.2">
      <c r="A214" s="6"/>
      <c r="B214" s="6"/>
      <c r="C214" s="6"/>
      <c r="D214" s="6"/>
      <c r="E214" s="6"/>
      <c r="F214" s="6"/>
      <c r="M214" s="2"/>
    </row>
    <row r="215" spans="1:13" x14ac:dyDescent="0.2">
      <c r="A215" s="6"/>
      <c r="B215" s="6"/>
      <c r="C215" s="6"/>
      <c r="D215" s="6"/>
      <c r="E215" s="6"/>
      <c r="F215" s="6"/>
      <c r="M215" s="2"/>
    </row>
    <row r="216" spans="1:13" x14ac:dyDescent="0.2">
      <c r="A216" s="6"/>
      <c r="B216" s="6"/>
      <c r="C216" s="6"/>
      <c r="D216" s="6"/>
      <c r="E216" s="6"/>
      <c r="F216" s="6"/>
      <c r="M216" s="2"/>
    </row>
    <row r="217" spans="1:13" x14ac:dyDescent="0.2">
      <c r="A217" s="6"/>
      <c r="B217" s="6"/>
      <c r="C217" s="6"/>
      <c r="D217" s="6"/>
      <c r="E217" s="6"/>
      <c r="F217" s="6"/>
      <c r="M217" s="2"/>
    </row>
    <row r="218" spans="1:13" x14ac:dyDescent="0.2">
      <c r="A218" s="6"/>
      <c r="B218" s="6"/>
      <c r="C218" s="6"/>
      <c r="D218" s="6"/>
      <c r="E218" s="6"/>
      <c r="F218" s="6"/>
      <c r="M218" s="2"/>
    </row>
    <row r="219" spans="1:13" x14ac:dyDescent="0.2">
      <c r="A219" s="6"/>
      <c r="B219" s="6"/>
      <c r="C219" s="6"/>
      <c r="D219" s="6"/>
      <c r="E219" s="6"/>
      <c r="F219" s="6"/>
      <c r="M219" s="2"/>
    </row>
    <row r="220" spans="1:13" x14ac:dyDescent="0.2">
      <c r="A220" s="6"/>
      <c r="B220" s="6"/>
      <c r="C220" s="6"/>
      <c r="D220" s="6"/>
      <c r="E220" s="6"/>
      <c r="F220" s="6"/>
      <c r="M220" s="2"/>
    </row>
    <row r="221" spans="1:13" x14ac:dyDescent="0.2">
      <c r="A221" s="6"/>
      <c r="B221" s="6"/>
      <c r="C221" s="6"/>
      <c r="D221" s="6"/>
      <c r="E221" s="6"/>
      <c r="F221" s="6"/>
      <c r="M221" s="2"/>
    </row>
    <row r="222" spans="1:13" x14ac:dyDescent="0.2">
      <c r="A222" s="6"/>
      <c r="B222" s="6"/>
      <c r="C222" s="6"/>
      <c r="D222" s="6"/>
      <c r="E222" s="6"/>
      <c r="F222" s="6"/>
      <c r="M222" s="2"/>
    </row>
    <row r="223" spans="1:13" x14ac:dyDescent="0.2">
      <c r="A223" s="6"/>
      <c r="B223" s="6"/>
      <c r="C223" s="6"/>
      <c r="D223" s="6"/>
      <c r="E223" s="6"/>
      <c r="F223" s="6"/>
      <c r="M223" s="2"/>
    </row>
    <row r="224" spans="1:13" x14ac:dyDescent="0.2">
      <c r="A224" s="6"/>
      <c r="B224" s="6"/>
      <c r="C224" s="6"/>
      <c r="D224" s="6"/>
      <c r="E224" s="6"/>
      <c r="F224" s="6"/>
      <c r="M224" s="2"/>
    </row>
    <row r="225" spans="1:13" x14ac:dyDescent="0.2">
      <c r="A225" s="6"/>
      <c r="B225" s="6"/>
      <c r="C225" s="6"/>
      <c r="D225" s="6"/>
      <c r="E225" s="6"/>
      <c r="F225" s="6"/>
      <c r="M225" s="2"/>
    </row>
    <row r="226" spans="1:13" x14ac:dyDescent="0.2">
      <c r="A226" s="6"/>
      <c r="B226" s="6"/>
      <c r="C226" s="6"/>
      <c r="D226" s="6"/>
      <c r="E226" s="6"/>
      <c r="F226" s="6"/>
      <c r="M226" s="2"/>
    </row>
    <row r="227" spans="1:13" x14ac:dyDescent="0.2">
      <c r="A227" s="6"/>
      <c r="B227" s="6"/>
      <c r="C227" s="6"/>
      <c r="D227" s="6"/>
      <c r="E227" s="6"/>
      <c r="F227" s="6"/>
      <c r="M227" s="2"/>
    </row>
    <row r="228" spans="1:13" x14ac:dyDescent="0.2">
      <c r="A228" s="6"/>
      <c r="B228" s="6"/>
      <c r="C228" s="6"/>
      <c r="D228" s="6"/>
      <c r="E228" s="6"/>
      <c r="F228" s="6"/>
      <c r="M228" s="2"/>
    </row>
    <row r="229" spans="1:13" x14ac:dyDescent="0.2">
      <c r="A229" s="6"/>
      <c r="B229" s="6"/>
      <c r="C229" s="6"/>
      <c r="D229" s="6"/>
      <c r="E229" s="6"/>
      <c r="F229" s="6"/>
      <c r="M229" s="2"/>
    </row>
    <row r="230" spans="1:13" x14ac:dyDescent="0.2">
      <c r="A230" s="6"/>
      <c r="B230" s="6"/>
      <c r="C230" s="6"/>
      <c r="D230" s="6"/>
      <c r="E230" s="6"/>
      <c r="F230" s="6"/>
      <c r="M230" s="2"/>
    </row>
    <row r="231" spans="1:13" x14ac:dyDescent="0.2">
      <c r="A231" s="6"/>
      <c r="B231" s="6"/>
      <c r="C231" s="6"/>
      <c r="D231" s="6"/>
      <c r="E231" s="6"/>
      <c r="F231" s="6"/>
      <c r="G231" s="3"/>
      <c r="H231" s="3"/>
      <c r="I231" s="3"/>
      <c r="M231" s="2"/>
    </row>
  </sheetData>
  <mergeCells count="5">
    <mergeCell ref="G16:H16"/>
    <mergeCell ref="B16:C16"/>
    <mergeCell ref="D16:F16"/>
    <mergeCell ref="K16:L16"/>
    <mergeCell ref="A3:B3"/>
  </mergeCells>
  <phoneticPr fontId="5" type="noConversion"/>
  <pageMargins left="0.75" right="0.75" top="1" bottom="1" header="0" footer="0"/>
  <pageSetup paperSize="9" orientation="portrait" horizontalDpi="300" verticalDpi="1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31"/>
  <sheetViews>
    <sheetView zoomScaleNormal="100" workbookViewId="0">
      <selection activeCell="D30" sqref="D30"/>
    </sheetView>
  </sheetViews>
  <sheetFormatPr baseColWidth="10" defaultRowHeight="12.75" x14ac:dyDescent="0.2"/>
  <cols>
    <col min="2" max="2" width="13.28515625" customWidth="1"/>
    <col min="3" max="3" width="9" customWidth="1"/>
    <col min="4" max="4" width="13.5703125" customWidth="1"/>
    <col min="5" max="5" width="14.5703125" customWidth="1"/>
    <col min="6" max="6" width="10.5703125" customWidth="1"/>
    <col min="7" max="7" width="11.7109375" customWidth="1"/>
    <col min="8" max="8" width="12.85546875" customWidth="1"/>
    <col min="9" max="9" width="10.7109375" customWidth="1"/>
    <col min="10" max="10" width="12" customWidth="1"/>
    <col min="11" max="12" width="10.7109375" customWidth="1"/>
    <col min="13" max="13" width="12.5703125" customWidth="1"/>
    <col min="14" max="14" width="12.7109375" customWidth="1"/>
  </cols>
  <sheetData>
    <row r="1" spans="1:14" ht="15.75" x14ac:dyDescent="0.25">
      <c r="A1" s="119" t="s">
        <v>33</v>
      </c>
      <c r="B1" s="22" t="s">
        <v>66</v>
      </c>
      <c r="E1" s="8"/>
      <c r="G1" s="105" t="s">
        <v>29</v>
      </c>
      <c r="H1" s="106" t="s">
        <v>36</v>
      </c>
      <c r="I1" s="120" t="s">
        <v>64</v>
      </c>
      <c r="J1" s="107" t="s">
        <v>37</v>
      </c>
      <c r="K1" s="8"/>
      <c r="L1" s="8"/>
      <c r="M1" s="8"/>
      <c r="N1" s="8"/>
    </row>
    <row r="2" spans="1:14" ht="15.75" x14ac:dyDescent="0.25">
      <c r="E2" s="8"/>
      <c r="G2" s="123">
        <v>24</v>
      </c>
      <c r="H2" s="124" t="s">
        <v>7</v>
      </c>
      <c r="I2" s="125">
        <v>31</v>
      </c>
      <c r="J2" s="128">
        <f>IF(G2&lt;&gt;"",G2,"")</f>
        <v>24</v>
      </c>
      <c r="K2" s="8"/>
      <c r="L2" s="8"/>
      <c r="M2" s="8"/>
      <c r="N2" s="8"/>
    </row>
    <row r="3" spans="1:14" ht="15.75" x14ac:dyDescent="0.25">
      <c r="A3" s="138" t="s">
        <v>20</v>
      </c>
      <c r="B3" s="139"/>
      <c r="C3" s="17" t="s">
        <v>21</v>
      </c>
      <c r="E3" s="11"/>
      <c r="G3" s="127"/>
      <c r="H3" s="10" t="s">
        <v>8</v>
      </c>
      <c r="I3" s="38">
        <v>28</v>
      </c>
      <c r="J3" s="40" t="str">
        <f>IF(G3&lt;&gt;"",I2+G3,"")</f>
        <v/>
      </c>
      <c r="K3" s="8"/>
      <c r="L3" s="8"/>
      <c r="M3" s="8"/>
      <c r="N3" s="8"/>
    </row>
    <row r="4" spans="1:14" ht="15" x14ac:dyDescent="0.2">
      <c r="A4" s="18" t="s">
        <v>19</v>
      </c>
      <c r="B4" s="19" t="s">
        <v>1</v>
      </c>
      <c r="C4" s="18" t="s">
        <v>19</v>
      </c>
      <c r="E4" s="8"/>
      <c r="G4" s="111">
        <v>22</v>
      </c>
      <c r="H4" s="10" t="s">
        <v>9</v>
      </c>
      <c r="I4" s="38">
        <v>31</v>
      </c>
      <c r="J4" s="41">
        <f>IF(G4&lt;&gt;"",G4+I2+I3,"")</f>
        <v>81</v>
      </c>
      <c r="K4" s="8"/>
      <c r="L4" s="8"/>
      <c r="M4" s="12"/>
      <c r="N4" s="8"/>
    </row>
    <row r="5" spans="1:14" ht="15.75" x14ac:dyDescent="0.25">
      <c r="A5" s="116">
        <f>48+8/60</f>
        <v>48.133333333333333</v>
      </c>
      <c r="B5" s="117">
        <f>RADIANS(A5)</f>
        <v>0.84008514662660394</v>
      </c>
      <c r="C5" s="118">
        <f>11.575</f>
        <v>11.574999999999999</v>
      </c>
      <c r="E5" s="8"/>
      <c r="G5" s="111"/>
      <c r="H5" s="10" t="s">
        <v>10</v>
      </c>
      <c r="I5" s="38">
        <v>30</v>
      </c>
      <c r="J5" s="41" t="str">
        <f>IF(G5&lt;&gt;"",G5+I2+I3+I4,"")</f>
        <v/>
      </c>
      <c r="K5" s="9"/>
      <c r="L5" s="9"/>
      <c r="M5" s="14"/>
      <c r="N5" s="8"/>
    </row>
    <row r="6" spans="1:14" ht="15.75" x14ac:dyDescent="0.25">
      <c r="E6" s="13"/>
      <c r="F6" s="13"/>
      <c r="G6" s="111"/>
      <c r="H6" s="10" t="s">
        <v>11</v>
      </c>
      <c r="I6" s="38">
        <v>31</v>
      </c>
      <c r="J6" s="41" t="str">
        <f>IF(G6&lt;&gt;"",G6+I2+I3+I4+I5,"")</f>
        <v/>
      </c>
      <c r="K6" s="15"/>
      <c r="L6" s="15"/>
      <c r="M6" s="15"/>
      <c r="N6" s="8"/>
    </row>
    <row r="7" spans="1:14" ht="15.75" x14ac:dyDescent="0.25">
      <c r="E7" s="13"/>
      <c r="F7" s="8"/>
      <c r="G7" s="111">
        <v>21</v>
      </c>
      <c r="H7" s="10" t="s">
        <v>12</v>
      </c>
      <c r="I7" s="38">
        <v>30</v>
      </c>
      <c r="J7" s="41">
        <f>IF(G7&lt;&gt;"",G7+I2+I3+I4+I5+I6,"")</f>
        <v>172</v>
      </c>
      <c r="K7" s="8"/>
      <c r="L7" s="8"/>
      <c r="M7" s="8"/>
      <c r="N7" s="8"/>
    </row>
    <row r="8" spans="1:14" ht="15.75" x14ac:dyDescent="0.25">
      <c r="E8" s="8"/>
      <c r="F8" s="9"/>
      <c r="G8" s="111"/>
      <c r="H8" s="10" t="s">
        <v>13</v>
      </c>
      <c r="I8" s="38">
        <v>31</v>
      </c>
      <c r="J8" s="41" t="str">
        <f>IF(G8&lt;&gt;"",G8+I2+I3+I4+I5+I6+I7,"")</f>
        <v/>
      </c>
      <c r="K8" s="8"/>
      <c r="L8" s="8"/>
      <c r="M8" s="8"/>
      <c r="N8" s="8"/>
    </row>
    <row r="9" spans="1:14" ht="15.75" x14ac:dyDescent="0.25">
      <c r="E9" s="9"/>
      <c r="G9" s="111"/>
      <c r="H9" s="10" t="s">
        <v>14</v>
      </c>
      <c r="I9" s="38">
        <v>31</v>
      </c>
      <c r="J9" s="41" t="str">
        <f>IF(G9&lt;&gt;"",G9+I2+I3+I4+I5+I6+I7+I8,"")</f>
        <v/>
      </c>
      <c r="K9" s="9"/>
      <c r="L9" s="9"/>
      <c r="M9" s="9"/>
      <c r="N9" s="9"/>
    </row>
    <row r="10" spans="1:14" ht="15.75" x14ac:dyDescent="0.25">
      <c r="E10" s="9"/>
      <c r="G10" s="111">
        <v>21</v>
      </c>
      <c r="H10" s="10" t="s">
        <v>15</v>
      </c>
      <c r="I10" s="38">
        <v>30</v>
      </c>
      <c r="J10" s="41">
        <f>IF(G10&lt;&gt;"",G10+I2+I3+I4+I5+I6+I7+I8+I9,"")</f>
        <v>264</v>
      </c>
      <c r="K10" s="16"/>
      <c r="L10" s="16"/>
      <c r="M10" s="16"/>
      <c r="N10" s="8"/>
    </row>
    <row r="11" spans="1:14" ht="15" x14ac:dyDescent="0.2">
      <c r="E11" s="16"/>
      <c r="G11" s="112"/>
      <c r="H11" s="10" t="s">
        <v>16</v>
      </c>
      <c r="I11" s="38">
        <v>31</v>
      </c>
      <c r="J11" s="40"/>
      <c r="K11" s="16"/>
      <c r="L11" s="16"/>
      <c r="M11" s="16"/>
      <c r="N11" s="8"/>
    </row>
    <row r="12" spans="1:14" ht="15.75" x14ac:dyDescent="0.25">
      <c r="E12" s="17"/>
      <c r="G12" s="111"/>
      <c r="H12" s="10" t="s">
        <v>17</v>
      </c>
      <c r="I12" s="38">
        <v>30</v>
      </c>
      <c r="J12" s="39" t="str">
        <f>IF(G12&lt;&gt;"",G12+I2+I3+I4+I5+I6+I7+I8+I9+I10+I11,"")</f>
        <v/>
      </c>
      <c r="K12" s="16"/>
      <c r="L12" s="16"/>
      <c r="M12" s="16"/>
      <c r="N12" s="8"/>
    </row>
    <row r="13" spans="1:14" ht="15.75" thickBot="1" x14ac:dyDescent="0.25">
      <c r="E13" s="17"/>
      <c r="G13" s="113">
        <v>21</v>
      </c>
      <c r="H13" s="114" t="s">
        <v>18</v>
      </c>
      <c r="I13" s="115">
        <v>31</v>
      </c>
      <c r="J13" s="42">
        <f>IF(G13&lt;&gt;"",G13+I2+I3+I4+I5+I6+I7+I8+I9+I10+I11+I12,"")</f>
        <v>355</v>
      </c>
      <c r="K13" s="16"/>
      <c r="L13" s="16"/>
      <c r="M13" s="16"/>
      <c r="N13" s="8"/>
    </row>
    <row r="14" spans="1:14" ht="15.75" x14ac:dyDescent="0.25">
      <c r="A14" s="20"/>
      <c r="B14" s="10"/>
      <c r="C14" s="17"/>
      <c r="D14" s="9"/>
      <c r="E14" s="17"/>
      <c r="F14" s="17"/>
      <c r="G14" s="16"/>
      <c r="H14" s="16"/>
      <c r="I14" s="16"/>
      <c r="J14" s="16"/>
      <c r="K14" s="16"/>
      <c r="L14" s="16"/>
      <c r="M14" s="16"/>
      <c r="N14" s="8"/>
    </row>
    <row r="16" spans="1:14" ht="18.75" x14ac:dyDescent="0.35">
      <c r="A16" s="27" t="s">
        <v>29</v>
      </c>
      <c r="B16" s="132" t="s">
        <v>28</v>
      </c>
      <c r="C16" s="133"/>
      <c r="D16" s="134" t="s">
        <v>31</v>
      </c>
      <c r="E16" s="135"/>
      <c r="F16" s="136"/>
      <c r="G16" s="130" t="s">
        <v>24</v>
      </c>
      <c r="H16" s="131"/>
      <c r="I16" s="28" t="s">
        <v>25</v>
      </c>
      <c r="J16" s="44" t="s">
        <v>23</v>
      </c>
      <c r="K16" s="137" t="s">
        <v>32</v>
      </c>
      <c r="L16" s="136"/>
    </row>
    <row r="17" spans="1:13" ht="15.75" x14ac:dyDescent="0.25">
      <c r="A17" s="29" t="s">
        <v>30</v>
      </c>
      <c r="B17" s="30" t="s">
        <v>19</v>
      </c>
      <c r="C17" s="35" t="s">
        <v>1</v>
      </c>
      <c r="D17" s="36" t="s">
        <v>1</v>
      </c>
      <c r="E17" s="31" t="s">
        <v>19</v>
      </c>
      <c r="F17" s="31" t="s">
        <v>22</v>
      </c>
      <c r="G17" s="32" t="s">
        <v>26</v>
      </c>
      <c r="H17" s="33" t="s">
        <v>22</v>
      </c>
      <c r="I17" s="31" t="s">
        <v>22</v>
      </c>
      <c r="J17" s="33" t="s">
        <v>22</v>
      </c>
      <c r="K17" s="36" t="s">
        <v>1</v>
      </c>
      <c r="L17" s="31" t="s">
        <v>19</v>
      </c>
    </row>
    <row r="18" spans="1:13" ht="15.75" x14ac:dyDescent="0.25">
      <c r="A18" s="121">
        <f>'Ej-1a_PosicSol_Madrid'!A18</f>
        <v>297</v>
      </c>
      <c r="B18" s="23">
        <f>23.45*SIN(RADIANS((360/365)*(A18+284)))</f>
        <v>-12.785888283778254</v>
      </c>
      <c r="C18" s="34">
        <f>RADIANS(B18)</f>
        <v>-0.22315584834409763</v>
      </c>
      <c r="D18" s="37">
        <f>-ACOS(-TAN(C18)*TAN($B$5))</f>
        <v>-1.3147891538075371</v>
      </c>
      <c r="E18" s="104">
        <f>DEGREES(D18)</f>
        <v>-75.331869462748728</v>
      </c>
      <c r="F18" s="43">
        <f>E18/15</f>
        <v>-5.0221246308499152</v>
      </c>
      <c r="G18" s="23">
        <f>-7.64*SIN(RADIANS(A18-2))+9.86*SIN(RADIANS(2*(A18-80)))</f>
        <v>16.402231814911829</v>
      </c>
      <c r="H18" s="24">
        <f>G18/60</f>
        <v>0.27337053024853047</v>
      </c>
      <c r="I18" s="25">
        <v>1</v>
      </c>
      <c r="J18" s="45">
        <f>F18+12-H18+I18+($C$5-0)/15</f>
        <v>8.476171505568221</v>
      </c>
      <c r="K18" s="37">
        <f>ASIN(SIN(C18)*SIN($B$5)+COS(C18)*COS($B$5))</f>
        <v>0.50755533182419499</v>
      </c>
      <c r="L18" s="43">
        <f>DEGREES(K18)</f>
        <v>29.080778382888411</v>
      </c>
    </row>
    <row r="19" spans="1:13" ht="15" x14ac:dyDescent="0.25">
      <c r="A19" s="6"/>
      <c r="B19" s="6"/>
      <c r="C19" s="6"/>
      <c r="D19" s="6"/>
      <c r="E19" s="6"/>
      <c r="F19" s="6"/>
      <c r="G19" s="1"/>
      <c r="H19" s="1"/>
      <c r="I19" s="1"/>
      <c r="J19" s="46" t="str">
        <f>TEXT(INT(J18),"#") &amp; " horas"</f>
        <v>8 horas</v>
      </c>
      <c r="K19" s="1"/>
      <c r="L19" s="1"/>
    </row>
    <row r="20" spans="1:13" ht="15" x14ac:dyDescent="0.25">
      <c r="A20" s="6"/>
      <c r="B20" s="6"/>
      <c r="C20" s="6"/>
      <c r="D20" s="6"/>
      <c r="E20" s="6"/>
      <c r="F20" s="6"/>
      <c r="G20" s="1"/>
      <c r="H20" s="1"/>
      <c r="I20" s="1"/>
      <c r="J20" s="47" t="str">
        <f>TEXT((J18-INT(J18))*60,"#") &amp; " minutos"</f>
        <v>29 minutos</v>
      </c>
      <c r="K20" s="26"/>
      <c r="L20" s="1"/>
      <c r="M20" s="1"/>
    </row>
    <row r="21" spans="1:13" x14ac:dyDescent="0.2">
      <c r="A21" s="6"/>
      <c r="B21" s="6"/>
      <c r="C21" s="6"/>
      <c r="D21" s="6"/>
      <c r="E21" s="6"/>
      <c r="F21" s="6"/>
      <c r="G21" s="1"/>
      <c r="H21" s="1"/>
      <c r="I21" s="1"/>
      <c r="K21" s="26"/>
      <c r="L21" s="1"/>
      <c r="M21" s="1"/>
    </row>
    <row r="22" spans="1:13" x14ac:dyDescent="0.2">
      <c r="A22" s="6"/>
      <c r="B22" s="6"/>
      <c r="C22" s="6"/>
      <c r="D22" s="6"/>
      <c r="E22" s="6"/>
      <c r="F22" s="6"/>
      <c r="G22" s="1"/>
      <c r="H22" s="1"/>
      <c r="I22" s="1"/>
      <c r="J22" s="1"/>
      <c r="K22" s="1"/>
      <c r="L22" s="1"/>
      <c r="M22" s="1"/>
    </row>
    <row r="23" spans="1:13" x14ac:dyDescent="0.2">
      <c r="A23" s="6"/>
      <c r="B23" s="6"/>
      <c r="C23" s="6"/>
      <c r="D23" s="6"/>
      <c r="E23" s="6"/>
      <c r="F23" s="6"/>
      <c r="G23" s="1"/>
      <c r="H23" s="1"/>
      <c r="I23" s="1"/>
      <c r="J23" s="1"/>
      <c r="K23" s="1"/>
      <c r="L23" s="1"/>
      <c r="M23" s="1"/>
    </row>
    <row r="24" spans="1:13" x14ac:dyDescent="0.2">
      <c r="A24" s="6"/>
      <c r="B24" s="6"/>
      <c r="C24" s="6"/>
      <c r="D24" s="6"/>
      <c r="E24" s="6"/>
      <c r="F24" s="6"/>
      <c r="G24" s="1"/>
      <c r="H24" s="1"/>
      <c r="I24" s="1"/>
      <c r="J24" s="1"/>
      <c r="K24" s="1"/>
      <c r="L24" s="1"/>
      <c r="M24" s="1"/>
    </row>
    <row r="25" spans="1:13" x14ac:dyDescent="0.2">
      <c r="A25" s="6"/>
      <c r="B25" s="6"/>
      <c r="C25" s="6"/>
      <c r="D25" s="6"/>
      <c r="E25" s="6"/>
      <c r="F25" s="6"/>
      <c r="G25" s="1"/>
      <c r="H25" s="1"/>
      <c r="I25" s="1"/>
      <c r="J25" s="1"/>
      <c r="K25" s="1"/>
      <c r="L25" s="1"/>
      <c r="M25" s="1"/>
    </row>
    <row r="26" spans="1:13" x14ac:dyDescent="0.2">
      <c r="A26" s="6"/>
      <c r="B26" s="6"/>
      <c r="C26" s="6"/>
      <c r="D26" s="6"/>
      <c r="E26" s="6"/>
      <c r="F26" s="6"/>
      <c r="G26" s="1"/>
      <c r="H26" s="1"/>
      <c r="I26" s="1"/>
      <c r="J26" s="1"/>
      <c r="K26" s="1"/>
      <c r="L26" s="1"/>
      <c r="M26" s="1"/>
    </row>
    <row r="27" spans="1:13" x14ac:dyDescent="0.2">
      <c r="A27" s="6"/>
      <c r="B27" s="6"/>
      <c r="C27" s="6"/>
      <c r="D27" s="6"/>
      <c r="E27" s="6"/>
      <c r="F27" s="6"/>
      <c r="G27" s="1"/>
      <c r="H27" s="1"/>
      <c r="I27" s="1"/>
      <c r="J27" s="1"/>
      <c r="K27" s="1"/>
      <c r="L27" s="1"/>
      <c r="M27" s="1"/>
    </row>
    <row r="28" spans="1:13" x14ac:dyDescent="0.2">
      <c r="A28" s="6"/>
      <c r="B28" s="6"/>
      <c r="C28" s="6"/>
      <c r="D28" s="6"/>
      <c r="E28" s="6"/>
      <c r="F28" s="6"/>
      <c r="G28" s="1"/>
      <c r="H28" s="1"/>
      <c r="I28" s="1"/>
      <c r="J28" s="1"/>
      <c r="K28" s="1"/>
      <c r="L28" s="1"/>
      <c r="M28" s="1"/>
    </row>
    <row r="29" spans="1:13" x14ac:dyDescent="0.2">
      <c r="A29" s="6"/>
      <c r="B29" s="6"/>
      <c r="C29" s="6"/>
      <c r="D29" s="6"/>
      <c r="E29" s="6"/>
      <c r="F29" s="6"/>
      <c r="G29" s="1"/>
      <c r="H29" s="1"/>
      <c r="I29" s="1"/>
      <c r="J29" s="1"/>
      <c r="K29" s="1"/>
      <c r="L29" s="1"/>
      <c r="M29" s="1"/>
    </row>
    <row r="30" spans="1:13" x14ac:dyDescent="0.2">
      <c r="A30" s="6"/>
      <c r="B30" s="6"/>
      <c r="C30" s="6"/>
      <c r="D30" s="6"/>
      <c r="E30" s="6"/>
      <c r="F30" s="6"/>
      <c r="G30" s="1"/>
      <c r="H30" s="1"/>
      <c r="I30" s="1"/>
      <c r="J30" s="1"/>
      <c r="K30" s="1"/>
      <c r="L30" s="1"/>
      <c r="M30" s="1"/>
    </row>
    <row r="31" spans="1:13" x14ac:dyDescent="0.2">
      <c r="A31" s="6"/>
      <c r="B31" s="6"/>
      <c r="C31" s="6"/>
      <c r="D31" s="6"/>
      <c r="E31" s="6"/>
      <c r="F31" s="6"/>
      <c r="G31" s="1"/>
      <c r="H31" s="1"/>
      <c r="I31" s="1"/>
      <c r="J31" s="1"/>
      <c r="K31" s="1"/>
      <c r="L31" s="1"/>
      <c r="M31" s="1"/>
    </row>
    <row r="32" spans="1:13" x14ac:dyDescent="0.2">
      <c r="A32" s="6"/>
      <c r="B32" s="6"/>
      <c r="C32" s="6"/>
      <c r="D32" s="6"/>
      <c r="E32" s="6"/>
      <c r="F32" s="6"/>
      <c r="G32" s="1"/>
      <c r="H32" s="1"/>
      <c r="I32" s="1"/>
      <c r="J32" s="1"/>
      <c r="K32" s="1"/>
      <c r="L32" s="1"/>
      <c r="M32" s="1"/>
    </row>
    <row r="33" spans="1:13" x14ac:dyDescent="0.2">
      <c r="A33" s="6"/>
      <c r="B33" s="6"/>
      <c r="C33" s="6"/>
      <c r="D33" s="6"/>
      <c r="E33" s="6"/>
      <c r="F33" s="6"/>
      <c r="G33" s="1"/>
      <c r="H33" s="1"/>
      <c r="I33" s="1"/>
      <c r="J33" s="1"/>
      <c r="K33" s="1"/>
      <c r="L33" s="1"/>
      <c r="M33" s="1"/>
    </row>
    <row r="34" spans="1:13" x14ac:dyDescent="0.2">
      <c r="A34" s="6"/>
      <c r="B34" s="6"/>
      <c r="C34" s="6"/>
      <c r="D34" s="6"/>
      <c r="E34" s="6"/>
      <c r="F34" s="6"/>
      <c r="G34" s="1"/>
      <c r="H34" s="1"/>
      <c r="I34" s="1"/>
      <c r="J34" s="1"/>
      <c r="K34" s="1"/>
      <c r="L34" s="1"/>
      <c r="M34" s="1"/>
    </row>
    <row r="35" spans="1:13" x14ac:dyDescent="0.2">
      <c r="A35" s="6"/>
      <c r="B35" s="6"/>
      <c r="C35" s="6"/>
      <c r="D35" s="6"/>
      <c r="E35" s="6"/>
      <c r="F35" s="6"/>
      <c r="G35" s="1"/>
      <c r="H35" s="1"/>
      <c r="I35" s="1"/>
      <c r="J35" s="1"/>
      <c r="K35" s="1"/>
      <c r="L35" s="1"/>
      <c r="M35" s="1"/>
    </row>
    <row r="36" spans="1:13" x14ac:dyDescent="0.2">
      <c r="A36" s="6"/>
      <c r="B36" s="6"/>
      <c r="C36" s="6"/>
      <c r="D36" s="6"/>
      <c r="E36" s="6"/>
      <c r="F36" s="6"/>
      <c r="G36" s="1"/>
      <c r="H36" s="1"/>
      <c r="I36" s="1"/>
      <c r="J36" s="1"/>
      <c r="K36" s="1"/>
      <c r="L36" s="1"/>
      <c r="M36" s="1"/>
    </row>
    <row r="37" spans="1:13" x14ac:dyDescent="0.2">
      <c r="A37" s="6"/>
      <c r="B37" s="6"/>
      <c r="C37" s="6"/>
      <c r="D37" s="6"/>
      <c r="E37" s="6"/>
      <c r="F37" s="6"/>
      <c r="G37" s="1"/>
      <c r="H37" s="1"/>
      <c r="I37" s="1"/>
      <c r="J37" s="1"/>
      <c r="K37" s="1"/>
      <c r="L37" s="1"/>
      <c r="M37" s="1"/>
    </row>
    <row r="38" spans="1:13" x14ac:dyDescent="0.2">
      <c r="A38" s="6"/>
      <c r="B38" s="6"/>
      <c r="C38" s="6"/>
      <c r="D38" s="6"/>
      <c r="E38" s="6"/>
      <c r="F38" s="6"/>
      <c r="G38" s="1"/>
      <c r="H38" s="1"/>
      <c r="I38" s="1"/>
      <c r="J38" s="1"/>
      <c r="K38" s="1"/>
      <c r="L38" s="1"/>
      <c r="M38" s="1"/>
    </row>
    <row r="39" spans="1:13" x14ac:dyDescent="0.2">
      <c r="A39" s="6"/>
      <c r="B39" s="6"/>
      <c r="C39" s="6"/>
      <c r="D39" s="6"/>
      <c r="E39" s="6"/>
      <c r="F39" s="6"/>
      <c r="G39" s="1"/>
      <c r="H39" s="1"/>
      <c r="I39" s="1"/>
      <c r="J39" s="1"/>
      <c r="K39" s="1"/>
      <c r="L39" s="1"/>
      <c r="M39" s="1"/>
    </row>
    <row r="40" spans="1:13" x14ac:dyDescent="0.2">
      <c r="A40" s="6"/>
      <c r="B40" s="6"/>
      <c r="C40" s="6"/>
      <c r="D40" s="6"/>
      <c r="E40" s="6"/>
      <c r="F40" s="6"/>
      <c r="G40" s="1"/>
      <c r="H40" s="1"/>
      <c r="I40" s="1"/>
      <c r="J40" s="1"/>
      <c r="K40" s="1"/>
      <c r="L40" s="1"/>
      <c r="M40" s="1"/>
    </row>
    <row r="41" spans="1:13" x14ac:dyDescent="0.2">
      <c r="A41" s="6"/>
      <c r="B41" s="6"/>
      <c r="C41" s="6"/>
      <c r="D41" s="6"/>
      <c r="E41" s="6"/>
      <c r="F41" s="6"/>
      <c r="G41" s="1"/>
      <c r="H41" s="1"/>
      <c r="I41" s="1"/>
      <c r="J41" s="1"/>
      <c r="K41" s="1"/>
      <c r="L41" s="1"/>
      <c r="M41" s="1"/>
    </row>
    <row r="42" spans="1:13" x14ac:dyDescent="0.2">
      <c r="A42" s="6"/>
      <c r="B42" s="6"/>
      <c r="C42" s="6"/>
      <c r="D42" s="6"/>
      <c r="E42" s="6"/>
      <c r="F42" s="6"/>
      <c r="G42" s="1"/>
      <c r="H42" s="1"/>
      <c r="I42" s="1"/>
      <c r="J42" s="1"/>
      <c r="K42" s="1"/>
      <c r="L42" s="1"/>
      <c r="M42" s="1"/>
    </row>
    <row r="43" spans="1:13" x14ac:dyDescent="0.2">
      <c r="A43" s="6"/>
      <c r="B43" s="6"/>
      <c r="C43" s="6"/>
      <c r="D43" s="6"/>
      <c r="E43" s="6"/>
      <c r="F43" s="6"/>
      <c r="G43" s="1"/>
      <c r="H43" s="1"/>
      <c r="I43" s="1"/>
      <c r="J43" s="1"/>
      <c r="K43" s="1"/>
      <c r="L43" s="1"/>
      <c r="M43" s="1"/>
    </row>
    <row r="44" spans="1:13" x14ac:dyDescent="0.2">
      <c r="A44" s="6"/>
      <c r="B44" s="6"/>
      <c r="C44" s="6"/>
      <c r="D44" s="6"/>
      <c r="E44" s="6"/>
      <c r="F44" s="6"/>
      <c r="G44" s="1"/>
      <c r="H44" s="1"/>
      <c r="I44" s="1"/>
      <c r="J44" s="1"/>
      <c r="K44" s="1"/>
      <c r="L44" s="1"/>
      <c r="M44" s="1"/>
    </row>
    <row r="45" spans="1:13" x14ac:dyDescent="0.2">
      <c r="A45" s="6"/>
      <c r="B45" s="6"/>
      <c r="C45" s="6"/>
      <c r="D45" s="6"/>
      <c r="E45" s="6"/>
      <c r="F45" s="6"/>
      <c r="G45" s="1"/>
      <c r="H45" s="1"/>
      <c r="I45" s="1"/>
      <c r="J45" s="1"/>
      <c r="K45" s="1"/>
      <c r="L45" s="1"/>
      <c r="M45" s="1"/>
    </row>
    <row r="46" spans="1:13" x14ac:dyDescent="0.2">
      <c r="A46" s="6"/>
      <c r="B46" s="6"/>
      <c r="C46" s="6"/>
      <c r="D46" s="6"/>
      <c r="E46" s="6"/>
      <c r="F46" s="6"/>
      <c r="G46" s="1"/>
      <c r="H46" s="1"/>
      <c r="I46" s="1"/>
      <c r="J46" s="1"/>
      <c r="K46" s="1"/>
      <c r="L46" s="1"/>
      <c r="M46" s="1"/>
    </row>
    <row r="47" spans="1:13" x14ac:dyDescent="0.2">
      <c r="A47" s="6"/>
      <c r="B47" s="6"/>
      <c r="C47" s="6"/>
      <c r="D47" s="6"/>
      <c r="E47" s="6"/>
      <c r="F47" s="6"/>
      <c r="G47" s="1"/>
      <c r="H47" s="1"/>
      <c r="I47" s="1"/>
      <c r="J47" s="1"/>
      <c r="K47" s="1"/>
      <c r="L47" s="1"/>
      <c r="M47" s="1"/>
    </row>
    <row r="48" spans="1:13" x14ac:dyDescent="0.2">
      <c r="A48" s="6"/>
      <c r="B48" s="6"/>
      <c r="C48" s="6"/>
      <c r="D48" s="6"/>
      <c r="E48" s="6"/>
      <c r="F48" s="6"/>
      <c r="G48" s="1"/>
      <c r="H48" s="1"/>
      <c r="I48" s="1"/>
      <c r="J48" s="1"/>
      <c r="K48" s="1"/>
      <c r="L48" s="1"/>
      <c r="M48" s="1"/>
    </row>
    <row r="49" spans="1:13" x14ac:dyDescent="0.2">
      <c r="A49" s="6"/>
      <c r="B49" s="6"/>
      <c r="C49" s="6"/>
      <c r="D49" s="6"/>
      <c r="E49" s="6"/>
      <c r="F49" s="6"/>
      <c r="G49" s="1"/>
      <c r="H49" s="1"/>
      <c r="I49" s="1"/>
      <c r="J49" s="1"/>
      <c r="K49" s="1"/>
      <c r="L49" s="1"/>
      <c r="M49" s="1"/>
    </row>
    <row r="50" spans="1:13" x14ac:dyDescent="0.2">
      <c r="A50" s="6"/>
      <c r="B50" s="6"/>
      <c r="C50" s="6"/>
      <c r="D50" s="6"/>
      <c r="E50" s="6"/>
      <c r="F50" s="6"/>
      <c r="G50" s="1"/>
      <c r="H50" s="1"/>
      <c r="I50" s="1"/>
      <c r="J50" s="1"/>
      <c r="K50" s="1"/>
      <c r="L50" s="1"/>
      <c r="M50" s="1"/>
    </row>
    <row r="51" spans="1:13" x14ac:dyDescent="0.2">
      <c r="A51" s="6"/>
      <c r="B51" s="6"/>
      <c r="C51" s="6"/>
      <c r="D51" s="6"/>
      <c r="E51" s="6"/>
      <c r="F51" s="6"/>
      <c r="G51" s="1"/>
      <c r="H51" s="1"/>
      <c r="I51" s="4"/>
      <c r="J51" s="1"/>
      <c r="K51" s="1"/>
      <c r="L51" s="1"/>
      <c r="M51" s="1"/>
    </row>
    <row r="52" spans="1:13" x14ac:dyDescent="0.2">
      <c r="A52" s="6"/>
      <c r="B52" s="6"/>
      <c r="C52" s="6"/>
      <c r="D52" s="6"/>
      <c r="E52" s="6"/>
      <c r="F52" s="6"/>
      <c r="M52" s="2"/>
    </row>
    <row r="53" spans="1:13" x14ac:dyDescent="0.2">
      <c r="A53" s="6"/>
      <c r="B53" s="6"/>
      <c r="C53" s="6"/>
      <c r="D53" s="6"/>
      <c r="E53" s="6"/>
      <c r="F53" s="6"/>
      <c r="M53" s="2"/>
    </row>
    <row r="54" spans="1:13" x14ac:dyDescent="0.2">
      <c r="A54" s="6"/>
      <c r="B54" s="6"/>
      <c r="C54" s="6"/>
      <c r="D54" s="6"/>
      <c r="E54" s="6"/>
      <c r="F54" s="6"/>
      <c r="M54" s="2"/>
    </row>
    <row r="55" spans="1:13" x14ac:dyDescent="0.2">
      <c r="A55" s="6"/>
      <c r="B55" s="6"/>
      <c r="C55" s="6"/>
      <c r="D55" s="6"/>
      <c r="E55" s="6"/>
      <c r="F55" s="6"/>
      <c r="M55" s="2"/>
    </row>
    <row r="56" spans="1:13" x14ac:dyDescent="0.2">
      <c r="A56" s="6"/>
      <c r="B56" s="6"/>
      <c r="C56" s="6"/>
      <c r="D56" s="6"/>
      <c r="E56" s="6"/>
      <c r="F56" s="6"/>
      <c r="M56" s="2"/>
    </row>
    <row r="57" spans="1:13" x14ac:dyDescent="0.2">
      <c r="A57" s="6"/>
      <c r="B57" s="6"/>
      <c r="C57" s="6"/>
      <c r="D57" s="6"/>
      <c r="E57" s="6"/>
      <c r="F57" s="6"/>
      <c r="M57" s="2"/>
    </row>
    <row r="58" spans="1:13" x14ac:dyDescent="0.2">
      <c r="A58" s="6"/>
      <c r="B58" s="6"/>
      <c r="C58" s="6"/>
      <c r="D58" s="6"/>
      <c r="E58" s="6"/>
      <c r="F58" s="6"/>
      <c r="M58" s="2"/>
    </row>
    <row r="59" spans="1:13" x14ac:dyDescent="0.2">
      <c r="A59" s="6"/>
      <c r="B59" s="6"/>
      <c r="C59" s="6"/>
      <c r="D59" s="6"/>
      <c r="E59" s="6"/>
      <c r="F59" s="6"/>
      <c r="M59" s="2"/>
    </row>
    <row r="60" spans="1:13" x14ac:dyDescent="0.2">
      <c r="A60" s="6"/>
      <c r="B60" s="6"/>
      <c r="C60" s="6"/>
      <c r="D60" s="6"/>
      <c r="E60" s="6"/>
      <c r="F60" s="6"/>
      <c r="M60" s="2"/>
    </row>
    <row r="61" spans="1:13" x14ac:dyDescent="0.2">
      <c r="A61" s="6"/>
      <c r="B61" s="6"/>
      <c r="C61" s="6"/>
      <c r="D61" s="6"/>
      <c r="E61" s="6"/>
      <c r="F61" s="6"/>
      <c r="M61" s="2"/>
    </row>
    <row r="62" spans="1:13" x14ac:dyDescent="0.2">
      <c r="A62" s="6"/>
      <c r="B62" s="6"/>
      <c r="C62" s="6"/>
      <c r="D62" s="6"/>
      <c r="E62" s="6"/>
      <c r="F62" s="6"/>
      <c r="M62" s="2"/>
    </row>
    <row r="63" spans="1:13" x14ac:dyDescent="0.2">
      <c r="A63" s="6"/>
      <c r="B63" s="6"/>
      <c r="C63" s="6"/>
      <c r="D63" s="6"/>
      <c r="E63" s="6"/>
      <c r="F63" s="6"/>
      <c r="M63" s="2"/>
    </row>
    <row r="64" spans="1:13" x14ac:dyDescent="0.2">
      <c r="A64" s="6"/>
      <c r="B64" s="6"/>
      <c r="C64" s="6"/>
      <c r="D64" s="6"/>
      <c r="E64" s="6"/>
      <c r="F64" s="6"/>
      <c r="M64" s="2"/>
    </row>
    <row r="65" spans="1:13" x14ac:dyDescent="0.2">
      <c r="A65" s="6"/>
      <c r="B65" s="6"/>
      <c r="C65" s="6"/>
      <c r="D65" s="6"/>
      <c r="E65" s="6"/>
      <c r="F65" s="6"/>
      <c r="M65" s="2"/>
    </row>
    <row r="66" spans="1:13" x14ac:dyDescent="0.2">
      <c r="A66" s="6"/>
      <c r="B66" s="6"/>
      <c r="C66" s="6"/>
      <c r="D66" s="6"/>
      <c r="E66" s="6"/>
      <c r="F66" s="6"/>
      <c r="M66" s="2"/>
    </row>
    <row r="67" spans="1:13" x14ac:dyDescent="0.2">
      <c r="A67" s="6"/>
      <c r="B67" s="6"/>
      <c r="C67" s="6"/>
      <c r="D67" s="6"/>
      <c r="E67" s="6"/>
      <c r="F67" s="6"/>
      <c r="M67" s="2"/>
    </row>
    <row r="68" spans="1:13" x14ac:dyDescent="0.2">
      <c r="A68" s="6"/>
      <c r="B68" s="6"/>
      <c r="C68" s="6"/>
      <c r="D68" s="6"/>
      <c r="E68" s="6"/>
      <c r="F68" s="6"/>
      <c r="M68" s="2"/>
    </row>
    <row r="69" spans="1:13" x14ac:dyDescent="0.2">
      <c r="A69" s="6"/>
      <c r="B69" s="6"/>
      <c r="C69" s="6"/>
      <c r="D69" s="6"/>
      <c r="E69" s="6"/>
      <c r="F69" s="6"/>
      <c r="M69" s="2"/>
    </row>
    <row r="70" spans="1:13" x14ac:dyDescent="0.2">
      <c r="A70" s="6"/>
      <c r="B70" s="6"/>
      <c r="C70" s="6"/>
      <c r="D70" s="6"/>
      <c r="E70" s="6"/>
      <c r="F70" s="6"/>
      <c r="M70" s="2"/>
    </row>
    <row r="71" spans="1:13" x14ac:dyDescent="0.2">
      <c r="A71" s="6"/>
      <c r="B71" s="6"/>
      <c r="C71" s="6"/>
      <c r="D71" s="6"/>
      <c r="E71" s="6"/>
      <c r="F71" s="6"/>
      <c r="M71" s="2"/>
    </row>
    <row r="72" spans="1:13" x14ac:dyDescent="0.2">
      <c r="A72" s="6"/>
      <c r="B72" s="6"/>
      <c r="C72" s="6"/>
      <c r="D72" s="6"/>
      <c r="E72" s="6"/>
      <c r="F72" s="6"/>
      <c r="G72" s="5"/>
      <c r="H72" s="5"/>
      <c r="I72" s="5"/>
      <c r="J72" s="5"/>
      <c r="K72" s="5"/>
      <c r="L72" s="5"/>
      <c r="M72" s="2"/>
    </row>
    <row r="73" spans="1:13" x14ac:dyDescent="0.2">
      <c r="A73" s="6"/>
      <c r="B73" s="6"/>
      <c r="C73" s="6"/>
      <c r="D73" s="6"/>
      <c r="E73" s="6"/>
      <c r="F73" s="6"/>
      <c r="M73" s="2"/>
    </row>
    <row r="74" spans="1:13" x14ac:dyDescent="0.2">
      <c r="A74" s="6"/>
      <c r="B74" s="6"/>
      <c r="C74" s="6"/>
      <c r="D74" s="6"/>
      <c r="E74" s="6"/>
      <c r="F74" s="6"/>
      <c r="M74" s="2"/>
    </row>
    <row r="75" spans="1:13" x14ac:dyDescent="0.2">
      <c r="A75" s="6"/>
      <c r="B75" s="6"/>
      <c r="C75" s="6"/>
      <c r="D75" s="6"/>
      <c r="E75" s="6"/>
      <c r="F75" s="6"/>
      <c r="M75" s="2"/>
    </row>
    <row r="76" spans="1:13" x14ac:dyDescent="0.2">
      <c r="A76" s="6"/>
      <c r="B76" s="6"/>
      <c r="C76" s="6"/>
      <c r="D76" s="6"/>
      <c r="E76" s="6"/>
      <c r="F76" s="6"/>
      <c r="M76" s="2"/>
    </row>
    <row r="77" spans="1:13" x14ac:dyDescent="0.2">
      <c r="A77" s="6"/>
      <c r="B77" s="6"/>
      <c r="C77" s="6"/>
      <c r="D77" s="6"/>
      <c r="E77" s="6"/>
      <c r="F77" s="6"/>
      <c r="M77" s="2"/>
    </row>
    <row r="78" spans="1:13" x14ac:dyDescent="0.2">
      <c r="A78" s="6"/>
      <c r="B78" s="6"/>
      <c r="C78" s="6"/>
      <c r="D78" s="6"/>
      <c r="E78" s="6"/>
      <c r="F78" s="6"/>
      <c r="M78" s="2"/>
    </row>
    <row r="79" spans="1:13" x14ac:dyDescent="0.2">
      <c r="A79" s="6"/>
      <c r="B79" s="6"/>
      <c r="C79" s="6"/>
      <c r="D79" s="6"/>
      <c r="E79" s="6"/>
      <c r="F79" s="6"/>
      <c r="M79" s="2"/>
    </row>
    <row r="80" spans="1:13" x14ac:dyDescent="0.2">
      <c r="A80" s="6"/>
      <c r="B80" s="6"/>
      <c r="C80" s="6"/>
      <c r="D80" s="6"/>
      <c r="E80" s="6"/>
      <c r="F80" s="6"/>
      <c r="M80" s="2"/>
    </row>
    <row r="81" spans="1:13" x14ac:dyDescent="0.2">
      <c r="A81" s="6"/>
      <c r="B81" s="6"/>
      <c r="C81" s="6"/>
      <c r="D81" s="6"/>
      <c r="E81" s="6"/>
      <c r="F81" s="6"/>
      <c r="M81" s="2"/>
    </row>
    <row r="82" spans="1:13" x14ac:dyDescent="0.2">
      <c r="A82" s="6"/>
      <c r="B82" s="6"/>
      <c r="C82" s="6"/>
      <c r="D82" s="6"/>
      <c r="E82" s="6"/>
      <c r="F82" s="6"/>
      <c r="M82" s="2"/>
    </row>
    <row r="83" spans="1:13" x14ac:dyDescent="0.2">
      <c r="A83" s="6"/>
      <c r="B83" s="6"/>
      <c r="C83" s="6"/>
      <c r="D83" s="6"/>
      <c r="E83" s="6"/>
      <c r="F83" s="6"/>
      <c r="M83" s="2"/>
    </row>
    <row r="84" spans="1:13" x14ac:dyDescent="0.2">
      <c r="A84" s="6"/>
      <c r="B84" s="6"/>
      <c r="C84" s="6"/>
      <c r="D84" s="6"/>
      <c r="E84" s="6"/>
      <c r="F84" s="6"/>
      <c r="M84" s="2"/>
    </row>
    <row r="85" spans="1:13" x14ac:dyDescent="0.2">
      <c r="A85" s="6"/>
      <c r="B85" s="6"/>
      <c r="C85" s="6"/>
      <c r="D85" s="6"/>
      <c r="E85" s="6"/>
      <c r="F85" s="6"/>
      <c r="M85" s="2"/>
    </row>
    <row r="86" spans="1:13" x14ac:dyDescent="0.2">
      <c r="A86" s="6"/>
      <c r="B86" s="6"/>
      <c r="C86" s="6"/>
      <c r="D86" s="6"/>
      <c r="E86" s="6"/>
      <c r="F86" s="6"/>
      <c r="M86" s="2"/>
    </row>
    <row r="87" spans="1:13" x14ac:dyDescent="0.2">
      <c r="A87" s="6"/>
      <c r="B87" s="6"/>
      <c r="C87" s="6"/>
      <c r="D87" s="6"/>
      <c r="E87" s="6"/>
      <c r="F87" s="6"/>
      <c r="M87" s="2"/>
    </row>
    <row r="88" spans="1:13" x14ac:dyDescent="0.2">
      <c r="A88" s="6"/>
      <c r="B88" s="6"/>
      <c r="C88" s="6"/>
      <c r="D88" s="6"/>
      <c r="E88" s="6"/>
      <c r="F88" s="6"/>
      <c r="M88" s="2"/>
    </row>
    <row r="89" spans="1:13" x14ac:dyDescent="0.2">
      <c r="A89" s="6"/>
      <c r="B89" s="6"/>
      <c r="C89" s="6"/>
      <c r="D89" s="6"/>
      <c r="E89" s="6"/>
      <c r="F89" s="6"/>
      <c r="M89" s="2"/>
    </row>
    <row r="90" spans="1:13" x14ac:dyDescent="0.2">
      <c r="A90" s="6"/>
      <c r="B90" s="6"/>
      <c r="C90" s="6"/>
      <c r="D90" s="6"/>
      <c r="E90" s="6"/>
      <c r="F90" s="6"/>
      <c r="M90" s="2"/>
    </row>
    <row r="91" spans="1:13" x14ac:dyDescent="0.2">
      <c r="A91" s="6"/>
      <c r="B91" s="6"/>
      <c r="C91" s="6"/>
      <c r="D91" s="6"/>
      <c r="E91" s="6"/>
      <c r="F91" s="6"/>
      <c r="M91" s="2"/>
    </row>
    <row r="92" spans="1:13" x14ac:dyDescent="0.2">
      <c r="A92" s="6"/>
      <c r="B92" s="6"/>
      <c r="C92" s="6"/>
      <c r="D92" s="6"/>
      <c r="E92" s="6"/>
      <c r="F92" s="6"/>
      <c r="M92" s="2"/>
    </row>
    <row r="93" spans="1:13" x14ac:dyDescent="0.2">
      <c r="A93" s="6"/>
      <c r="B93" s="6"/>
      <c r="C93" s="6"/>
      <c r="D93" s="6"/>
      <c r="E93" s="6"/>
      <c r="F93" s="6"/>
      <c r="M93" s="2"/>
    </row>
    <row r="94" spans="1:13" x14ac:dyDescent="0.2">
      <c r="A94" s="6"/>
      <c r="B94" s="6"/>
      <c r="C94" s="6"/>
      <c r="D94" s="6"/>
      <c r="E94" s="6"/>
      <c r="F94" s="6"/>
      <c r="M94" s="2"/>
    </row>
    <row r="95" spans="1:13" x14ac:dyDescent="0.2">
      <c r="A95" s="6"/>
      <c r="B95" s="6"/>
      <c r="C95" s="6"/>
      <c r="D95" s="6"/>
      <c r="E95" s="6"/>
      <c r="F95" s="6"/>
      <c r="M95" s="2"/>
    </row>
    <row r="96" spans="1:13" x14ac:dyDescent="0.2">
      <c r="A96" s="6"/>
      <c r="B96" s="6"/>
      <c r="C96" s="6"/>
      <c r="D96" s="6"/>
      <c r="E96" s="6"/>
      <c r="F96" s="6"/>
      <c r="G96" s="3"/>
      <c r="H96" s="3"/>
      <c r="I96" s="3"/>
      <c r="M96" s="2"/>
    </row>
    <row r="97" spans="1:13" x14ac:dyDescent="0.2">
      <c r="A97" s="6"/>
      <c r="B97" s="6"/>
      <c r="C97" s="6"/>
      <c r="D97" s="6"/>
      <c r="E97" s="6"/>
      <c r="F97" s="6"/>
      <c r="M97" s="2"/>
    </row>
    <row r="98" spans="1:13" x14ac:dyDescent="0.2">
      <c r="A98" s="6"/>
      <c r="B98" s="6"/>
      <c r="C98" s="6"/>
      <c r="D98" s="6"/>
      <c r="E98" s="6"/>
      <c r="F98" s="6"/>
      <c r="M98" s="2"/>
    </row>
    <row r="99" spans="1:13" x14ac:dyDescent="0.2">
      <c r="A99" s="6"/>
      <c r="B99" s="6"/>
      <c r="C99" s="6"/>
      <c r="D99" s="6"/>
      <c r="E99" s="6"/>
      <c r="F99" s="6"/>
      <c r="M99" s="2"/>
    </row>
    <row r="100" spans="1:13" x14ac:dyDescent="0.2">
      <c r="A100" s="6"/>
      <c r="B100" s="6"/>
      <c r="C100" s="6"/>
      <c r="D100" s="6"/>
      <c r="E100" s="6"/>
      <c r="F100" s="6"/>
      <c r="M100" s="2"/>
    </row>
    <row r="101" spans="1:13" x14ac:dyDescent="0.2">
      <c r="A101" s="6"/>
      <c r="B101" s="6"/>
      <c r="C101" s="6"/>
      <c r="D101" s="6"/>
      <c r="E101" s="6"/>
      <c r="F101" s="6"/>
      <c r="M101" s="2"/>
    </row>
    <row r="102" spans="1:13" x14ac:dyDescent="0.2">
      <c r="A102" s="6"/>
      <c r="B102" s="6"/>
      <c r="C102" s="6"/>
      <c r="D102" s="6"/>
      <c r="E102" s="6"/>
      <c r="F102" s="6"/>
      <c r="M102" s="2"/>
    </row>
    <row r="103" spans="1:13" x14ac:dyDescent="0.2">
      <c r="A103" s="6"/>
      <c r="B103" s="6"/>
      <c r="C103" s="6"/>
      <c r="D103" s="6"/>
      <c r="E103" s="6"/>
      <c r="F103" s="6"/>
      <c r="M103" s="2"/>
    </row>
    <row r="104" spans="1:13" x14ac:dyDescent="0.2">
      <c r="A104" s="6"/>
      <c r="B104" s="6"/>
      <c r="C104" s="6"/>
      <c r="D104" s="6"/>
      <c r="E104" s="6"/>
      <c r="F104" s="6"/>
      <c r="M104" s="2"/>
    </row>
    <row r="105" spans="1:13" x14ac:dyDescent="0.2">
      <c r="A105" s="6"/>
      <c r="B105" s="6"/>
      <c r="C105" s="6"/>
      <c r="D105" s="6"/>
      <c r="E105" s="6"/>
      <c r="F105" s="6"/>
      <c r="M105" s="2"/>
    </row>
    <row r="106" spans="1:13" x14ac:dyDescent="0.2">
      <c r="A106" s="6"/>
      <c r="B106" s="6"/>
      <c r="C106" s="6"/>
      <c r="D106" s="6"/>
      <c r="E106" s="6"/>
      <c r="F106" s="6"/>
      <c r="M106" s="2"/>
    </row>
    <row r="107" spans="1:13" x14ac:dyDescent="0.2">
      <c r="A107" s="6"/>
      <c r="B107" s="6"/>
      <c r="C107" s="6"/>
      <c r="D107" s="6"/>
      <c r="E107" s="6"/>
      <c r="F107" s="6"/>
      <c r="M107" s="2"/>
    </row>
    <row r="108" spans="1:13" x14ac:dyDescent="0.2">
      <c r="A108" s="6"/>
      <c r="B108" s="6"/>
      <c r="C108" s="6"/>
      <c r="D108" s="6"/>
      <c r="E108" s="6"/>
      <c r="F108" s="6"/>
      <c r="M108" s="2"/>
    </row>
    <row r="109" spans="1:13" x14ac:dyDescent="0.2">
      <c r="A109" s="6"/>
      <c r="B109" s="6"/>
      <c r="C109" s="6"/>
      <c r="D109" s="6"/>
      <c r="E109" s="6"/>
      <c r="F109" s="6"/>
      <c r="M109" s="2"/>
    </row>
    <row r="110" spans="1:13" x14ac:dyDescent="0.2">
      <c r="A110" s="6"/>
      <c r="B110" s="6"/>
      <c r="C110" s="6"/>
      <c r="D110" s="6"/>
      <c r="E110" s="6"/>
      <c r="F110" s="6"/>
      <c r="M110" s="2"/>
    </row>
    <row r="111" spans="1:13" x14ac:dyDescent="0.2">
      <c r="A111" s="6"/>
      <c r="B111" s="6"/>
      <c r="C111" s="6"/>
      <c r="D111" s="6"/>
      <c r="E111" s="6"/>
      <c r="F111" s="6"/>
      <c r="M111" s="2"/>
    </row>
    <row r="112" spans="1:13" x14ac:dyDescent="0.2">
      <c r="A112" s="6"/>
      <c r="B112" s="6"/>
      <c r="C112" s="6"/>
      <c r="D112" s="6"/>
      <c r="E112" s="6"/>
      <c r="F112" s="6"/>
      <c r="M112" s="2"/>
    </row>
    <row r="113" spans="1:13" x14ac:dyDescent="0.2">
      <c r="A113" s="6"/>
      <c r="B113" s="6"/>
      <c r="C113" s="6"/>
      <c r="D113" s="6"/>
      <c r="E113" s="6"/>
      <c r="F113" s="6"/>
      <c r="M113" s="2"/>
    </row>
    <row r="114" spans="1:13" x14ac:dyDescent="0.2">
      <c r="A114" s="6"/>
      <c r="B114" s="6"/>
      <c r="C114" s="6"/>
      <c r="D114" s="6"/>
      <c r="E114" s="6"/>
      <c r="F114" s="6"/>
      <c r="M114" s="2"/>
    </row>
    <row r="115" spans="1:13" x14ac:dyDescent="0.2">
      <c r="A115" s="6"/>
      <c r="B115" s="6"/>
      <c r="C115" s="6"/>
      <c r="D115" s="6"/>
      <c r="E115" s="6"/>
      <c r="F115" s="6"/>
      <c r="M115" s="2"/>
    </row>
    <row r="116" spans="1:13" x14ac:dyDescent="0.2">
      <c r="A116" s="6"/>
      <c r="B116" s="6"/>
      <c r="C116" s="6"/>
      <c r="D116" s="6"/>
      <c r="E116" s="6"/>
      <c r="F116" s="6"/>
      <c r="M116" s="2"/>
    </row>
    <row r="117" spans="1:13" x14ac:dyDescent="0.2">
      <c r="A117" s="6"/>
      <c r="B117" s="6"/>
      <c r="C117" s="6"/>
      <c r="D117" s="6"/>
      <c r="E117" s="6"/>
      <c r="F117" s="6"/>
      <c r="M117" s="2"/>
    </row>
    <row r="118" spans="1:13" x14ac:dyDescent="0.2">
      <c r="A118" s="6"/>
      <c r="B118" s="6"/>
      <c r="C118" s="6"/>
      <c r="D118" s="6"/>
      <c r="E118" s="6"/>
      <c r="F118" s="6"/>
      <c r="M118" s="2"/>
    </row>
    <row r="119" spans="1:13" x14ac:dyDescent="0.2">
      <c r="A119" s="6"/>
      <c r="B119" s="6"/>
      <c r="C119" s="6"/>
      <c r="D119" s="6"/>
      <c r="E119" s="6"/>
      <c r="F119" s="6"/>
      <c r="M119" s="2"/>
    </row>
    <row r="120" spans="1:13" x14ac:dyDescent="0.2">
      <c r="A120" s="6"/>
      <c r="B120" s="6"/>
      <c r="C120" s="6"/>
      <c r="D120" s="6"/>
      <c r="E120" s="6"/>
      <c r="F120" s="6"/>
      <c r="M120" s="2"/>
    </row>
    <row r="121" spans="1:13" x14ac:dyDescent="0.2">
      <c r="A121" s="6"/>
      <c r="B121" s="6"/>
      <c r="C121" s="6"/>
      <c r="D121" s="6"/>
      <c r="E121" s="6"/>
      <c r="F121" s="6"/>
      <c r="M121" s="2"/>
    </row>
    <row r="122" spans="1:13" x14ac:dyDescent="0.2">
      <c r="A122" s="6"/>
      <c r="B122" s="6"/>
      <c r="C122" s="6"/>
      <c r="D122" s="6"/>
      <c r="E122" s="6"/>
      <c r="F122" s="6"/>
      <c r="M122" s="2"/>
    </row>
    <row r="123" spans="1:13" x14ac:dyDescent="0.2">
      <c r="A123" s="6"/>
      <c r="B123" s="6"/>
      <c r="C123" s="6"/>
      <c r="D123" s="6"/>
      <c r="E123" s="6"/>
      <c r="F123" s="6"/>
      <c r="M123" s="2"/>
    </row>
    <row r="124" spans="1:13" x14ac:dyDescent="0.2">
      <c r="A124" s="6"/>
      <c r="B124" s="6"/>
      <c r="C124" s="6"/>
      <c r="D124" s="6"/>
      <c r="E124" s="6"/>
      <c r="F124" s="6"/>
      <c r="M124" s="2"/>
    </row>
    <row r="125" spans="1:13" x14ac:dyDescent="0.2">
      <c r="A125" s="6"/>
      <c r="B125" s="6"/>
      <c r="C125" s="6"/>
      <c r="D125" s="6"/>
      <c r="E125" s="6"/>
      <c r="F125" s="6"/>
      <c r="M125" s="2"/>
    </row>
    <row r="126" spans="1:13" x14ac:dyDescent="0.2">
      <c r="A126" s="6"/>
      <c r="B126" s="6"/>
      <c r="C126" s="6"/>
      <c r="D126" s="6"/>
      <c r="E126" s="6"/>
      <c r="F126" s="6"/>
      <c r="M126" s="2"/>
    </row>
    <row r="127" spans="1:13" x14ac:dyDescent="0.2">
      <c r="A127" s="6"/>
      <c r="B127" s="6"/>
      <c r="C127" s="6"/>
      <c r="D127" s="6"/>
      <c r="E127" s="6"/>
      <c r="F127" s="6"/>
      <c r="M127" s="2"/>
    </row>
    <row r="128" spans="1:13" x14ac:dyDescent="0.2">
      <c r="A128" s="6"/>
      <c r="B128" s="6"/>
      <c r="C128" s="6"/>
      <c r="D128" s="6"/>
      <c r="E128" s="6"/>
      <c r="F128" s="6"/>
      <c r="M128" s="2"/>
    </row>
    <row r="129" spans="1:13" x14ac:dyDescent="0.2">
      <c r="A129" s="6"/>
      <c r="B129" s="6"/>
      <c r="C129" s="6"/>
      <c r="D129" s="6"/>
      <c r="E129" s="6"/>
      <c r="F129" s="6"/>
      <c r="M129" s="2"/>
    </row>
    <row r="130" spans="1:13" x14ac:dyDescent="0.2">
      <c r="A130" s="6"/>
      <c r="B130" s="6"/>
      <c r="C130" s="6"/>
      <c r="D130" s="6"/>
      <c r="E130" s="6"/>
      <c r="F130" s="6"/>
      <c r="M130" s="2"/>
    </row>
    <row r="131" spans="1:13" x14ac:dyDescent="0.2">
      <c r="A131" s="6"/>
      <c r="B131" s="6"/>
      <c r="C131" s="6"/>
      <c r="D131" s="6"/>
      <c r="E131" s="6"/>
      <c r="F131" s="6"/>
      <c r="M131" s="2"/>
    </row>
    <row r="132" spans="1:13" x14ac:dyDescent="0.2">
      <c r="A132" s="6"/>
      <c r="B132" s="6"/>
      <c r="C132" s="6"/>
      <c r="D132" s="6"/>
      <c r="E132" s="6"/>
      <c r="F132" s="6"/>
      <c r="M132" s="2"/>
    </row>
    <row r="133" spans="1:13" x14ac:dyDescent="0.2">
      <c r="A133" s="6"/>
      <c r="B133" s="6"/>
      <c r="C133" s="6"/>
      <c r="D133" s="6"/>
      <c r="E133" s="6"/>
      <c r="F133" s="6"/>
      <c r="M133" s="2"/>
    </row>
    <row r="134" spans="1:13" x14ac:dyDescent="0.2">
      <c r="A134" s="6"/>
      <c r="B134" s="6"/>
      <c r="C134" s="6"/>
      <c r="D134" s="6"/>
      <c r="E134" s="6"/>
      <c r="F134" s="6"/>
      <c r="M134" s="2"/>
    </row>
    <row r="135" spans="1:13" x14ac:dyDescent="0.2">
      <c r="A135" s="6"/>
      <c r="B135" s="6"/>
      <c r="C135" s="6"/>
      <c r="D135" s="6"/>
      <c r="E135" s="6"/>
      <c r="F135" s="6"/>
      <c r="M135" s="2"/>
    </row>
    <row r="136" spans="1:13" x14ac:dyDescent="0.2">
      <c r="A136" s="6"/>
      <c r="B136" s="6"/>
      <c r="C136" s="6"/>
      <c r="D136" s="6"/>
      <c r="E136" s="6"/>
      <c r="F136" s="6"/>
      <c r="M136" s="2"/>
    </row>
    <row r="137" spans="1:13" x14ac:dyDescent="0.2">
      <c r="A137" s="6"/>
      <c r="B137" s="6"/>
      <c r="C137" s="6"/>
      <c r="D137" s="6"/>
      <c r="E137" s="6"/>
      <c r="F137" s="6"/>
      <c r="M137" s="2"/>
    </row>
    <row r="138" spans="1:13" x14ac:dyDescent="0.2">
      <c r="A138" s="6"/>
      <c r="B138" s="6"/>
      <c r="C138" s="6"/>
      <c r="D138" s="6"/>
      <c r="E138" s="6"/>
      <c r="F138" s="6"/>
      <c r="M138" s="2"/>
    </row>
    <row r="139" spans="1:13" x14ac:dyDescent="0.2">
      <c r="A139" s="6"/>
      <c r="B139" s="6"/>
      <c r="C139" s="6"/>
      <c r="D139" s="6"/>
      <c r="E139" s="6"/>
      <c r="F139" s="6"/>
      <c r="M139" s="2"/>
    </row>
    <row r="140" spans="1:13" x14ac:dyDescent="0.2">
      <c r="A140" s="6"/>
      <c r="B140" s="6"/>
      <c r="C140" s="6"/>
      <c r="D140" s="6"/>
      <c r="E140" s="6"/>
      <c r="F140" s="6"/>
      <c r="M140" s="2"/>
    </row>
    <row r="141" spans="1:13" x14ac:dyDescent="0.2">
      <c r="A141" s="6"/>
      <c r="B141" s="6"/>
      <c r="C141" s="6"/>
      <c r="D141" s="6"/>
      <c r="E141" s="6"/>
      <c r="F141" s="6"/>
      <c r="G141" s="3"/>
      <c r="H141" s="3"/>
      <c r="I141" s="3"/>
      <c r="M141" s="2"/>
    </row>
    <row r="142" spans="1:13" x14ac:dyDescent="0.2">
      <c r="A142" s="6"/>
      <c r="B142" s="6"/>
      <c r="C142" s="6"/>
      <c r="D142" s="6"/>
      <c r="E142" s="6"/>
      <c r="F142" s="6"/>
      <c r="M142" s="2"/>
    </row>
    <row r="143" spans="1:13" x14ac:dyDescent="0.2">
      <c r="A143" s="6"/>
      <c r="B143" s="6"/>
      <c r="C143" s="6"/>
      <c r="D143" s="6"/>
      <c r="E143" s="6"/>
      <c r="F143" s="6"/>
      <c r="M143" s="2"/>
    </row>
    <row r="144" spans="1:13" x14ac:dyDescent="0.2">
      <c r="A144" s="6"/>
      <c r="B144" s="6"/>
      <c r="C144" s="6"/>
      <c r="D144" s="6"/>
      <c r="E144" s="6"/>
      <c r="F144" s="6"/>
      <c r="M144" s="2"/>
    </row>
    <row r="145" spans="1:13" x14ac:dyDescent="0.2">
      <c r="A145" s="6"/>
      <c r="B145" s="6"/>
      <c r="C145" s="6"/>
      <c r="D145" s="6"/>
      <c r="E145" s="6"/>
      <c r="F145" s="6"/>
      <c r="M145" s="2"/>
    </row>
    <row r="146" spans="1:13" x14ac:dyDescent="0.2">
      <c r="A146" s="6"/>
      <c r="B146" s="6"/>
      <c r="C146" s="6"/>
      <c r="D146" s="6"/>
      <c r="E146" s="6"/>
      <c r="F146" s="6"/>
      <c r="M146" s="2"/>
    </row>
    <row r="147" spans="1:13" x14ac:dyDescent="0.2">
      <c r="A147" s="6"/>
      <c r="B147" s="6"/>
      <c r="C147" s="6"/>
      <c r="D147" s="6"/>
      <c r="E147" s="6"/>
      <c r="F147" s="6"/>
      <c r="M147" s="2"/>
    </row>
    <row r="148" spans="1:13" x14ac:dyDescent="0.2">
      <c r="A148" s="6"/>
      <c r="B148" s="6"/>
      <c r="C148" s="6"/>
      <c r="D148" s="6"/>
      <c r="E148" s="6"/>
      <c r="F148" s="6"/>
      <c r="M148" s="2"/>
    </row>
    <row r="149" spans="1:13" x14ac:dyDescent="0.2">
      <c r="A149" s="6"/>
      <c r="B149" s="6"/>
      <c r="C149" s="6"/>
      <c r="D149" s="6"/>
      <c r="E149" s="6"/>
      <c r="F149" s="6"/>
      <c r="M149" s="2"/>
    </row>
    <row r="150" spans="1:13" x14ac:dyDescent="0.2">
      <c r="A150" s="6"/>
      <c r="B150" s="6"/>
      <c r="C150" s="6"/>
      <c r="D150" s="6"/>
      <c r="E150" s="6"/>
      <c r="F150" s="6"/>
      <c r="M150" s="2"/>
    </row>
    <row r="151" spans="1:13" x14ac:dyDescent="0.2">
      <c r="A151" s="6"/>
      <c r="B151" s="6"/>
      <c r="C151" s="6"/>
      <c r="D151" s="6"/>
      <c r="E151" s="6"/>
      <c r="F151" s="6"/>
      <c r="M151" s="2"/>
    </row>
    <row r="152" spans="1:13" x14ac:dyDescent="0.2">
      <c r="A152" s="6"/>
      <c r="B152" s="6"/>
      <c r="C152" s="6"/>
      <c r="D152" s="6"/>
      <c r="E152" s="6"/>
      <c r="F152" s="6"/>
      <c r="M152" s="2"/>
    </row>
    <row r="153" spans="1:13" x14ac:dyDescent="0.2">
      <c r="A153" s="6"/>
      <c r="B153" s="6"/>
      <c r="C153" s="6"/>
      <c r="D153" s="6"/>
      <c r="E153" s="6"/>
      <c r="F153" s="6"/>
      <c r="M153" s="2"/>
    </row>
    <row r="154" spans="1:13" x14ac:dyDescent="0.2">
      <c r="A154" s="6"/>
      <c r="B154" s="6"/>
      <c r="C154" s="6"/>
      <c r="D154" s="6"/>
      <c r="E154" s="6"/>
      <c r="F154" s="6"/>
      <c r="M154" s="2"/>
    </row>
    <row r="155" spans="1:13" x14ac:dyDescent="0.2">
      <c r="A155" s="6"/>
      <c r="B155" s="6"/>
      <c r="C155" s="6"/>
      <c r="D155" s="6"/>
      <c r="E155" s="6"/>
      <c r="F155" s="6"/>
      <c r="M155" s="2"/>
    </row>
    <row r="156" spans="1:13" x14ac:dyDescent="0.2">
      <c r="A156" s="6"/>
      <c r="B156" s="6"/>
      <c r="C156" s="6"/>
      <c r="D156" s="6"/>
      <c r="E156" s="6"/>
      <c r="F156" s="6"/>
      <c r="M156" s="2"/>
    </row>
    <row r="157" spans="1:13" x14ac:dyDescent="0.2">
      <c r="A157" s="6"/>
      <c r="B157" s="6"/>
      <c r="C157" s="6"/>
      <c r="D157" s="6"/>
      <c r="E157" s="6"/>
      <c r="F157" s="6"/>
      <c r="M157" s="2"/>
    </row>
    <row r="158" spans="1:13" x14ac:dyDescent="0.2">
      <c r="A158" s="6"/>
      <c r="B158" s="6"/>
      <c r="C158" s="6"/>
      <c r="D158" s="6"/>
      <c r="E158" s="6"/>
      <c r="F158" s="6"/>
      <c r="M158" s="2"/>
    </row>
    <row r="159" spans="1:13" x14ac:dyDescent="0.2">
      <c r="A159" s="6"/>
      <c r="B159" s="6"/>
      <c r="C159" s="6"/>
      <c r="D159" s="6"/>
      <c r="E159" s="6"/>
      <c r="F159" s="6"/>
      <c r="M159" s="2"/>
    </row>
    <row r="160" spans="1:13" x14ac:dyDescent="0.2">
      <c r="A160" s="6"/>
      <c r="B160" s="6"/>
      <c r="C160" s="6"/>
      <c r="D160" s="6"/>
      <c r="E160" s="6"/>
      <c r="F160" s="6"/>
      <c r="M160" s="2"/>
    </row>
    <row r="161" spans="1:13" x14ac:dyDescent="0.2">
      <c r="A161" s="6"/>
      <c r="B161" s="6"/>
      <c r="C161" s="6"/>
      <c r="D161" s="6"/>
      <c r="E161" s="6"/>
      <c r="F161" s="6"/>
      <c r="M161" s="2"/>
    </row>
    <row r="162" spans="1:13" x14ac:dyDescent="0.2">
      <c r="A162" s="6"/>
      <c r="B162" s="6"/>
      <c r="C162" s="6"/>
      <c r="D162" s="6"/>
      <c r="E162" s="6"/>
      <c r="F162" s="6"/>
      <c r="M162" s="2"/>
    </row>
    <row r="163" spans="1:13" x14ac:dyDescent="0.2">
      <c r="A163" s="6"/>
      <c r="B163" s="6"/>
      <c r="C163" s="6"/>
      <c r="D163" s="6"/>
      <c r="E163" s="6"/>
      <c r="F163" s="6"/>
      <c r="M163" s="2"/>
    </row>
    <row r="164" spans="1:13" x14ac:dyDescent="0.2">
      <c r="A164" s="6"/>
      <c r="B164" s="6"/>
      <c r="C164" s="6"/>
      <c r="D164" s="6"/>
      <c r="E164" s="6"/>
      <c r="F164" s="6"/>
      <c r="M164" s="2"/>
    </row>
    <row r="165" spans="1:13" x14ac:dyDescent="0.2">
      <c r="A165" s="6"/>
      <c r="B165" s="6"/>
      <c r="C165" s="6"/>
      <c r="D165" s="6"/>
      <c r="E165" s="6"/>
      <c r="F165" s="6"/>
      <c r="M165" s="2"/>
    </row>
    <row r="166" spans="1:13" x14ac:dyDescent="0.2">
      <c r="A166" s="6"/>
      <c r="B166" s="6"/>
      <c r="C166" s="6"/>
      <c r="D166" s="6"/>
      <c r="E166" s="6"/>
      <c r="F166" s="6"/>
      <c r="M166" s="2"/>
    </row>
    <row r="167" spans="1:13" x14ac:dyDescent="0.2">
      <c r="A167" s="6"/>
      <c r="B167" s="6"/>
      <c r="C167" s="6"/>
      <c r="D167" s="6"/>
      <c r="E167" s="6"/>
      <c r="F167" s="6"/>
      <c r="M167" s="2"/>
    </row>
    <row r="168" spans="1:13" x14ac:dyDescent="0.2">
      <c r="A168" s="6"/>
      <c r="B168" s="6"/>
      <c r="C168" s="6"/>
      <c r="D168" s="6"/>
      <c r="E168" s="6"/>
      <c r="F168" s="6"/>
      <c r="M168" s="2"/>
    </row>
    <row r="169" spans="1:13" x14ac:dyDescent="0.2">
      <c r="A169" s="6"/>
      <c r="B169" s="6"/>
      <c r="C169" s="6"/>
      <c r="D169" s="6"/>
      <c r="E169" s="6"/>
      <c r="F169" s="6"/>
      <c r="M169" s="2"/>
    </row>
    <row r="170" spans="1:13" x14ac:dyDescent="0.2">
      <c r="A170" s="6"/>
      <c r="B170" s="6"/>
      <c r="C170" s="6"/>
      <c r="D170" s="6"/>
      <c r="E170" s="6"/>
      <c r="F170" s="6"/>
      <c r="M170" s="2"/>
    </row>
    <row r="171" spans="1:13" x14ac:dyDescent="0.2">
      <c r="A171" s="6"/>
      <c r="B171" s="6"/>
      <c r="C171" s="6"/>
      <c r="D171" s="6"/>
      <c r="E171" s="6"/>
      <c r="F171" s="6"/>
      <c r="M171" s="2"/>
    </row>
    <row r="172" spans="1:13" x14ac:dyDescent="0.2">
      <c r="A172" s="6"/>
      <c r="B172" s="6"/>
      <c r="C172" s="6"/>
      <c r="D172" s="6"/>
      <c r="E172" s="6"/>
      <c r="F172" s="6"/>
      <c r="M172" s="2"/>
    </row>
    <row r="173" spans="1:13" x14ac:dyDescent="0.2">
      <c r="A173" s="6"/>
      <c r="B173" s="6"/>
      <c r="C173" s="6"/>
      <c r="D173" s="6"/>
      <c r="E173" s="6"/>
      <c r="F173" s="6"/>
      <c r="M173" s="2"/>
    </row>
    <row r="174" spans="1:13" x14ac:dyDescent="0.2">
      <c r="A174" s="6"/>
      <c r="B174" s="6"/>
      <c r="C174" s="6"/>
      <c r="D174" s="6"/>
      <c r="E174" s="6"/>
      <c r="F174" s="6"/>
      <c r="M174" s="2"/>
    </row>
    <row r="175" spans="1:13" x14ac:dyDescent="0.2">
      <c r="A175" s="6"/>
      <c r="B175" s="6"/>
      <c r="C175" s="6"/>
      <c r="D175" s="6"/>
      <c r="E175" s="6"/>
      <c r="F175" s="6"/>
      <c r="M175" s="2"/>
    </row>
    <row r="176" spans="1:13" x14ac:dyDescent="0.2">
      <c r="A176" s="6"/>
      <c r="B176" s="6"/>
      <c r="C176" s="6"/>
      <c r="D176" s="6"/>
      <c r="E176" s="6"/>
      <c r="F176" s="6"/>
      <c r="M176" s="2"/>
    </row>
    <row r="177" spans="1:13" x14ac:dyDescent="0.2">
      <c r="A177" s="6"/>
      <c r="B177" s="6"/>
      <c r="C177" s="6"/>
      <c r="D177" s="6"/>
      <c r="E177" s="6"/>
      <c r="F177" s="6"/>
      <c r="M177" s="2"/>
    </row>
    <row r="178" spans="1:13" x14ac:dyDescent="0.2">
      <c r="A178" s="6"/>
      <c r="B178" s="6"/>
      <c r="C178" s="6"/>
      <c r="D178" s="6"/>
      <c r="E178" s="6"/>
      <c r="F178" s="6"/>
      <c r="M178" s="2"/>
    </row>
    <row r="179" spans="1:13" x14ac:dyDescent="0.2">
      <c r="A179" s="6"/>
      <c r="B179" s="6"/>
      <c r="C179" s="6"/>
      <c r="D179" s="6"/>
      <c r="E179" s="6"/>
      <c r="F179" s="6"/>
      <c r="M179" s="2"/>
    </row>
    <row r="180" spans="1:13" x14ac:dyDescent="0.2">
      <c r="A180" s="6"/>
      <c r="B180" s="6"/>
      <c r="C180" s="6"/>
      <c r="D180" s="6"/>
      <c r="E180" s="6"/>
      <c r="F180" s="6"/>
      <c r="M180" s="2"/>
    </row>
    <row r="181" spans="1:13" x14ac:dyDescent="0.2">
      <c r="A181" s="6"/>
      <c r="B181" s="6"/>
      <c r="C181" s="6"/>
      <c r="D181" s="6"/>
      <c r="E181" s="6"/>
      <c r="F181" s="6"/>
      <c r="M181" s="2"/>
    </row>
    <row r="182" spans="1:13" x14ac:dyDescent="0.2">
      <c r="A182" s="6"/>
      <c r="B182" s="6"/>
      <c r="C182" s="6"/>
      <c r="D182" s="6"/>
      <c r="E182" s="6"/>
      <c r="F182" s="6"/>
      <c r="M182" s="2"/>
    </row>
    <row r="183" spans="1:13" x14ac:dyDescent="0.2">
      <c r="A183" s="6"/>
      <c r="B183" s="6"/>
      <c r="C183" s="6"/>
      <c r="D183" s="6"/>
      <c r="E183" s="6"/>
      <c r="F183" s="6"/>
      <c r="M183" s="2"/>
    </row>
    <row r="184" spans="1:13" x14ac:dyDescent="0.2">
      <c r="A184" s="6"/>
      <c r="B184" s="6"/>
      <c r="C184" s="6"/>
      <c r="D184" s="6"/>
      <c r="E184" s="6"/>
      <c r="F184" s="6"/>
      <c r="M184" s="2"/>
    </row>
    <row r="185" spans="1:13" x14ac:dyDescent="0.2">
      <c r="A185" s="6"/>
      <c r="B185" s="6"/>
      <c r="C185" s="6"/>
      <c r="D185" s="6"/>
      <c r="E185" s="6"/>
      <c r="F185" s="6"/>
      <c r="M185" s="2"/>
    </row>
    <row r="186" spans="1:13" x14ac:dyDescent="0.2">
      <c r="A186" s="6"/>
      <c r="B186" s="6"/>
      <c r="C186" s="6"/>
      <c r="D186" s="6"/>
      <c r="E186" s="6"/>
      <c r="F186" s="6"/>
      <c r="G186" s="3"/>
      <c r="H186" s="3"/>
      <c r="I186" s="3"/>
      <c r="M186" s="2"/>
    </row>
    <row r="187" spans="1:13" x14ac:dyDescent="0.2">
      <c r="A187" s="6"/>
      <c r="B187" s="6"/>
      <c r="C187" s="6"/>
      <c r="D187" s="6"/>
      <c r="E187" s="6"/>
      <c r="F187" s="6"/>
      <c r="M187" s="2"/>
    </row>
    <row r="188" spans="1:13" x14ac:dyDescent="0.2">
      <c r="A188" s="6"/>
      <c r="B188" s="6"/>
      <c r="C188" s="6"/>
      <c r="D188" s="6"/>
      <c r="E188" s="6"/>
      <c r="F188" s="6"/>
      <c r="M188" s="2"/>
    </row>
    <row r="189" spans="1:13" x14ac:dyDescent="0.2">
      <c r="A189" s="6"/>
      <c r="B189" s="6"/>
      <c r="C189" s="6"/>
      <c r="D189" s="6"/>
      <c r="E189" s="6"/>
      <c r="F189" s="6"/>
      <c r="M189" s="2"/>
    </row>
    <row r="190" spans="1:13" x14ac:dyDescent="0.2">
      <c r="A190" s="6"/>
      <c r="B190" s="6"/>
      <c r="C190" s="6"/>
      <c r="D190" s="6"/>
      <c r="E190" s="6"/>
      <c r="F190" s="6"/>
      <c r="M190" s="2"/>
    </row>
    <row r="191" spans="1:13" x14ac:dyDescent="0.2">
      <c r="A191" s="6"/>
      <c r="B191" s="6"/>
      <c r="C191" s="6"/>
      <c r="D191" s="6"/>
      <c r="E191" s="6"/>
      <c r="F191" s="6"/>
      <c r="M191" s="2"/>
    </row>
    <row r="192" spans="1:13" x14ac:dyDescent="0.2">
      <c r="A192" s="6"/>
      <c r="B192" s="6"/>
      <c r="C192" s="6"/>
      <c r="D192" s="6"/>
      <c r="E192" s="6"/>
      <c r="F192" s="6"/>
      <c r="M192" s="2"/>
    </row>
    <row r="193" spans="1:13" x14ac:dyDescent="0.2">
      <c r="A193" s="6"/>
      <c r="B193" s="6"/>
      <c r="C193" s="6"/>
      <c r="D193" s="6"/>
      <c r="E193" s="6"/>
      <c r="F193" s="6"/>
      <c r="M193" s="2"/>
    </row>
    <row r="194" spans="1:13" x14ac:dyDescent="0.2">
      <c r="A194" s="6"/>
      <c r="B194" s="6"/>
      <c r="C194" s="6"/>
      <c r="D194" s="6"/>
      <c r="E194" s="6"/>
      <c r="F194" s="6"/>
      <c r="M194" s="2"/>
    </row>
    <row r="195" spans="1:13" x14ac:dyDescent="0.2">
      <c r="A195" s="6"/>
      <c r="B195" s="6"/>
      <c r="C195" s="6"/>
      <c r="D195" s="6"/>
      <c r="E195" s="6"/>
      <c r="F195" s="6"/>
      <c r="M195" s="2"/>
    </row>
    <row r="196" spans="1:13" x14ac:dyDescent="0.2">
      <c r="A196" s="6"/>
      <c r="B196" s="6"/>
      <c r="C196" s="6"/>
      <c r="D196" s="6"/>
      <c r="E196" s="6"/>
      <c r="F196" s="6"/>
      <c r="M196" s="2"/>
    </row>
    <row r="197" spans="1:13" x14ac:dyDescent="0.2">
      <c r="A197" s="6"/>
      <c r="B197" s="6"/>
      <c r="C197" s="6"/>
      <c r="D197" s="6"/>
      <c r="E197" s="6"/>
      <c r="F197" s="6"/>
      <c r="M197" s="2"/>
    </row>
    <row r="198" spans="1:13" x14ac:dyDescent="0.2">
      <c r="A198" s="6"/>
      <c r="B198" s="6"/>
      <c r="C198" s="6"/>
      <c r="D198" s="6"/>
      <c r="E198" s="6"/>
      <c r="F198" s="6"/>
      <c r="M198" s="2"/>
    </row>
    <row r="199" spans="1:13" x14ac:dyDescent="0.2">
      <c r="A199" s="6"/>
      <c r="B199" s="6"/>
      <c r="C199" s="6"/>
      <c r="D199" s="6"/>
      <c r="E199" s="6"/>
      <c r="F199" s="6"/>
      <c r="M199" s="2"/>
    </row>
    <row r="200" spans="1:13" x14ac:dyDescent="0.2">
      <c r="A200" s="6"/>
      <c r="B200" s="6"/>
      <c r="C200" s="6"/>
      <c r="D200" s="6"/>
      <c r="E200" s="6"/>
      <c r="F200" s="6"/>
      <c r="M200" s="2"/>
    </row>
    <row r="201" spans="1:13" x14ac:dyDescent="0.2">
      <c r="A201" s="6"/>
      <c r="B201" s="6"/>
      <c r="C201" s="6"/>
      <c r="D201" s="6"/>
      <c r="E201" s="6"/>
      <c r="F201" s="6"/>
      <c r="M201" s="2"/>
    </row>
    <row r="202" spans="1:13" x14ac:dyDescent="0.2">
      <c r="A202" s="6"/>
      <c r="B202" s="6"/>
      <c r="C202" s="6"/>
      <c r="D202" s="6"/>
      <c r="E202" s="6"/>
      <c r="F202" s="6"/>
      <c r="M202" s="2"/>
    </row>
    <row r="203" spans="1:13" x14ac:dyDescent="0.2">
      <c r="A203" s="6"/>
      <c r="B203" s="6"/>
      <c r="C203" s="6"/>
      <c r="D203" s="6"/>
      <c r="E203" s="6"/>
      <c r="F203" s="6"/>
      <c r="M203" s="2"/>
    </row>
    <row r="204" spans="1:13" x14ac:dyDescent="0.2">
      <c r="A204" s="6"/>
      <c r="B204" s="6"/>
      <c r="C204" s="6"/>
      <c r="D204" s="6"/>
      <c r="E204" s="6"/>
      <c r="F204" s="6"/>
      <c r="M204" s="2"/>
    </row>
    <row r="205" spans="1:13" x14ac:dyDescent="0.2">
      <c r="A205" s="6"/>
      <c r="B205" s="6"/>
      <c r="C205" s="6"/>
      <c r="D205" s="6"/>
      <c r="E205" s="6"/>
      <c r="F205" s="6"/>
      <c r="M205" s="2"/>
    </row>
    <row r="206" spans="1:13" x14ac:dyDescent="0.2">
      <c r="A206" s="6"/>
      <c r="B206" s="6"/>
      <c r="C206" s="6"/>
      <c r="D206" s="6"/>
      <c r="E206" s="6"/>
      <c r="F206" s="6"/>
      <c r="M206" s="2"/>
    </row>
    <row r="207" spans="1:13" x14ac:dyDescent="0.2">
      <c r="A207" s="6"/>
      <c r="B207" s="6"/>
      <c r="C207" s="6"/>
      <c r="D207" s="6"/>
      <c r="E207" s="6"/>
      <c r="F207" s="6"/>
      <c r="M207" s="2"/>
    </row>
    <row r="208" spans="1:13" x14ac:dyDescent="0.2">
      <c r="A208" s="6"/>
      <c r="B208" s="6"/>
      <c r="C208" s="6"/>
      <c r="D208" s="6"/>
      <c r="E208" s="6"/>
      <c r="F208" s="6"/>
      <c r="M208" s="2"/>
    </row>
    <row r="209" spans="1:13" x14ac:dyDescent="0.2">
      <c r="A209" s="6"/>
      <c r="B209" s="6"/>
      <c r="C209" s="6"/>
      <c r="D209" s="6"/>
      <c r="E209" s="6"/>
      <c r="F209" s="6"/>
      <c r="M209" s="2"/>
    </row>
    <row r="210" spans="1:13" x14ac:dyDescent="0.2">
      <c r="A210" s="6"/>
      <c r="B210" s="6"/>
      <c r="C210" s="6"/>
      <c r="D210" s="6"/>
      <c r="E210" s="6"/>
      <c r="F210" s="6"/>
      <c r="M210" s="2"/>
    </row>
    <row r="211" spans="1:13" x14ac:dyDescent="0.2">
      <c r="A211" s="6"/>
      <c r="B211" s="6"/>
      <c r="C211" s="6"/>
      <c r="D211" s="6"/>
      <c r="E211" s="6"/>
      <c r="F211" s="6"/>
      <c r="M211" s="2"/>
    </row>
    <row r="212" spans="1:13" x14ac:dyDescent="0.2">
      <c r="A212" s="6"/>
      <c r="B212" s="6"/>
      <c r="C212" s="6"/>
      <c r="D212" s="6"/>
      <c r="E212" s="6"/>
      <c r="F212" s="6"/>
      <c r="M212" s="2"/>
    </row>
    <row r="213" spans="1:13" x14ac:dyDescent="0.2">
      <c r="A213" s="6"/>
      <c r="B213" s="6"/>
      <c r="C213" s="6"/>
      <c r="D213" s="6"/>
      <c r="E213" s="6"/>
      <c r="F213" s="6"/>
      <c r="M213" s="2"/>
    </row>
    <row r="214" spans="1:13" x14ac:dyDescent="0.2">
      <c r="A214" s="6"/>
      <c r="B214" s="6"/>
      <c r="C214" s="6"/>
      <c r="D214" s="6"/>
      <c r="E214" s="6"/>
      <c r="F214" s="6"/>
      <c r="M214" s="2"/>
    </row>
    <row r="215" spans="1:13" x14ac:dyDescent="0.2">
      <c r="A215" s="6"/>
      <c r="B215" s="6"/>
      <c r="C215" s="6"/>
      <c r="D215" s="6"/>
      <c r="E215" s="6"/>
      <c r="F215" s="6"/>
      <c r="M215" s="2"/>
    </row>
    <row r="216" spans="1:13" x14ac:dyDescent="0.2">
      <c r="A216" s="6"/>
      <c r="B216" s="6"/>
      <c r="C216" s="6"/>
      <c r="D216" s="6"/>
      <c r="E216" s="6"/>
      <c r="F216" s="6"/>
      <c r="M216" s="2"/>
    </row>
    <row r="217" spans="1:13" x14ac:dyDescent="0.2">
      <c r="A217" s="6"/>
      <c r="B217" s="6"/>
      <c r="C217" s="6"/>
      <c r="D217" s="6"/>
      <c r="E217" s="6"/>
      <c r="F217" s="6"/>
      <c r="M217" s="2"/>
    </row>
    <row r="218" spans="1:13" x14ac:dyDescent="0.2">
      <c r="A218" s="6"/>
      <c r="B218" s="6"/>
      <c r="C218" s="6"/>
      <c r="D218" s="6"/>
      <c r="E218" s="6"/>
      <c r="F218" s="6"/>
      <c r="M218" s="2"/>
    </row>
    <row r="219" spans="1:13" x14ac:dyDescent="0.2">
      <c r="A219" s="6"/>
      <c r="B219" s="6"/>
      <c r="C219" s="6"/>
      <c r="D219" s="6"/>
      <c r="E219" s="6"/>
      <c r="F219" s="6"/>
      <c r="M219" s="2"/>
    </row>
    <row r="220" spans="1:13" x14ac:dyDescent="0.2">
      <c r="A220" s="6"/>
      <c r="B220" s="6"/>
      <c r="C220" s="6"/>
      <c r="D220" s="6"/>
      <c r="E220" s="6"/>
      <c r="F220" s="6"/>
      <c r="M220" s="2"/>
    </row>
    <row r="221" spans="1:13" x14ac:dyDescent="0.2">
      <c r="A221" s="6"/>
      <c r="B221" s="6"/>
      <c r="C221" s="6"/>
      <c r="D221" s="6"/>
      <c r="E221" s="6"/>
      <c r="F221" s="6"/>
      <c r="M221" s="2"/>
    </row>
    <row r="222" spans="1:13" x14ac:dyDescent="0.2">
      <c r="A222" s="6"/>
      <c r="B222" s="6"/>
      <c r="C222" s="6"/>
      <c r="D222" s="6"/>
      <c r="E222" s="6"/>
      <c r="F222" s="6"/>
      <c r="M222" s="2"/>
    </row>
    <row r="223" spans="1:13" x14ac:dyDescent="0.2">
      <c r="A223" s="6"/>
      <c r="B223" s="6"/>
      <c r="C223" s="6"/>
      <c r="D223" s="6"/>
      <c r="E223" s="6"/>
      <c r="F223" s="6"/>
      <c r="M223" s="2"/>
    </row>
    <row r="224" spans="1:13" x14ac:dyDescent="0.2">
      <c r="A224" s="6"/>
      <c r="B224" s="6"/>
      <c r="C224" s="6"/>
      <c r="D224" s="6"/>
      <c r="E224" s="6"/>
      <c r="F224" s="6"/>
      <c r="M224" s="2"/>
    </row>
    <row r="225" spans="1:13" x14ac:dyDescent="0.2">
      <c r="A225" s="6"/>
      <c r="B225" s="6"/>
      <c r="C225" s="6"/>
      <c r="D225" s="6"/>
      <c r="E225" s="6"/>
      <c r="F225" s="6"/>
      <c r="M225" s="2"/>
    </row>
    <row r="226" spans="1:13" x14ac:dyDescent="0.2">
      <c r="A226" s="6"/>
      <c r="B226" s="6"/>
      <c r="C226" s="6"/>
      <c r="D226" s="6"/>
      <c r="E226" s="6"/>
      <c r="F226" s="6"/>
      <c r="M226" s="2"/>
    </row>
    <row r="227" spans="1:13" x14ac:dyDescent="0.2">
      <c r="A227" s="6"/>
      <c r="B227" s="6"/>
      <c r="C227" s="6"/>
      <c r="D227" s="6"/>
      <c r="E227" s="6"/>
      <c r="F227" s="6"/>
      <c r="M227" s="2"/>
    </row>
    <row r="228" spans="1:13" x14ac:dyDescent="0.2">
      <c r="A228" s="6"/>
      <c r="B228" s="6"/>
      <c r="C228" s="6"/>
      <c r="D228" s="6"/>
      <c r="E228" s="6"/>
      <c r="F228" s="6"/>
      <c r="M228" s="2"/>
    </row>
    <row r="229" spans="1:13" x14ac:dyDescent="0.2">
      <c r="A229" s="6"/>
      <c r="B229" s="6"/>
      <c r="C229" s="6"/>
      <c r="D229" s="6"/>
      <c r="E229" s="6"/>
      <c r="F229" s="6"/>
      <c r="M229" s="2"/>
    </row>
    <row r="230" spans="1:13" x14ac:dyDescent="0.2">
      <c r="A230" s="6"/>
      <c r="B230" s="6"/>
      <c r="C230" s="6"/>
      <c r="D230" s="6"/>
      <c r="E230" s="6"/>
      <c r="F230" s="6"/>
      <c r="M230" s="2"/>
    </row>
    <row r="231" spans="1:13" x14ac:dyDescent="0.2">
      <c r="A231" s="6"/>
      <c r="B231" s="6"/>
      <c r="C231" s="6"/>
      <c r="D231" s="6"/>
      <c r="E231" s="6"/>
      <c r="F231" s="6"/>
      <c r="G231" s="3"/>
      <c r="H231" s="3"/>
      <c r="I231" s="3"/>
      <c r="M231" s="2"/>
    </row>
  </sheetData>
  <mergeCells count="5">
    <mergeCell ref="A3:B3"/>
    <mergeCell ref="B16:C16"/>
    <mergeCell ref="D16:F16"/>
    <mergeCell ref="G16:H16"/>
    <mergeCell ref="K16:L16"/>
  </mergeCells>
  <pageMargins left="0.75" right="0.75" top="1" bottom="1" header="0" footer="0"/>
  <pageSetup paperSize="9" orientation="portrait" horizontalDpi="300" verticalDpi="12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31"/>
  <sheetViews>
    <sheetView zoomScaleNormal="100" workbookViewId="0">
      <selection activeCell="H34" sqref="H34"/>
    </sheetView>
  </sheetViews>
  <sheetFormatPr baseColWidth="10" defaultRowHeight="12.75" x14ac:dyDescent="0.2"/>
  <cols>
    <col min="2" max="2" width="13.28515625" customWidth="1"/>
    <col min="3" max="3" width="9" customWidth="1"/>
    <col min="4" max="4" width="13.5703125" customWidth="1"/>
    <col min="5" max="5" width="14.5703125" customWidth="1"/>
    <col min="6" max="6" width="10.5703125" customWidth="1"/>
    <col min="7" max="7" width="9.5703125" customWidth="1"/>
    <col min="8" max="8" width="13.28515625" customWidth="1"/>
    <col min="9" max="9" width="10.7109375" customWidth="1"/>
    <col min="10" max="10" width="12.7109375" customWidth="1"/>
    <col min="11" max="12" width="10.7109375" customWidth="1"/>
    <col min="13" max="13" width="12.5703125" customWidth="1"/>
    <col min="14" max="14" width="12.7109375" customWidth="1"/>
  </cols>
  <sheetData>
    <row r="1" spans="1:17" ht="15.75" x14ac:dyDescent="0.25">
      <c r="A1" s="119" t="s">
        <v>33</v>
      </c>
      <c r="B1" s="22" t="s">
        <v>65</v>
      </c>
      <c r="E1" s="8"/>
      <c r="G1" s="108" t="s">
        <v>29</v>
      </c>
      <c r="H1" s="109" t="s">
        <v>36</v>
      </c>
      <c r="I1" s="120" t="s">
        <v>64</v>
      </c>
      <c r="J1" s="110" t="s">
        <v>37</v>
      </c>
      <c r="K1" s="8"/>
      <c r="L1" s="8"/>
      <c r="M1" s="8"/>
      <c r="N1" s="8"/>
    </row>
    <row r="2" spans="1:17" ht="15.75" x14ac:dyDescent="0.25">
      <c r="E2" s="8"/>
      <c r="G2" s="123">
        <v>24</v>
      </c>
      <c r="H2" s="124" t="s">
        <v>7</v>
      </c>
      <c r="I2" s="125">
        <v>31</v>
      </c>
      <c r="J2" s="128">
        <f>IF(G2&lt;&gt;"",G2,"")</f>
        <v>24</v>
      </c>
      <c r="K2" s="8"/>
      <c r="L2" s="8"/>
      <c r="M2" s="8"/>
      <c r="N2" s="8"/>
    </row>
    <row r="3" spans="1:17" ht="15.75" x14ac:dyDescent="0.25">
      <c r="A3" s="138" t="s">
        <v>20</v>
      </c>
      <c r="B3" s="139"/>
      <c r="C3" s="17" t="s">
        <v>21</v>
      </c>
      <c r="E3" s="11"/>
      <c r="G3" s="127"/>
      <c r="H3" s="10" t="s">
        <v>8</v>
      </c>
      <c r="I3" s="38">
        <v>28</v>
      </c>
      <c r="J3" s="40" t="str">
        <f>IF(G3&lt;&gt;"",I2+G3,"")</f>
        <v/>
      </c>
      <c r="K3" s="8"/>
      <c r="L3" s="8"/>
      <c r="M3" s="8"/>
      <c r="N3" s="8"/>
    </row>
    <row r="4" spans="1:17" ht="15" x14ac:dyDescent="0.2">
      <c r="A4" s="18" t="s">
        <v>19</v>
      </c>
      <c r="B4" s="19" t="s">
        <v>1</v>
      </c>
      <c r="C4" s="18" t="s">
        <v>19</v>
      </c>
      <c r="E4" s="8"/>
      <c r="G4" s="111">
        <v>22</v>
      </c>
      <c r="H4" s="10" t="s">
        <v>9</v>
      </c>
      <c r="I4" s="38">
        <v>31</v>
      </c>
      <c r="J4" s="41">
        <f>IF(G4&lt;&gt;"",G4+I2+I3,"")</f>
        <v>81</v>
      </c>
      <c r="K4" s="8"/>
      <c r="L4" s="8"/>
      <c r="M4" s="12"/>
      <c r="N4" s="8"/>
    </row>
    <row r="5" spans="1:17" ht="15.75" x14ac:dyDescent="0.25">
      <c r="A5" s="116">
        <f>19+28/60</f>
        <v>19.466666666666665</v>
      </c>
      <c r="B5" s="117">
        <f>RADIANS(A5)</f>
        <v>0.33975742772156281</v>
      </c>
      <c r="C5" s="118">
        <f>99+9/60</f>
        <v>99.15</v>
      </c>
      <c r="E5" s="8"/>
      <c r="G5" s="111"/>
      <c r="H5" s="10" t="s">
        <v>10</v>
      </c>
      <c r="I5" s="38">
        <v>30</v>
      </c>
      <c r="J5" s="41" t="str">
        <f>IF(G5&lt;&gt;"",G5+I2+I3+I4,"")</f>
        <v/>
      </c>
      <c r="K5" s="9"/>
      <c r="L5" s="9"/>
      <c r="M5" s="14"/>
      <c r="N5" s="8"/>
    </row>
    <row r="6" spans="1:17" ht="15.75" x14ac:dyDescent="0.25">
      <c r="E6" s="13"/>
      <c r="F6" s="13"/>
      <c r="G6" s="111"/>
      <c r="H6" s="10" t="s">
        <v>11</v>
      </c>
      <c r="I6" s="38">
        <v>31</v>
      </c>
      <c r="J6" s="41" t="str">
        <f>IF(G6&lt;&gt;"",G6+I2+I3+I4+I5,"")</f>
        <v/>
      </c>
      <c r="K6" s="15"/>
      <c r="L6" s="15"/>
      <c r="M6" s="15"/>
      <c r="N6" s="8"/>
    </row>
    <row r="7" spans="1:17" ht="15.75" x14ac:dyDescent="0.25">
      <c r="E7" s="13"/>
      <c r="F7" s="8"/>
      <c r="G7" s="111">
        <v>21</v>
      </c>
      <c r="H7" s="10" t="s">
        <v>12</v>
      </c>
      <c r="I7" s="38">
        <v>30</v>
      </c>
      <c r="J7" s="41">
        <f>IF(G7&lt;&gt;"",G7+I2+I3+I4+I5+I6,"")</f>
        <v>172</v>
      </c>
      <c r="K7" s="8"/>
      <c r="L7" s="8"/>
      <c r="M7" s="8"/>
      <c r="N7" s="8"/>
    </row>
    <row r="8" spans="1:17" ht="15.75" x14ac:dyDescent="0.25">
      <c r="E8" s="8"/>
      <c r="F8" s="9"/>
      <c r="G8" s="111"/>
      <c r="H8" s="10" t="s">
        <v>13</v>
      </c>
      <c r="I8" s="38">
        <v>31</v>
      </c>
      <c r="J8" s="41" t="str">
        <f>IF(G8&lt;&gt;"",G8+I2+I3+I4+I5+I6+I7,"")</f>
        <v/>
      </c>
      <c r="K8" s="8"/>
      <c r="L8" s="8"/>
      <c r="M8" s="8"/>
      <c r="N8" s="8"/>
    </row>
    <row r="9" spans="1:17" ht="15.75" x14ac:dyDescent="0.25">
      <c r="E9" s="9"/>
      <c r="F9" s="9"/>
      <c r="G9" s="111"/>
      <c r="H9" s="10" t="s">
        <v>14</v>
      </c>
      <c r="I9" s="38">
        <v>31</v>
      </c>
      <c r="J9" s="41" t="str">
        <f>IF(G9&lt;&gt;"",G9+I2+I3+I4+I5+I6+I7+I8,"")</f>
        <v/>
      </c>
      <c r="K9" s="9"/>
      <c r="L9" s="9"/>
      <c r="M9" s="9"/>
      <c r="N9" s="9"/>
    </row>
    <row r="10" spans="1:17" ht="15.75" x14ac:dyDescent="0.25">
      <c r="E10" s="9"/>
      <c r="F10" s="16"/>
      <c r="G10" s="111">
        <v>21</v>
      </c>
      <c r="H10" s="10" t="s">
        <v>15</v>
      </c>
      <c r="I10" s="38">
        <v>30</v>
      </c>
      <c r="J10" s="41">
        <f>IF(G10&lt;&gt;"",G10+I2+I3+I4+I5+I6+I7+I8+I9,"")</f>
        <v>264</v>
      </c>
      <c r="K10" s="16"/>
      <c r="L10" s="16"/>
      <c r="M10" s="16"/>
      <c r="N10" s="8"/>
    </row>
    <row r="11" spans="1:17" ht="15" x14ac:dyDescent="0.2">
      <c r="E11" s="16"/>
      <c r="F11" s="17"/>
      <c r="G11" s="112"/>
      <c r="H11" s="10" t="s">
        <v>16</v>
      </c>
      <c r="I11" s="38">
        <v>31</v>
      </c>
      <c r="J11" s="40" t="str">
        <f>IF(G11&lt;&gt;"",G11+I2+I3+I4+I5+I6+I7+I8+I9+I10,"")</f>
        <v/>
      </c>
      <c r="K11" s="16"/>
      <c r="L11" s="16"/>
      <c r="M11" s="16"/>
      <c r="N11" s="8"/>
    </row>
    <row r="12" spans="1:17" ht="15.75" x14ac:dyDescent="0.25">
      <c r="E12" s="17"/>
      <c r="F12" s="17"/>
      <c r="G12" s="111"/>
      <c r="H12" s="10" t="s">
        <v>17</v>
      </c>
      <c r="I12" s="38">
        <v>30</v>
      </c>
      <c r="J12" s="39" t="str">
        <f>IF(G12&lt;&gt;"",G12+I2+I3+I4+I5+I6+I7+I8+I9+I10+I11,"")</f>
        <v/>
      </c>
      <c r="K12" s="16"/>
      <c r="L12" s="16"/>
      <c r="M12" s="16"/>
      <c r="N12" s="8"/>
    </row>
    <row r="13" spans="1:17" ht="15.75" thickBot="1" x14ac:dyDescent="0.25">
      <c r="E13" s="17"/>
      <c r="F13" s="17"/>
      <c r="G13" s="113">
        <v>21</v>
      </c>
      <c r="H13" s="114" t="s">
        <v>18</v>
      </c>
      <c r="I13" s="115">
        <v>31</v>
      </c>
      <c r="J13" s="42">
        <f>IF(G13&lt;&gt;"",G13+I2+I3+I4+I5+I6+I7+I8+I9+I10+I11+I12,"")</f>
        <v>355</v>
      </c>
      <c r="K13" s="16"/>
      <c r="L13" s="16"/>
      <c r="M13" s="16"/>
      <c r="N13" s="8"/>
    </row>
    <row r="14" spans="1:17" ht="15.75" x14ac:dyDescent="0.25">
      <c r="A14" s="20"/>
      <c r="B14" s="10"/>
      <c r="C14" s="17"/>
      <c r="D14" s="9"/>
      <c r="E14" s="17"/>
      <c r="F14" s="17"/>
      <c r="G14" s="16"/>
      <c r="H14" s="16"/>
      <c r="I14" s="16"/>
      <c r="J14" s="16"/>
      <c r="K14" s="16"/>
      <c r="L14" s="16"/>
      <c r="M14" s="16"/>
      <c r="N14" s="8"/>
    </row>
    <row r="16" spans="1:17" ht="18.75" x14ac:dyDescent="0.35">
      <c r="A16" s="27" t="s">
        <v>29</v>
      </c>
      <c r="B16" s="132" t="s">
        <v>28</v>
      </c>
      <c r="C16" s="133"/>
      <c r="D16" s="134" t="s">
        <v>31</v>
      </c>
      <c r="E16" s="135"/>
      <c r="F16" s="136"/>
      <c r="G16" s="130" t="s">
        <v>24</v>
      </c>
      <c r="H16" s="131"/>
      <c r="I16" s="28" t="s">
        <v>25</v>
      </c>
      <c r="J16" s="44" t="s">
        <v>23</v>
      </c>
      <c r="K16" s="137" t="s">
        <v>32</v>
      </c>
      <c r="L16" s="136"/>
      <c r="Q16" s="8"/>
    </row>
    <row r="17" spans="1:17" ht="15.75" x14ac:dyDescent="0.25">
      <c r="A17" s="29" t="s">
        <v>30</v>
      </c>
      <c r="B17" s="30" t="s">
        <v>19</v>
      </c>
      <c r="C17" s="35" t="s">
        <v>1</v>
      </c>
      <c r="D17" s="36" t="s">
        <v>1</v>
      </c>
      <c r="E17" s="31" t="s">
        <v>19</v>
      </c>
      <c r="F17" s="31" t="s">
        <v>22</v>
      </c>
      <c r="G17" s="32" t="s">
        <v>26</v>
      </c>
      <c r="H17" s="33" t="s">
        <v>22</v>
      </c>
      <c r="I17" s="31" t="s">
        <v>22</v>
      </c>
      <c r="J17" s="33" t="s">
        <v>22</v>
      </c>
      <c r="K17" s="36" t="s">
        <v>1</v>
      </c>
      <c r="L17" s="31" t="s">
        <v>19</v>
      </c>
      <c r="Q17" s="8"/>
    </row>
    <row r="18" spans="1:17" ht="15.75" x14ac:dyDescent="0.25">
      <c r="A18" s="121">
        <f>'Ej-1a_PosicSol_Madrid'!A18</f>
        <v>297</v>
      </c>
      <c r="B18" s="23">
        <f>23.45*SIN(RADIANS((360/365)*(A18+284)))</f>
        <v>-12.785888283778254</v>
      </c>
      <c r="C18" s="34">
        <f>RADIANS(B18)</f>
        <v>-0.22315584834409763</v>
      </c>
      <c r="D18" s="37">
        <f>-ACOS(-TAN(C18)*TAN($B$5))</f>
        <v>-1.4904965585641059</v>
      </c>
      <c r="E18" s="104">
        <f>DEGREES(D18)</f>
        <v>-85.399162184497001</v>
      </c>
      <c r="F18" s="43">
        <f>E18/15</f>
        <v>-5.6932774789664666</v>
      </c>
      <c r="G18" s="23">
        <f>-7.64*SIN(RADIANS(A18-2))+9.86*SIN(RADIANS(2*(A18-80)))</f>
        <v>16.402231814911829</v>
      </c>
      <c r="H18" s="24">
        <f>G18/60</f>
        <v>0.27337053024853047</v>
      </c>
      <c r="I18" s="25">
        <v>-6</v>
      </c>
      <c r="J18" s="45">
        <f>F18+12-H18+I18+($C$5-0)/15</f>
        <v>6.6433519907850034</v>
      </c>
      <c r="K18" s="37">
        <f>ASIN(SIN(C18)*SIN($B$5)+COS(C18)*COS($B$5))</f>
        <v>1.0078830507292362</v>
      </c>
      <c r="L18" s="43">
        <f>DEGREES(K18)</f>
        <v>57.747445049555083</v>
      </c>
      <c r="Q18" s="8"/>
    </row>
    <row r="19" spans="1:17" ht="15.75" x14ac:dyDescent="0.25">
      <c r="A19" s="6"/>
      <c r="B19" s="6"/>
      <c r="C19" s="6"/>
      <c r="D19" s="6"/>
      <c r="E19" s="6"/>
      <c r="F19" s="6"/>
      <c r="G19" s="1"/>
      <c r="H19" s="1"/>
      <c r="I19" s="1"/>
      <c r="J19" s="46" t="str">
        <f>TEXT(INT(J18),"#") &amp; " horas"</f>
        <v>6 horas</v>
      </c>
      <c r="K19" s="1"/>
      <c r="L19" s="1"/>
      <c r="Q19" s="21"/>
    </row>
    <row r="20" spans="1:17" ht="15.75" x14ac:dyDescent="0.25">
      <c r="A20" s="6"/>
      <c r="B20" s="6"/>
      <c r="C20" s="6"/>
      <c r="D20" s="6"/>
      <c r="E20" s="6"/>
      <c r="F20" s="6"/>
      <c r="G20" s="1"/>
      <c r="H20" s="1"/>
      <c r="I20" s="1"/>
      <c r="J20" s="47" t="str">
        <f>TEXT((J18-INT(J18))*60,"#") &amp; " minutos"</f>
        <v>39 minutos</v>
      </c>
      <c r="K20" s="26"/>
      <c r="L20" s="1"/>
      <c r="P20" s="9"/>
      <c r="Q20" s="9"/>
    </row>
    <row r="21" spans="1:17" x14ac:dyDescent="0.2">
      <c r="A21" s="6"/>
      <c r="B21" s="6"/>
      <c r="C21" s="6"/>
      <c r="D21" s="6"/>
      <c r="E21" s="6"/>
      <c r="F21" s="6"/>
      <c r="G21" s="1"/>
      <c r="H21" s="1"/>
      <c r="I21" s="1"/>
      <c r="K21" s="26"/>
      <c r="L21" s="1"/>
      <c r="M21" s="1"/>
    </row>
    <row r="22" spans="1:17" x14ac:dyDescent="0.2">
      <c r="A22" s="6"/>
      <c r="B22" s="6"/>
      <c r="C22" s="6"/>
      <c r="D22" s="6"/>
      <c r="E22" s="6"/>
      <c r="F22" s="6"/>
      <c r="G22" s="1"/>
      <c r="H22" s="1"/>
      <c r="I22" s="1"/>
      <c r="J22" s="1"/>
      <c r="K22" s="1"/>
      <c r="L22" s="1"/>
      <c r="M22" s="1"/>
    </row>
    <row r="23" spans="1:17" x14ac:dyDescent="0.2">
      <c r="A23" s="6"/>
      <c r="B23" s="6"/>
      <c r="C23" s="6"/>
      <c r="D23" s="6"/>
      <c r="E23" s="6"/>
      <c r="F23" s="6"/>
      <c r="G23" s="1"/>
      <c r="H23" s="1"/>
      <c r="I23" s="1"/>
      <c r="J23" s="1"/>
      <c r="K23" s="1"/>
      <c r="L23" s="1"/>
      <c r="M23" s="1"/>
    </row>
    <row r="24" spans="1:17" x14ac:dyDescent="0.2">
      <c r="A24" s="6"/>
      <c r="B24" s="6"/>
      <c r="C24" s="6"/>
      <c r="D24" s="6"/>
      <c r="E24" s="6"/>
      <c r="F24" s="6"/>
      <c r="G24" s="1"/>
      <c r="H24" s="1"/>
      <c r="I24" s="1"/>
      <c r="J24" s="1"/>
      <c r="K24" s="1"/>
      <c r="L24" s="1"/>
      <c r="M24" s="1"/>
    </row>
    <row r="25" spans="1:17" x14ac:dyDescent="0.2">
      <c r="A25" s="6"/>
      <c r="B25" s="6"/>
      <c r="C25" s="6"/>
      <c r="D25" s="6"/>
      <c r="E25" s="6"/>
      <c r="F25" s="6"/>
      <c r="G25" s="1"/>
      <c r="H25" s="1"/>
      <c r="I25" s="1"/>
      <c r="J25" s="1"/>
      <c r="K25" s="1"/>
      <c r="L25" s="1"/>
      <c r="M25" s="1"/>
    </row>
    <row r="26" spans="1:17" x14ac:dyDescent="0.2">
      <c r="A26" s="6"/>
      <c r="B26" s="6"/>
      <c r="C26" s="6"/>
      <c r="D26" s="6"/>
      <c r="E26" s="6"/>
      <c r="F26" s="6"/>
      <c r="G26" s="1"/>
      <c r="H26" s="1"/>
      <c r="I26" s="1"/>
      <c r="J26" s="1"/>
      <c r="K26" s="1"/>
      <c r="L26" s="1"/>
      <c r="M26" s="1"/>
    </row>
    <row r="27" spans="1:17" x14ac:dyDescent="0.2">
      <c r="A27" s="6"/>
      <c r="B27" s="6"/>
      <c r="C27" s="6"/>
      <c r="D27" s="6"/>
      <c r="E27" s="6"/>
      <c r="F27" s="6"/>
      <c r="G27" s="1"/>
      <c r="H27" s="1"/>
      <c r="I27" s="1"/>
      <c r="J27" s="1"/>
      <c r="K27" s="1"/>
      <c r="L27" s="1"/>
      <c r="M27" s="1"/>
    </row>
    <row r="28" spans="1:17" x14ac:dyDescent="0.2">
      <c r="A28" s="6"/>
      <c r="B28" s="6"/>
      <c r="C28" s="6"/>
      <c r="D28" s="6"/>
      <c r="E28" s="6"/>
      <c r="F28" s="6"/>
      <c r="G28" s="1"/>
      <c r="H28" s="1"/>
      <c r="I28" s="1"/>
      <c r="J28" s="1"/>
      <c r="K28" s="1"/>
      <c r="L28" s="1"/>
      <c r="M28" s="1"/>
    </row>
    <row r="29" spans="1:17" x14ac:dyDescent="0.2">
      <c r="A29" s="6"/>
      <c r="B29" s="6"/>
      <c r="C29" s="6"/>
      <c r="D29" s="6"/>
      <c r="E29" s="6"/>
      <c r="F29" s="6"/>
      <c r="G29" s="1"/>
      <c r="H29" s="1"/>
      <c r="I29" s="1"/>
      <c r="J29" s="1"/>
      <c r="K29" s="1"/>
      <c r="L29" s="1"/>
      <c r="M29" s="1"/>
    </row>
    <row r="30" spans="1:17" x14ac:dyDescent="0.2">
      <c r="A30" s="6"/>
      <c r="B30" s="6"/>
      <c r="C30" s="6"/>
      <c r="D30" s="6"/>
      <c r="E30" s="6"/>
      <c r="F30" s="6"/>
      <c r="G30" s="1"/>
      <c r="H30" s="1"/>
      <c r="I30" s="1"/>
      <c r="J30" s="1"/>
      <c r="K30" s="1"/>
      <c r="L30" s="1"/>
      <c r="M30" s="1"/>
    </row>
    <row r="31" spans="1:17" x14ac:dyDescent="0.2">
      <c r="A31" s="6"/>
      <c r="B31" s="6"/>
      <c r="C31" s="6"/>
      <c r="D31" s="6"/>
      <c r="E31" s="6"/>
      <c r="F31" s="6"/>
      <c r="G31" s="1"/>
      <c r="H31" s="1"/>
      <c r="I31" s="1"/>
      <c r="J31" s="1"/>
      <c r="K31" s="1"/>
      <c r="L31" s="1"/>
      <c r="M31" s="1"/>
    </row>
    <row r="32" spans="1:17" x14ac:dyDescent="0.2">
      <c r="A32" s="6"/>
      <c r="B32" s="6"/>
      <c r="C32" s="6"/>
      <c r="D32" s="6"/>
      <c r="E32" s="6"/>
      <c r="F32" s="6"/>
      <c r="G32" s="1"/>
      <c r="H32" s="1"/>
      <c r="I32" s="1"/>
      <c r="J32" s="1"/>
      <c r="K32" s="1"/>
      <c r="L32" s="1"/>
      <c r="M32" s="1"/>
    </row>
    <row r="33" spans="1:13" x14ac:dyDescent="0.2">
      <c r="A33" s="6"/>
      <c r="B33" s="6"/>
      <c r="C33" s="6"/>
      <c r="D33" s="6"/>
      <c r="E33" s="6"/>
      <c r="F33" s="6"/>
      <c r="G33" s="1"/>
      <c r="H33" s="1"/>
      <c r="I33" s="1"/>
      <c r="J33" s="1"/>
      <c r="K33" s="1"/>
      <c r="L33" s="1"/>
      <c r="M33" s="1"/>
    </row>
    <row r="34" spans="1:13" x14ac:dyDescent="0.2">
      <c r="A34" s="6"/>
      <c r="B34" s="6"/>
      <c r="C34" s="6"/>
      <c r="D34" s="6"/>
      <c r="E34" s="6"/>
      <c r="F34" s="6"/>
      <c r="G34" s="1"/>
      <c r="H34" s="1"/>
      <c r="I34" s="1"/>
      <c r="J34" s="1"/>
      <c r="K34" s="1"/>
      <c r="L34" s="1"/>
      <c r="M34" s="1"/>
    </row>
    <row r="35" spans="1:13" x14ac:dyDescent="0.2">
      <c r="A35" s="6"/>
      <c r="B35" s="6"/>
      <c r="C35" s="6"/>
      <c r="D35" s="6"/>
      <c r="E35" s="6"/>
      <c r="F35" s="6"/>
      <c r="G35" s="1"/>
      <c r="H35" s="1"/>
      <c r="I35" s="1"/>
      <c r="J35" s="1"/>
      <c r="K35" s="1"/>
      <c r="L35" s="1"/>
      <c r="M35" s="1"/>
    </row>
    <row r="36" spans="1:13" x14ac:dyDescent="0.2">
      <c r="A36" s="6"/>
      <c r="B36" s="6"/>
      <c r="C36" s="6"/>
      <c r="D36" s="6"/>
      <c r="E36" s="6"/>
      <c r="F36" s="6"/>
      <c r="G36" s="1"/>
      <c r="H36" s="1"/>
      <c r="I36" s="1"/>
      <c r="J36" s="1"/>
      <c r="K36" s="1"/>
      <c r="L36" s="1"/>
      <c r="M36" s="1"/>
    </row>
    <row r="37" spans="1:13" x14ac:dyDescent="0.2">
      <c r="A37" s="6"/>
      <c r="B37" s="6"/>
      <c r="C37" s="6"/>
      <c r="D37" s="6"/>
      <c r="E37" s="6"/>
      <c r="F37" s="6"/>
      <c r="G37" s="1"/>
      <c r="H37" s="1"/>
      <c r="I37" s="1"/>
      <c r="J37" s="1"/>
      <c r="K37" s="1"/>
      <c r="L37" s="1"/>
      <c r="M37" s="1"/>
    </row>
    <row r="38" spans="1:13" x14ac:dyDescent="0.2">
      <c r="A38" s="6"/>
      <c r="B38" s="6"/>
      <c r="C38" s="6"/>
      <c r="D38" s="6"/>
      <c r="E38" s="6"/>
      <c r="F38" s="6"/>
      <c r="G38" s="1"/>
      <c r="H38" s="1"/>
      <c r="I38" s="1"/>
      <c r="J38" s="1"/>
      <c r="K38" s="1"/>
      <c r="L38" s="1"/>
      <c r="M38" s="1"/>
    </row>
    <row r="39" spans="1:13" x14ac:dyDescent="0.2">
      <c r="A39" s="6"/>
      <c r="B39" s="6"/>
      <c r="C39" s="6"/>
      <c r="D39" s="6"/>
      <c r="E39" s="6"/>
      <c r="F39" s="6"/>
      <c r="G39" s="1"/>
      <c r="H39" s="1"/>
      <c r="I39" s="1"/>
      <c r="J39" s="1"/>
      <c r="K39" s="1"/>
      <c r="L39" s="1"/>
      <c r="M39" s="1"/>
    </row>
    <row r="40" spans="1:13" x14ac:dyDescent="0.2">
      <c r="A40" s="6"/>
      <c r="B40" s="6"/>
      <c r="C40" s="6"/>
      <c r="D40" s="6"/>
      <c r="E40" s="6"/>
      <c r="F40" s="6"/>
      <c r="G40" s="1"/>
      <c r="H40" s="1"/>
      <c r="I40" s="1"/>
      <c r="J40" s="1"/>
      <c r="K40" s="1"/>
      <c r="L40" s="1"/>
      <c r="M40" s="1"/>
    </row>
    <row r="41" spans="1:13" x14ac:dyDescent="0.2">
      <c r="A41" s="6"/>
      <c r="B41" s="6"/>
      <c r="C41" s="6"/>
      <c r="D41" s="6"/>
      <c r="E41" s="6"/>
      <c r="F41" s="6"/>
      <c r="G41" s="1"/>
      <c r="H41" s="1"/>
      <c r="I41" s="1"/>
      <c r="J41" s="1"/>
      <c r="K41" s="1"/>
      <c r="L41" s="1"/>
      <c r="M41" s="1"/>
    </row>
    <row r="42" spans="1:13" x14ac:dyDescent="0.2">
      <c r="A42" s="6"/>
      <c r="B42" s="6"/>
      <c r="C42" s="6"/>
      <c r="D42" s="6"/>
      <c r="E42" s="6"/>
      <c r="F42" s="6"/>
      <c r="G42" s="1"/>
      <c r="H42" s="1"/>
      <c r="I42" s="1"/>
      <c r="J42" s="1"/>
      <c r="K42" s="1"/>
      <c r="L42" s="1"/>
      <c r="M42" s="1"/>
    </row>
    <row r="43" spans="1:13" x14ac:dyDescent="0.2">
      <c r="A43" s="6"/>
      <c r="B43" s="6"/>
      <c r="C43" s="6"/>
      <c r="D43" s="6"/>
      <c r="E43" s="6"/>
      <c r="F43" s="6"/>
      <c r="G43" s="1"/>
      <c r="H43" s="1"/>
      <c r="I43" s="1"/>
      <c r="J43" s="1"/>
      <c r="K43" s="1"/>
      <c r="L43" s="1"/>
      <c r="M43" s="1"/>
    </row>
    <row r="44" spans="1:13" x14ac:dyDescent="0.2">
      <c r="A44" s="6"/>
      <c r="B44" s="6"/>
      <c r="C44" s="6"/>
      <c r="D44" s="6"/>
      <c r="E44" s="6"/>
      <c r="F44" s="6"/>
      <c r="G44" s="1"/>
      <c r="H44" s="1"/>
      <c r="I44" s="1"/>
      <c r="J44" s="1"/>
      <c r="K44" s="1"/>
      <c r="L44" s="1"/>
      <c r="M44" s="1"/>
    </row>
    <row r="45" spans="1:13" x14ac:dyDescent="0.2">
      <c r="A45" s="6"/>
      <c r="B45" s="6"/>
      <c r="C45" s="6"/>
      <c r="D45" s="6"/>
      <c r="E45" s="6"/>
      <c r="F45" s="6"/>
      <c r="G45" s="1"/>
      <c r="H45" s="1"/>
      <c r="I45" s="1"/>
      <c r="J45" s="1"/>
      <c r="K45" s="1"/>
      <c r="L45" s="1"/>
      <c r="M45" s="1"/>
    </row>
    <row r="46" spans="1:13" x14ac:dyDescent="0.2">
      <c r="A46" s="6"/>
      <c r="B46" s="6"/>
      <c r="C46" s="6"/>
      <c r="D46" s="6"/>
      <c r="E46" s="6"/>
      <c r="F46" s="6"/>
      <c r="G46" s="1"/>
      <c r="H46" s="1"/>
      <c r="I46" s="1"/>
      <c r="J46" s="1"/>
      <c r="K46" s="1"/>
      <c r="L46" s="1"/>
      <c r="M46" s="1"/>
    </row>
    <row r="47" spans="1:13" x14ac:dyDescent="0.2">
      <c r="A47" s="6"/>
      <c r="B47" s="6"/>
      <c r="C47" s="6"/>
      <c r="D47" s="6"/>
      <c r="E47" s="6"/>
      <c r="F47" s="6"/>
      <c r="G47" s="1"/>
      <c r="H47" s="1"/>
      <c r="I47" s="1"/>
      <c r="J47" s="1"/>
      <c r="K47" s="1"/>
      <c r="L47" s="1"/>
      <c r="M47" s="1"/>
    </row>
    <row r="48" spans="1:13" x14ac:dyDescent="0.2">
      <c r="A48" s="6"/>
      <c r="B48" s="6"/>
      <c r="C48" s="6"/>
      <c r="D48" s="6"/>
      <c r="E48" s="6"/>
      <c r="F48" s="6"/>
      <c r="G48" s="1"/>
      <c r="H48" s="1"/>
      <c r="I48" s="1"/>
      <c r="J48" s="1"/>
      <c r="K48" s="1"/>
      <c r="L48" s="1"/>
      <c r="M48" s="1"/>
    </row>
    <row r="49" spans="1:13" x14ac:dyDescent="0.2">
      <c r="A49" s="6"/>
      <c r="B49" s="6"/>
      <c r="C49" s="6"/>
      <c r="D49" s="6"/>
      <c r="E49" s="6"/>
      <c r="F49" s="6"/>
      <c r="G49" s="1"/>
      <c r="H49" s="1"/>
      <c r="I49" s="1"/>
      <c r="J49" s="1"/>
      <c r="K49" s="1"/>
      <c r="L49" s="1"/>
      <c r="M49" s="1"/>
    </row>
    <row r="50" spans="1:13" x14ac:dyDescent="0.2">
      <c r="A50" s="6"/>
      <c r="B50" s="6"/>
      <c r="C50" s="6"/>
      <c r="D50" s="6"/>
      <c r="E50" s="6"/>
      <c r="F50" s="6"/>
      <c r="G50" s="1"/>
      <c r="H50" s="1"/>
      <c r="I50" s="1"/>
      <c r="J50" s="1"/>
      <c r="K50" s="1"/>
      <c r="L50" s="1"/>
      <c r="M50" s="1"/>
    </row>
    <row r="51" spans="1:13" x14ac:dyDescent="0.2">
      <c r="A51" s="6"/>
      <c r="B51" s="6"/>
      <c r="C51" s="6"/>
      <c r="D51" s="6"/>
      <c r="E51" s="6"/>
      <c r="F51" s="6"/>
      <c r="G51" s="1"/>
      <c r="H51" s="1"/>
      <c r="I51" s="4"/>
      <c r="J51" s="1"/>
      <c r="K51" s="1"/>
      <c r="L51" s="1"/>
      <c r="M51" s="1"/>
    </row>
    <row r="52" spans="1:13" x14ac:dyDescent="0.2">
      <c r="A52" s="6"/>
      <c r="B52" s="6"/>
      <c r="C52" s="6"/>
      <c r="D52" s="6"/>
      <c r="E52" s="6"/>
      <c r="F52" s="6"/>
      <c r="M52" s="2"/>
    </row>
    <row r="53" spans="1:13" x14ac:dyDescent="0.2">
      <c r="A53" s="6"/>
      <c r="B53" s="6"/>
      <c r="C53" s="6"/>
      <c r="D53" s="6"/>
      <c r="E53" s="6"/>
      <c r="F53" s="6"/>
      <c r="M53" s="2"/>
    </row>
    <row r="54" spans="1:13" x14ac:dyDescent="0.2">
      <c r="A54" s="6"/>
      <c r="B54" s="6"/>
      <c r="C54" s="6"/>
      <c r="D54" s="6"/>
      <c r="E54" s="6"/>
      <c r="F54" s="6"/>
      <c r="M54" s="2"/>
    </row>
    <row r="55" spans="1:13" x14ac:dyDescent="0.2">
      <c r="A55" s="6"/>
      <c r="B55" s="6"/>
      <c r="C55" s="6"/>
      <c r="D55" s="6"/>
      <c r="E55" s="6"/>
      <c r="F55" s="6"/>
      <c r="M55" s="2"/>
    </row>
    <row r="56" spans="1:13" x14ac:dyDescent="0.2">
      <c r="A56" s="6"/>
      <c r="B56" s="6"/>
      <c r="C56" s="6"/>
      <c r="D56" s="6"/>
      <c r="E56" s="6"/>
      <c r="F56" s="6"/>
      <c r="M56" s="2"/>
    </row>
    <row r="57" spans="1:13" x14ac:dyDescent="0.2">
      <c r="A57" s="6"/>
      <c r="B57" s="6"/>
      <c r="C57" s="6"/>
      <c r="D57" s="6"/>
      <c r="E57" s="6"/>
      <c r="F57" s="6"/>
      <c r="M57" s="2"/>
    </row>
    <row r="58" spans="1:13" x14ac:dyDescent="0.2">
      <c r="A58" s="6"/>
      <c r="B58" s="6"/>
      <c r="C58" s="6"/>
      <c r="D58" s="6"/>
      <c r="E58" s="6"/>
      <c r="F58" s="6"/>
      <c r="M58" s="2"/>
    </row>
    <row r="59" spans="1:13" x14ac:dyDescent="0.2">
      <c r="A59" s="6"/>
      <c r="B59" s="6"/>
      <c r="C59" s="6"/>
      <c r="D59" s="6"/>
      <c r="E59" s="6"/>
      <c r="F59" s="6"/>
      <c r="M59" s="2"/>
    </row>
    <row r="60" spans="1:13" x14ac:dyDescent="0.2">
      <c r="A60" s="6"/>
      <c r="B60" s="6"/>
      <c r="C60" s="6"/>
      <c r="D60" s="6"/>
      <c r="E60" s="6"/>
      <c r="F60" s="6"/>
      <c r="M60" s="2"/>
    </row>
    <row r="61" spans="1:13" x14ac:dyDescent="0.2">
      <c r="A61" s="6"/>
      <c r="B61" s="6"/>
      <c r="C61" s="6"/>
      <c r="D61" s="6"/>
      <c r="E61" s="6"/>
      <c r="F61" s="6"/>
      <c r="M61" s="2"/>
    </row>
    <row r="62" spans="1:13" x14ac:dyDescent="0.2">
      <c r="A62" s="6"/>
      <c r="B62" s="6"/>
      <c r="C62" s="6"/>
      <c r="D62" s="6"/>
      <c r="E62" s="6"/>
      <c r="F62" s="6"/>
      <c r="M62" s="2"/>
    </row>
    <row r="63" spans="1:13" x14ac:dyDescent="0.2">
      <c r="A63" s="6"/>
      <c r="B63" s="6"/>
      <c r="C63" s="6"/>
      <c r="D63" s="6"/>
      <c r="E63" s="6"/>
      <c r="F63" s="6"/>
      <c r="M63" s="2"/>
    </row>
    <row r="64" spans="1:13" x14ac:dyDescent="0.2">
      <c r="A64" s="6"/>
      <c r="B64" s="6"/>
      <c r="C64" s="6"/>
      <c r="D64" s="6"/>
      <c r="E64" s="6"/>
      <c r="F64" s="6"/>
      <c r="M64" s="2"/>
    </row>
    <row r="65" spans="1:13" x14ac:dyDescent="0.2">
      <c r="A65" s="6"/>
      <c r="B65" s="6"/>
      <c r="C65" s="6"/>
      <c r="D65" s="6"/>
      <c r="E65" s="6"/>
      <c r="F65" s="6"/>
      <c r="M65" s="2"/>
    </row>
    <row r="66" spans="1:13" x14ac:dyDescent="0.2">
      <c r="A66" s="6"/>
      <c r="B66" s="6"/>
      <c r="C66" s="6"/>
      <c r="D66" s="6"/>
      <c r="E66" s="6"/>
      <c r="F66" s="6"/>
      <c r="M66" s="2"/>
    </row>
    <row r="67" spans="1:13" x14ac:dyDescent="0.2">
      <c r="A67" s="6"/>
      <c r="B67" s="6"/>
      <c r="C67" s="6"/>
      <c r="D67" s="6"/>
      <c r="E67" s="6"/>
      <c r="F67" s="6"/>
      <c r="M67" s="2"/>
    </row>
    <row r="68" spans="1:13" x14ac:dyDescent="0.2">
      <c r="A68" s="6"/>
      <c r="B68" s="6"/>
      <c r="C68" s="6"/>
      <c r="D68" s="6"/>
      <c r="E68" s="6"/>
      <c r="F68" s="6"/>
      <c r="M68" s="2"/>
    </row>
    <row r="69" spans="1:13" x14ac:dyDescent="0.2">
      <c r="A69" s="6"/>
      <c r="B69" s="6"/>
      <c r="C69" s="6"/>
      <c r="D69" s="6"/>
      <c r="E69" s="6"/>
      <c r="F69" s="6"/>
      <c r="M69" s="2"/>
    </row>
    <row r="70" spans="1:13" x14ac:dyDescent="0.2">
      <c r="A70" s="6"/>
      <c r="B70" s="6"/>
      <c r="C70" s="6"/>
      <c r="D70" s="6"/>
      <c r="E70" s="6"/>
      <c r="F70" s="6"/>
      <c r="M70" s="2"/>
    </row>
    <row r="71" spans="1:13" x14ac:dyDescent="0.2">
      <c r="A71" s="6"/>
      <c r="B71" s="6"/>
      <c r="C71" s="6"/>
      <c r="D71" s="6"/>
      <c r="E71" s="6"/>
      <c r="F71" s="6"/>
      <c r="M71" s="2"/>
    </row>
    <row r="72" spans="1:13" x14ac:dyDescent="0.2">
      <c r="A72" s="6"/>
      <c r="B72" s="6"/>
      <c r="C72" s="6"/>
      <c r="D72" s="6"/>
      <c r="E72" s="6"/>
      <c r="F72" s="6"/>
      <c r="G72" s="5"/>
      <c r="H72" s="5"/>
      <c r="I72" s="5"/>
      <c r="J72" s="5"/>
      <c r="K72" s="5"/>
      <c r="L72" s="5"/>
      <c r="M72" s="2"/>
    </row>
    <row r="73" spans="1:13" x14ac:dyDescent="0.2">
      <c r="A73" s="6"/>
      <c r="B73" s="6"/>
      <c r="C73" s="6"/>
      <c r="D73" s="6"/>
      <c r="E73" s="6"/>
      <c r="F73" s="6"/>
      <c r="M73" s="2"/>
    </row>
    <row r="74" spans="1:13" x14ac:dyDescent="0.2">
      <c r="A74" s="6"/>
      <c r="B74" s="6"/>
      <c r="C74" s="6"/>
      <c r="D74" s="6"/>
      <c r="E74" s="6"/>
      <c r="F74" s="6"/>
      <c r="M74" s="2"/>
    </row>
    <row r="75" spans="1:13" x14ac:dyDescent="0.2">
      <c r="A75" s="6"/>
      <c r="B75" s="6"/>
      <c r="C75" s="6"/>
      <c r="D75" s="6"/>
      <c r="E75" s="6"/>
      <c r="F75" s="6"/>
      <c r="M75" s="2"/>
    </row>
    <row r="76" spans="1:13" x14ac:dyDescent="0.2">
      <c r="A76" s="6"/>
      <c r="B76" s="6"/>
      <c r="C76" s="6"/>
      <c r="D76" s="6"/>
      <c r="E76" s="6"/>
      <c r="F76" s="6"/>
      <c r="M76" s="2"/>
    </row>
    <row r="77" spans="1:13" x14ac:dyDescent="0.2">
      <c r="A77" s="6"/>
      <c r="B77" s="6"/>
      <c r="C77" s="6"/>
      <c r="D77" s="6"/>
      <c r="E77" s="6"/>
      <c r="F77" s="6"/>
      <c r="M77" s="2"/>
    </row>
    <row r="78" spans="1:13" x14ac:dyDescent="0.2">
      <c r="A78" s="6"/>
      <c r="B78" s="6"/>
      <c r="C78" s="6"/>
      <c r="D78" s="6"/>
      <c r="E78" s="6"/>
      <c r="F78" s="6"/>
      <c r="M78" s="2"/>
    </row>
    <row r="79" spans="1:13" x14ac:dyDescent="0.2">
      <c r="A79" s="6"/>
      <c r="B79" s="6"/>
      <c r="C79" s="6"/>
      <c r="D79" s="6"/>
      <c r="E79" s="6"/>
      <c r="F79" s="6"/>
      <c r="M79" s="2"/>
    </row>
    <row r="80" spans="1:13" x14ac:dyDescent="0.2">
      <c r="A80" s="6"/>
      <c r="B80" s="6"/>
      <c r="C80" s="6"/>
      <c r="D80" s="6"/>
      <c r="E80" s="6"/>
      <c r="F80" s="6"/>
      <c r="M80" s="2"/>
    </row>
    <row r="81" spans="1:13" x14ac:dyDescent="0.2">
      <c r="A81" s="6"/>
      <c r="B81" s="6"/>
      <c r="C81" s="6"/>
      <c r="D81" s="6"/>
      <c r="E81" s="6"/>
      <c r="F81" s="6"/>
      <c r="M81" s="2"/>
    </row>
    <row r="82" spans="1:13" x14ac:dyDescent="0.2">
      <c r="A82" s="6"/>
      <c r="B82" s="6"/>
      <c r="C82" s="6"/>
      <c r="D82" s="6"/>
      <c r="E82" s="6"/>
      <c r="F82" s="6"/>
      <c r="M82" s="2"/>
    </row>
    <row r="83" spans="1:13" x14ac:dyDescent="0.2">
      <c r="A83" s="6"/>
      <c r="B83" s="6"/>
      <c r="C83" s="6"/>
      <c r="D83" s="6"/>
      <c r="E83" s="6"/>
      <c r="F83" s="6"/>
      <c r="M83" s="2"/>
    </row>
    <row r="84" spans="1:13" x14ac:dyDescent="0.2">
      <c r="A84" s="6"/>
      <c r="B84" s="6"/>
      <c r="C84" s="6"/>
      <c r="D84" s="6"/>
      <c r="E84" s="6"/>
      <c r="F84" s="6"/>
      <c r="M84" s="2"/>
    </row>
    <row r="85" spans="1:13" x14ac:dyDescent="0.2">
      <c r="A85" s="6"/>
      <c r="B85" s="6"/>
      <c r="C85" s="6"/>
      <c r="D85" s="6"/>
      <c r="E85" s="6"/>
      <c r="F85" s="6"/>
      <c r="M85" s="2"/>
    </row>
    <row r="86" spans="1:13" x14ac:dyDescent="0.2">
      <c r="A86" s="6"/>
      <c r="B86" s="6"/>
      <c r="C86" s="6"/>
      <c r="D86" s="6"/>
      <c r="E86" s="6"/>
      <c r="F86" s="6"/>
      <c r="M86" s="2"/>
    </row>
    <row r="87" spans="1:13" x14ac:dyDescent="0.2">
      <c r="A87" s="6"/>
      <c r="B87" s="6"/>
      <c r="C87" s="6"/>
      <c r="D87" s="6"/>
      <c r="E87" s="6"/>
      <c r="F87" s="6"/>
      <c r="M87" s="2"/>
    </row>
    <row r="88" spans="1:13" x14ac:dyDescent="0.2">
      <c r="A88" s="6"/>
      <c r="B88" s="6"/>
      <c r="C88" s="6"/>
      <c r="D88" s="6"/>
      <c r="E88" s="6"/>
      <c r="F88" s="6"/>
      <c r="M88" s="2"/>
    </row>
    <row r="89" spans="1:13" x14ac:dyDescent="0.2">
      <c r="A89" s="6"/>
      <c r="B89" s="6"/>
      <c r="C89" s="6"/>
      <c r="D89" s="6"/>
      <c r="E89" s="6"/>
      <c r="F89" s="6"/>
      <c r="M89" s="2"/>
    </row>
    <row r="90" spans="1:13" x14ac:dyDescent="0.2">
      <c r="A90" s="6"/>
      <c r="B90" s="6"/>
      <c r="C90" s="6"/>
      <c r="D90" s="6"/>
      <c r="E90" s="6"/>
      <c r="F90" s="6"/>
      <c r="M90" s="2"/>
    </row>
    <row r="91" spans="1:13" x14ac:dyDescent="0.2">
      <c r="A91" s="6"/>
      <c r="B91" s="6"/>
      <c r="C91" s="6"/>
      <c r="D91" s="6"/>
      <c r="E91" s="6"/>
      <c r="F91" s="6"/>
      <c r="M91" s="2"/>
    </row>
    <row r="92" spans="1:13" x14ac:dyDescent="0.2">
      <c r="A92" s="6"/>
      <c r="B92" s="6"/>
      <c r="C92" s="6"/>
      <c r="D92" s="6"/>
      <c r="E92" s="6"/>
      <c r="F92" s="6"/>
      <c r="M92" s="2"/>
    </row>
    <row r="93" spans="1:13" x14ac:dyDescent="0.2">
      <c r="A93" s="6"/>
      <c r="B93" s="6"/>
      <c r="C93" s="6"/>
      <c r="D93" s="6"/>
      <c r="E93" s="6"/>
      <c r="F93" s="6"/>
      <c r="M93" s="2"/>
    </row>
    <row r="94" spans="1:13" x14ac:dyDescent="0.2">
      <c r="A94" s="6"/>
      <c r="B94" s="6"/>
      <c r="C94" s="6"/>
      <c r="D94" s="6"/>
      <c r="E94" s="6"/>
      <c r="F94" s="6"/>
      <c r="M94" s="2"/>
    </row>
    <row r="95" spans="1:13" x14ac:dyDescent="0.2">
      <c r="A95" s="6"/>
      <c r="B95" s="6"/>
      <c r="C95" s="6"/>
      <c r="D95" s="6"/>
      <c r="E95" s="6"/>
      <c r="F95" s="6"/>
      <c r="M95" s="2"/>
    </row>
    <row r="96" spans="1:13" x14ac:dyDescent="0.2">
      <c r="A96" s="6"/>
      <c r="B96" s="6"/>
      <c r="C96" s="6"/>
      <c r="D96" s="6"/>
      <c r="E96" s="6"/>
      <c r="F96" s="6"/>
      <c r="G96" s="3"/>
      <c r="H96" s="3"/>
      <c r="I96" s="3"/>
      <c r="M96" s="2"/>
    </row>
    <row r="97" spans="1:13" x14ac:dyDescent="0.2">
      <c r="A97" s="6"/>
      <c r="B97" s="6"/>
      <c r="C97" s="6"/>
      <c r="D97" s="6"/>
      <c r="E97" s="6"/>
      <c r="F97" s="6"/>
      <c r="M97" s="2"/>
    </row>
    <row r="98" spans="1:13" x14ac:dyDescent="0.2">
      <c r="A98" s="6"/>
      <c r="B98" s="6"/>
      <c r="C98" s="6"/>
      <c r="D98" s="6"/>
      <c r="E98" s="6"/>
      <c r="F98" s="6"/>
      <c r="M98" s="2"/>
    </row>
    <row r="99" spans="1:13" x14ac:dyDescent="0.2">
      <c r="A99" s="6"/>
      <c r="B99" s="6"/>
      <c r="C99" s="6"/>
      <c r="D99" s="6"/>
      <c r="E99" s="6"/>
      <c r="F99" s="6"/>
      <c r="M99" s="2"/>
    </row>
    <row r="100" spans="1:13" x14ac:dyDescent="0.2">
      <c r="A100" s="6"/>
      <c r="B100" s="6"/>
      <c r="C100" s="6"/>
      <c r="D100" s="6"/>
      <c r="E100" s="6"/>
      <c r="F100" s="6"/>
      <c r="M100" s="2"/>
    </row>
    <row r="101" spans="1:13" x14ac:dyDescent="0.2">
      <c r="A101" s="6"/>
      <c r="B101" s="6"/>
      <c r="C101" s="6"/>
      <c r="D101" s="6"/>
      <c r="E101" s="6"/>
      <c r="F101" s="6"/>
      <c r="M101" s="2"/>
    </row>
    <row r="102" spans="1:13" x14ac:dyDescent="0.2">
      <c r="A102" s="6"/>
      <c r="B102" s="6"/>
      <c r="C102" s="6"/>
      <c r="D102" s="6"/>
      <c r="E102" s="6"/>
      <c r="F102" s="6"/>
      <c r="M102" s="2"/>
    </row>
    <row r="103" spans="1:13" x14ac:dyDescent="0.2">
      <c r="A103" s="6"/>
      <c r="B103" s="6"/>
      <c r="C103" s="6"/>
      <c r="D103" s="6"/>
      <c r="E103" s="6"/>
      <c r="F103" s="6"/>
      <c r="M103" s="2"/>
    </row>
    <row r="104" spans="1:13" x14ac:dyDescent="0.2">
      <c r="A104" s="6"/>
      <c r="B104" s="6"/>
      <c r="C104" s="6"/>
      <c r="D104" s="6"/>
      <c r="E104" s="6"/>
      <c r="F104" s="6"/>
      <c r="M104" s="2"/>
    </row>
    <row r="105" spans="1:13" x14ac:dyDescent="0.2">
      <c r="A105" s="6"/>
      <c r="B105" s="6"/>
      <c r="C105" s="6"/>
      <c r="D105" s="6"/>
      <c r="E105" s="6"/>
      <c r="F105" s="6"/>
      <c r="M105" s="2"/>
    </row>
    <row r="106" spans="1:13" x14ac:dyDescent="0.2">
      <c r="A106" s="6"/>
      <c r="B106" s="6"/>
      <c r="C106" s="6"/>
      <c r="D106" s="6"/>
      <c r="E106" s="6"/>
      <c r="F106" s="6"/>
      <c r="M106" s="2"/>
    </row>
    <row r="107" spans="1:13" x14ac:dyDescent="0.2">
      <c r="A107" s="6"/>
      <c r="B107" s="6"/>
      <c r="C107" s="6"/>
      <c r="D107" s="6"/>
      <c r="E107" s="6"/>
      <c r="F107" s="6"/>
      <c r="M107" s="2"/>
    </row>
    <row r="108" spans="1:13" x14ac:dyDescent="0.2">
      <c r="A108" s="6"/>
      <c r="B108" s="6"/>
      <c r="C108" s="6"/>
      <c r="D108" s="6"/>
      <c r="E108" s="6"/>
      <c r="F108" s="6"/>
      <c r="M108" s="2"/>
    </row>
    <row r="109" spans="1:13" x14ac:dyDescent="0.2">
      <c r="A109" s="6"/>
      <c r="B109" s="6"/>
      <c r="C109" s="6"/>
      <c r="D109" s="6"/>
      <c r="E109" s="6"/>
      <c r="F109" s="6"/>
      <c r="M109" s="2"/>
    </row>
    <row r="110" spans="1:13" x14ac:dyDescent="0.2">
      <c r="A110" s="6"/>
      <c r="B110" s="6"/>
      <c r="C110" s="6"/>
      <c r="D110" s="6"/>
      <c r="E110" s="6"/>
      <c r="F110" s="6"/>
      <c r="M110" s="2"/>
    </row>
    <row r="111" spans="1:13" x14ac:dyDescent="0.2">
      <c r="A111" s="6"/>
      <c r="B111" s="6"/>
      <c r="C111" s="6"/>
      <c r="D111" s="6"/>
      <c r="E111" s="6"/>
      <c r="F111" s="6"/>
      <c r="M111" s="2"/>
    </row>
    <row r="112" spans="1:13" x14ac:dyDescent="0.2">
      <c r="A112" s="6"/>
      <c r="B112" s="6"/>
      <c r="C112" s="6"/>
      <c r="D112" s="6"/>
      <c r="E112" s="6"/>
      <c r="F112" s="6"/>
      <c r="M112" s="2"/>
    </row>
    <row r="113" spans="1:13" x14ac:dyDescent="0.2">
      <c r="A113" s="6"/>
      <c r="B113" s="6"/>
      <c r="C113" s="6"/>
      <c r="D113" s="6"/>
      <c r="E113" s="6"/>
      <c r="F113" s="6"/>
      <c r="M113" s="2"/>
    </row>
    <row r="114" spans="1:13" x14ac:dyDescent="0.2">
      <c r="A114" s="6"/>
      <c r="B114" s="6"/>
      <c r="C114" s="6"/>
      <c r="D114" s="6"/>
      <c r="E114" s="6"/>
      <c r="F114" s="6"/>
      <c r="M114" s="2"/>
    </row>
    <row r="115" spans="1:13" x14ac:dyDescent="0.2">
      <c r="A115" s="6"/>
      <c r="B115" s="6"/>
      <c r="C115" s="6"/>
      <c r="D115" s="6"/>
      <c r="E115" s="6"/>
      <c r="F115" s="6"/>
      <c r="M115" s="2"/>
    </row>
    <row r="116" spans="1:13" x14ac:dyDescent="0.2">
      <c r="A116" s="6"/>
      <c r="B116" s="6"/>
      <c r="C116" s="6"/>
      <c r="D116" s="6"/>
      <c r="E116" s="6"/>
      <c r="F116" s="6"/>
      <c r="M116" s="2"/>
    </row>
    <row r="117" spans="1:13" x14ac:dyDescent="0.2">
      <c r="A117" s="6"/>
      <c r="B117" s="6"/>
      <c r="C117" s="6"/>
      <c r="D117" s="6"/>
      <c r="E117" s="6"/>
      <c r="F117" s="6"/>
      <c r="M117" s="2"/>
    </row>
    <row r="118" spans="1:13" x14ac:dyDescent="0.2">
      <c r="A118" s="6"/>
      <c r="B118" s="6"/>
      <c r="C118" s="6"/>
      <c r="D118" s="6"/>
      <c r="E118" s="6"/>
      <c r="F118" s="6"/>
      <c r="M118" s="2"/>
    </row>
    <row r="119" spans="1:13" x14ac:dyDescent="0.2">
      <c r="A119" s="6"/>
      <c r="B119" s="6"/>
      <c r="C119" s="6"/>
      <c r="D119" s="6"/>
      <c r="E119" s="6"/>
      <c r="F119" s="6"/>
      <c r="M119" s="2"/>
    </row>
    <row r="120" spans="1:13" x14ac:dyDescent="0.2">
      <c r="A120" s="6"/>
      <c r="B120" s="6"/>
      <c r="C120" s="6"/>
      <c r="D120" s="6"/>
      <c r="E120" s="6"/>
      <c r="F120" s="6"/>
      <c r="M120" s="2"/>
    </row>
    <row r="121" spans="1:13" x14ac:dyDescent="0.2">
      <c r="A121" s="6"/>
      <c r="B121" s="6"/>
      <c r="C121" s="6"/>
      <c r="D121" s="6"/>
      <c r="E121" s="6"/>
      <c r="F121" s="6"/>
      <c r="M121" s="2"/>
    </row>
    <row r="122" spans="1:13" x14ac:dyDescent="0.2">
      <c r="A122" s="6"/>
      <c r="B122" s="6"/>
      <c r="C122" s="6"/>
      <c r="D122" s="6"/>
      <c r="E122" s="6"/>
      <c r="F122" s="6"/>
      <c r="M122" s="2"/>
    </row>
    <row r="123" spans="1:13" x14ac:dyDescent="0.2">
      <c r="A123" s="6"/>
      <c r="B123" s="6"/>
      <c r="C123" s="6"/>
      <c r="D123" s="6"/>
      <c r="E123" s="6"/>
      <c r="F123" s="6"/>
      <c r="M123" s="2"/>
    </row>
    <row r="124" spans="1:13" x14ac:dyDescent="0.2">
      <c r="A124" s="6"/>
      <c r="B124" s="6"/>
      <c r="C124" s="6"/>
      <c r="D124" s="6"/>
      <c r="E124" s="6"/>
      <c r="F124" s="6"/>
      <c r="M124" s="2"/>
    </row>
    <row r="125" spans="1:13" x14ac:dyDescent="0.2">
      <c r="A125" s="6"/>
      <c r="B125" s="6"/>
      <c r="C125" s="6"/>
      <c r="D125" s="6"/>
      <c r="E125" s="6"/>
      <c r="F125" s="6"/>
      <c r="M125" s="2"/>
    </row>
    <row r="126" spans="1:13" x14ac:dyDescent="0.2">
      <c r="A126" s="6"/>
      <c r="B126" s="6"/>
      <c r="C126" s="6"/>
      <c r="D126" s="6"/>
      <c r="E126" s="6"/>
      <c r="F126" s="6"/>
      <c r="M126" s="2"/>
    </row>
    <row r="127" spans="1:13" x14ac:dyDescent="0.2">
      <c r="A127" s="6"/>
      <c r="B127" s="6"/>
      <c r="C127" s="6"/>
      <c r="D127" s="6"/>
      <c r="E127" s="6"/>
      <c r="F127" s="6"/>
      <c r="M127" s="2"/>
    </row>
    <row r="128" spans="1:13" x14ac:dyDescent="0.2">
      <c r="A128" s="6"/>
      <c r="B128" s="6"/>
      <c r="C128" s="6"/>
      <c r="D128" s="6"/>
      <c r="E128" s="6"/>
      <c r="F128" s="6"/>
      <c r="M128" s="2"/>
    </row>
    <row r="129" spans="1:13" x14ac:dyDescent="0.2">
      <c r="A129" s="6"/>
      <c r="B129" s="6"/>
      <c r="C129" s="6"/>
      <c r="D129" s="6"/>
      <c r="E129" s="6"/>
      <c r="F129" s="6"/>
      <c r="M129" s="2"/>
    </row>
    <row r="130" spans="1:13" x14ac:dyDescent="0.2">
      <c r="A130" s="6"/>
      <c r="B130" s="6"/>
      <c r="C130" s="6"/>
      <c r="D130" s="6"/>
      <c r="E130" s="6"/>
      <c r="F130" s="6"/>
      <c r="M130" s="2"/>
    </row>
    <row r="131" spans="1:13" x14ac:dyDescent="0.2">
      <c r="A131" s="6"/>
      <c r="B131" s="6"/>
      <c r="C131" s="6"/>
      <c r="D131" s="6"/>
      <c r="E131" s="6"/>
      <c r="F131" s="6"/>
      <c r="M131" s="2"/>
    </row>
    <row r="132" spans="1:13" x14ac:dyDescent="0.2">
      <c r="A132" s="6"/>
      <c r="B132" s="6"/>
      <c r="C132" s="6"/>
      <c r="D132" s="6"/>
      <c r="E132" s="6"/>
      <c r="F132" s="6"/>
      <c r="M132" s="2"/>
    </row>
    <row r="133" spans="1:13" x14ac:dyDescent="0.2">
      <c r="A133" s="6"/>
      <c r="B133" s="6"/>
      <c r="C133" s="6"/>
      <c r="D133" s="6"/>
      <c r="E133" s="6"/>
      <c r="F133" s="6"/>
      <c r="M133" s="2"/>
    </row>
    <row r="134" spans="1:13" x14ac:dyDescent="0.2">
      <c r="A134" s="6"/>
      <c r="B134" s="6"/>
      <c r="C134" s="6"/>
      <c r="D134" s="6"/>
      <c r="E134" s="6"/>
      <c r="F134" s="6"/>
      <c r="M134" s="2"/>
    </row>
    <row r="135" spans="1:13" x14ac:dyDescent="0.2">
      <c r="A135" s="6"/>
      <c r="B135" s="6"/>
      <c r="C135" s="6"/>
      <c r="D135" s="6"/>
      <c r="E135" s="6"/>
      <c r="F135" s="6"/>
      <c r="M135" s="2"/>
    </row>
    <row r="136" spans="1:13" x14ac:dyDescent="0.2">
      <c r="A136" s="6"/>
      <c r="B136" s="6"/>
      <c r="C136" s="6"/>
      <c r="D136" s="6"/>
      <c r="E136" s="6"/>
      <c r="F136" s="6"/>
      <c r="M136" s="2"/>
    </row>
    <row r="137" spans="1:13" x14ac:dyDescent="0.2">
      <c r="A137" s="6"/>
      <c r="B137" s="6"/>
      <c r="C137" s="6"/>
      <c r="D137" s="6"/>
      <c r="E137" s="6"/>
      <c r="F137" s="6"/>
      <c r="M137" s="2"/>
    </row>
    <row r="138" spans="1:13" x14ac:dyDescent="0.2">
      <c r="A138" s="6"/>
      <c r="B138" s="6"/>
      <c r="C138" s="6"/>
      <c r="D138" s="6"/>
      <c r="E138" s="6"/>
      <c r="F138" s="6"/>
      <c r="M138" s="2"/>
    </row>
    <row r="139" spans="1:13" x14ac:dyDescent="0.2">
      <c r="A139" s="6"/>
      <c r="B139" s="6"/>
      <c r="C139" s="6"/>
      <c r="D139" s="6"/>
      <c r="E139" s="6"/>
      <c r="F139" s="6"/>
      <c r="M139" s="2"/>
    </row>
    <row r="140" spans="1:13" x14ac:dyDescent="0.2">
      <c r="A140" s="6"/>
      <c r="B140" s="6"/>
      <c r="C140" s="6"/>
      <c r="D140" s="6"/>
      <c r="E140" s="6"/>
      <c r="F140" s="6"/>
      <c r="M140" s="2"/>
    </row>
    <row r="141" spans="1:13" x14ac:dyDescent="0.2">
      <c r="A141" s="6"/>
      <c r="B141" s="6"/>
      <c r="C141" s="6"/>
      <c r="D141" s="6"/>
      <c r="E141" s="6"/>
      <c r="F141" s="6"/>
      <c r="G141" s="3"/>
      <c r="H141" s="3"/>
      <c r="I141" s="3"/>
      <c r="M141" s="2"/>
    </row>
    <row r="142" spans="1:13" x14ac:dyDescent="0.2">
      <c r="A142" s="6"/>
      <c r="B142" s="6"/>
      <c r="C142" s="6"/>
      <c r="D142" s="6"/>
      <c r="E142" s="6"/>
      <c r="F142" s="6"/>
      <c r="M142" s="2"/>
    </row>
    <row r="143" spans="1:13" x14ac:dyDescent="0.2">
      <c r="A143" s="6"/>
      <c r="B143" s="6"/>
      <c r="C143" s="6"/>
      <c r="D143" s="6"/>
      <c r="E143" s="6"/>
      <c r="F143" s="6"/>
      <c r="M143" s="2"/>
    </row>
    <row r="144" spans="1:13" x14ac:dyDescent="0.2">
      <c r="A144" s="6"/>
      <c r="B144" s="6"/>
      <c r="C144" s="6"/>
      <c r="D144" s="6"/>
      <c r="E144" s="6"/>
      <c r="F144" s="6"/>
      <c r="M144" s="2"/>
    </row>
    <row r="145" spans="1:13" x14ac:dyDescent="0.2">
      <c r="A145" s="6"/>
      <c r="B145" s="6"/>
      <c r="C145" s="6"/>
      <c r="D145" s="6"/>
      <c r="E145" s="6"/>
      <c r="F145" s="6"/>
      <c r="M145" s="2"/>
    </row>
    <row r="146" spans="1:13" x14ac:dyDescent="0.2">
      <c r="A146" s="6"/>
      <c r="B146" s="6"/>
      <c r="C146" s="6"/>
      <c r="D146" s="6"/>
      <c r="E146" s="6"/>
      <c r="F146" s="6"/>
      <c r="M146" s="2"/>
    </row>
    <row r="147" spans="1:13" x14ac:dyDescent="0.2">
      <c r="A147" s="6"/>
      <c r="B147" s="6"/>
      <c r="C147" s="6"/>
      <c r="D147" s="6"/>
      <c r="E147" s="6"/>
      <c r="F147" s="6"/>
      <c r="M147" s="2"/>
    </row>
    <row r="148" spans="1:13" x14ac:dyDescent="0.2">
      <c r="A148" s="6"/>
      <c r="B148" s="6"/>
      <c r="C148" s="6"/>
      <c r="D148" s="6"/>
      <c r="E148" s="6"/>
      <c r="F148" s="6"/>
      <c r="M148" s="2"/>
    </row>
    <row r="149" spans="1:13" x14ac:dyDescent="0.2">
      <c r="A149" s="6"/>
      <c r="B149" s="6"/>
      <c r="C149" s="6"/>
      <c r="D149" s="6"/>
      <c r="E149" s="6"/>
      <c r="F149" s="6"/>
      <c r="M149" s="2"/>
    </row>
    <row r="150" spans="1:13" x14ac:dyDescent="0.2">
      <c r="A150" s="6"/>
      <c r="B150" s="6"/>
      <c r="C150" s="6"/>
      <c r="D150" s="6"/>
      <c r="E150" s="6"/>
      <c r="F150" s="6"/>
      <c r="M150" s="2"/>
    </row>
    <row r="151" spans="1:13" x14ac:dyDescent="0.2">
      <c r="A151" s="6"/>
      <c r="B151" s="6"/>
      <c r="C151" s="6"/>
      <c r="D151" s="6"/>
      <c r="E151" s="6"/>
      <c r="F151" s="6"/>
      <c r="M151" s="2"/>
    </row>
    <row r="152" spans="1:13" x14ac:dyDescent="0.2">
      <c r="A152" s="6"/>
      <c r="B152" s="6"/>
      <c r="C152" s="6"/>
      <c r="D152" s="6"/>
      <c r="E152" s="6"/>
      <c r="F152" s="6"/>
      <c r="M152" s="2"/>
    </row>
    <row r="153" spans="1:13" x14ac:dyDescent="0.2">
      <c r="A153" s="6"/>
      <c r="B153" s="6"/>
      <c r="C153" s="6"/>
      <c r="D153" s="6"/>
      <c r="E153" s="6"/>
      <c r="F153" s="6"/>
      <c r="M153" s="2"/>
    </row>
    <row r="154" spans="1:13" x14ac:dyDescent="0.2">
      <c r="A154" s="6"/>
      <c r="B154" s="6"/>
      <c r="C154" s="6"/>
      <c r="D154" s="6"/>
      <c r="E154" s="6"/>
      <c r="F154" s="6"/>
      <c r="M154" s="2"/>
    </row>
    <row r="155" spans="1:13" x14ac:dyDescent="0.2">
      <c r="A155" s="6"/>
      <c r="B155" s="6"/>
      <c r="C155" s="6"/>
      <c r="D155" s="6"/>
      <c r="E155" s="6"/>
      <c r="F155" s="6"/>
      <c r="M155" s="2"/>
    </row>
    <row r="156" spans="1:13" x14ac:dyDescent="0.2">
      <c r="A156" s="6"/>
      <c r="B156" s="6"/>
      <c r="C156" s="6"/>
      <c r="D156" s="6"/>
      <c r="E156" s="6"/>
      <c r="F156" s="6"/>
      <c r="M156" s="2"/>
    </row>
    <row r="157" spans="1:13" x14ac:dyDescent="0.2">
      <c r="A157" s="6"/>
      <c r="B157" s="6"/>
      <c r="C157" s="6"/>
      <c r="D157" s="6"/>
      <c r="E157" s="6"/>
      <c r="F157" s="6"/>
      <c r="M157" s="2"/>
    </row>
    <row r="158" spans="1:13" x14ac:dyDescent="0.2">
      <c r="A158" s="6"/>
      <c r="B158" s="6"/>
      <c r="C158" s="6"/>
      <c r="D158" s="6"/>
      <c r="E158" s="6"/>
      <c r="F158" s="6"/>
      <c r="M158" s="2"/>
    </row>
    <row r="159" spans="1:13" x14ac:dyDescent="0.2">
      <c r="A159" s="6"/>
      <c r="B159" s="6"/>
      <c r="C159" s="6"/>
      <c r="D159" s="6"/>
      <c r="E159" s="6"/>
      <c r="F159" s="6"/>
      <c r="M159" s="2"/>
    </row>
    <row r="160" spans="1:13" x14ac:dyDescent="0.2">
      <c r="A160" s="6"/>
      <c r="B160" s="6"/>
      <c r="C160" s="6"/>
      <c r="D160" s="6"/>
      <c r="E160" s="6"/>
      <c r="F160" s="6"/>
      <c r="M160" s="2"/>
    </row>
    <row r="161" spans="1:13" x14ac:dyDescent="0.2">
      <c r="A161" s="6"/>
      <c r="B161" s="6"/>
      <c r="C161" s="6"/>
      <c r="D161" s="6"/>
      <c r="E161" s="6"/>
      <c r="F161" s="6"/>
      <c r="M161" s="2"/>
    </row>
    <row r="162" spans="1:13" x14ac:dyDescent="0.2">
      <c r="A162" s="6"/>
      <c r="B162" s="6"/>
      <c r="C162" s="6"/>
      <c r="D162" s="6"/>
      <c r="E162" s="6"/>
      <c r="F162" s="6"/>
      <c r="M162" s="2"/>
    </row>
    <row r="163" spans="1:13" x14ac:dyDescent="0.2">
      <c r="A163" s="6"/>
      <c r="B163" s="6"/>
      <c r="C163" s="6"/>
      <c r="D163" s="6"/>
      <c r="E163" s="6"/>
      <c r="F163" s="6"/>
      <c r="M163" s="2"/>
    </row>
    <row r="164" spans="1:13" x14ac:dyDescent="0.2">
      <c r="A164" s="6"/>
      <c r="B164" s="6"/>
      <c r="C164" s="6"/>
      <c r="D164" s="6"/>
      <c r="E164" s="6"/>
      <c r="F164" s="6"/>
      <c r="M164" s="2"/>
    </row>
    <row r="165" spans="1:13" x14ac:dyDescent="0.2">
      <c r="A165" s="6"/>
      <c r="B165" s="6"/>
      <c r="C165" s="6"/>
      <c r="D165" s="6"/>
      <c r="E165" s="6"/>
      <c r="F165" s="6"/>
      <c r="M165" s="2"/>
    </row>
    <row r="166" spans="1:13" x14ac:dyDescent="0.2">
      <c r="A166" s="6"/>
      <c r="B166" s="6"/>
      <c r="C166" s="6"/>
      <c r="D166" s="6"/>
      <c r="E166" s="6"/>
      <c r="F166" s="6"/>
      <c r="M166" s="2"/>
    </row>
    <row r="167" spans="1:13" x14ac:dyDescent="0.2">
      <c r="A167" s="6"/>
      <c r="B167" s="6"/>
      <c r="C167" s="6"/>
      <c r="D167" s="6"/>
      <c r="E167" s="6"/>
      <c r="F167" s="6"/>
      <c r="M167" s="2"/>
    </row>
    <row r="168" spans="1:13" x14ac:dyDescent="0.2">
      <c r="A168" s="6"/>
      <c r="B168" s="6"/>
      <c r="C168" s="6"/>
      <c r="D168" s="6"/>
      <c r="E168" s="6"/>
      <c r="F168" s="6"/>
      <c r="M168" s="2"/>
    </row>
    <row r="169" spans="1:13" x14ac:dyDescent="0.2">
      <c r="A169" s="6"/>
      <c r="B169" s="6"/>
      <c r="C169" s="6"/>
      <c r="D169" s="6"/>
      <c r="E169" s="6"/>
      <c r="F169" s="6"/>
      <c r="M169" s="2"/>
    </row>
    <row r="170" spans="1:13" x14ac:dyDescent="0.2">
      <c r="A170" s="6"/>
      <c r="B170" s="6"/>
      <c r="C170" s="6"/>
      <c r="D170" s="6"/>
      <c r="E170" s="6"/>
      <c r="F170" s="6"/>
      <c r="M170" s="2"/>
    </row>
    <row r="171" spans="1:13" x14ac:dyDescent="0.2">
      <c r="A171" s="6"/>
      <c r="B171" s="6"/>
      <c r="C171" s="6"/>
      <c r="D171" s="6"/>
      <c r="E171" s="6"/>
      <c r="F171" s="6"/>
      <c r="M171" s="2"/>
    </row>
    <row r="172" spans="1:13" x14ac:dyDescent="0.2">
      <c r="A172" s="6"/>
      <c r="B172" s="6"/>
      <c r="C172" s="6"/>
      <c r="D172" s="6"/>
      <c r="E172" s="6"/>
      <c r="F172" s="6"/>
      <c r="M172" s="2"/>
    </row>
    <row r="173" spans="1:13" x14ac:dyDescent="0.2">
      <c r="A173" s="6"/>
      <c r="B173" s="6"/>
      <c r="C173" s="6"/>
      <c r="D173" s="6"/>
      <c r="E173" s="6"/>
      <c r="F173" s="6"/>
      <c r="M173" s="2"/>
    </row>
    <row r="174" spans="1:13" x14ac:dyDescent="0.2">
      <c r="A174" s="6"/>
      <c r="B174" s="6"/>
      <c r="C174" s="6"/>
      <c r="D174" s="6"/>
      <c r="E174" s="6"/>
      <c r="F174" s="6"/>
      <c r="M174" s="2"/>
    </row>
    <row r="175" spans="1:13" x14ac:dyDescent="0.2">
      <c r="A175" s="6"/>
      <c r="B175" s="6"/>
      <c r="C175" s="6"/>
      <c r="D175" s="6"/>
      <c r="E175" s="6"/>
      <c r="F175" s="6"/>
      <c r="M175" s="2"/>
    </row>
    <row r="176" spans="1:13" x14ac:dyDescent="0.2">
      <c r="A176" s="6"/>
      <c r="B176" s="6"/>
      <c r="C176" s="6"/>
      <c r="D176" s="6"/>
      <c r="E176" s="6"/>
      <c r="F176" s="6"/>
      <c r="M176" s="2"/>
    </row>
    <row r="177" spans="1:13" x14ac:dyDescent="0.2">
      <c r="A177" s="6"/>
      <c r="B177" s="6"/>
      <c r="C177" s="6"/>
      <c r="D177" s="6"/>
      <c r="E177" s="6"/>
      <c r="F177" s="6"/>
      <c r="M177" s="2"/>
    </row>
    <row r="178" spans="1:13" x14ac:dyDescent="0.2">
      <c r="A178" s="6"/>
      <c r="B178" s="6"/>
      <c r="C178" s="6"/>
      <c r="D178" s="6"/>
      <c r="E178" s="6"/>
      <c r="F178" s="6"/>
      <c r="M178" s="2"/>
    </row>
    <row r="179" spans="1:13" x14ac:dyDescent="0.2">
      <c r="A179" s="6"/>
      <c r="B179" s="6"/>
      <c r="C179" s="6"/>
      <c r="D179" s="6"/>
      <c r="E179" s="6"/>
      <c r="F179" s="6"/>
      <c r="M179" s="2"/>
    </row>
    <row r="180" spans="1:13" x14ac:dyDescent="0.2">
      <c r="A180" s="6"/>
      <c r="B180" s="6"/>
      <c r="C180" s="6"/>
      <c r="D180" s="6"/>
      <c r="E180" s="6"/>
      <c r="F180" s="6"/>
      <c r="M180" s="2"/>
    </row>
    <row r="181" spans="1:13" x14ac:dyDescent="0.2">
      <c r="A181" s="6"/>
      <c r="B181" s="6"/>
      <c r="C181" s="6"/>
      <c r="D181" s="6"/>
      <c r="E181" s="6"/>
      <c r="F181" s="6"/>
      <c r="M181" s="2"/>
    </row>
    <row r="182" spans="1:13" x14ac:dyDescent="0.2">
      <c r="A182" s="6"/>
      <c r="B182" s="6"/>
      <c r="C182" s="6"/>
      <c r="D182" s="6"/>
      <c r="E182" s="6"/>
      <c r="F182" s="6"/>
      <c r="M182" s="2"/>
    </row>
    <row r="183" spans="1:13" x14ac:dyDescent="0.2">
      <c r="A183" s="6"/>
      <c r="B183" s="6"/>
      <c r="C183" s="6"/>
      <c r="D183" s="6"/>
      <c r="E183" s="6"/>
      <c r="F183" s="6"/>
      <c r="M183" s="2"/>
    </row>
    <row r="184" spans="1:13" x14ac:dyDescent="0.2">
      <c r="A184" s="6"/>
      <c r="B184" s="6"/>
      <c r="C184" s="6"/>
      <c r="D184" s="6"/>
      <c r="E184" s="6"/>
      <c r="F184" s="6"/>
      <c r="M184" s="2"/>
    </row>
    <row r="185" spans="1:13" x14ac:dyDescent="0.2">
      <c r="A185" s="6"/>
      <c r="B185" s="6"/>
      <c r="C185" s="6"/>
      <c r="D185" s="6"/>
      <c r="E185" s="6"/>
      <c r="F185" s="6"/>
      <c r="M185" s="2"/>
    </row>
    <row r="186" spans="1:13" x14ac:dyDescent="0.2">
      <c r="A186" s="6"/>
      <c r="B186" s="6"/>
      <c r="C186" s="6"/>
      <c r="D186" s="6"/>
      <c r="E186" s="6"/>
      <c r="F186" s="6"/>
      <c r="G186" s="3"/>
      <c r="H186" s="3"/>
      <c r="I186" s="3"/>
      <c r="M186" s="2"/>
    </row>
    <row r="187" spans="1:13" x14ac:dyDescent="0.2">
      <c r="A187" s="6"/>
      <c r="B187" s="6"/>
      <c r="C187" s="6"/>
      <c r="D187" s="6"/>
      <c r="E187" s="6"/>
      <c r="F187" s="6"/>
      <c r="M187" s="2"/>
    </row>
    <row r="188" spans="1:13" x14ac:dyDescent="0.2">
      <c r="A188" s="6"/>
      <c r="B188" s="6"/>
      <c r="C188" s="6"/>
      <c r="D188" s="6"/>
      <c r="E188" s="6"/>
      <c r="F188" s="6"/>
      <c r="M188" s="2"/>
    </row>
    <row r="189" spans="1:13" x14ac:dyDescent="0.2">
      <c r="A189" s="6"/>
      <c r="B189" s="6"/>
      <c r="C189" s="6"/>
      <c r="D189" s="6"/>
      <c r="E189" s="6"/>
      <c r="F189" s="6"/>
      <c r="M189" s="2"/>
    </row>
    <row r="190" spans="1:13" x14ac:dyDescent="0.2">
      <c r="A190" s="6"/>
      <c r="B190" s="6"/>
      <c r="C190" s="6"/>
      <c r="D190" s="6"/>
      <c r="E190" s="6"/>
      <c r="F190" s="6"/>
      <c r="M190" s="2"/>
    </row>
    <row r="191" spans="1:13" x14ac:dyDescent="0.2">
      <c r="A191" s="6"/>
      <c r="B191" s="6"/>
      <c r="C191" s="6"/>
      <c r="D191" s="6"/>
      <c r="E191" s="6"/>
      <c r="F191" s="6"/>
      <c r="M191" s="2"/>
    </row>
    <row r="192" spans="1:13" x14ac:dyDescent="0.2">
      <c r="A192" s="6"/>
      <c r="B192" s="6"/>
      <c r="C192" s="6"/>
      <c r="D192" s="6"/>
      <c r="E192" s="6"/>
      <c r="F192" s="6"/>
      <c r="M192" s="2"/>
    </row>
    <row r="193" spans="1:13" x14ac:dyDescent="0.2">
      <c r="A193" s="6"/>
      <c r="B193" s="6"/>
      <c r="C193" s="6"/>
      <c r="D193" s="6"/>
      <c r="E193" s="6"/>
      <c r="F193" s="6"/>
      <c r="M193" s="2"/>
    </row>
    <row r="194" spans="1:13" x14ac:dyDescent="0.2">
      <c r="A194" s="6"/>
      <c r="B194" s="6"/>
      <c r="C194" s="6"/>
      <c r="D194" s="6"/>
      <c r="E194" s="6"/>
      <c r="F194" s="6"/>
      <c r="M194" s="2"/>
    </row>
    <row r="195" spans="1:13" x14ac:dyDescent="0.2">
      <c r="A195" s="6"/>
      <c r="B195" s="6"/>
      <c r="C195" s="6"/>
      <c r="D195" s="6"/>
      <c r="E195" s="6"/>
      <c r="F195" s="6"/>
      <c r="M195" s="2"/>
    </row>
    <row r="196" spans="1:13" x14ac:dyDescent="0.2">
      <c r="A196" s="6"/>
      <c r="B196" s="6"/>
      <c r="C196" s="6"/>
      <c r="D196" s="6"/>
      <c r="E196" s="6"/>
      <c r="F196" s="6"/>
      <c r="M196" s="2"/>
    </row>
    <row r="197" spans="1:13" x14ac:dyDescent="0.2">
      <c r="A197" s="6"/>
      <c r="B197" s="6"/>
      <c r="C197" s="6"/>
      <c r="D197" s="6"/>
      <c r="E197" s="6"/>
      <c r="F197" s="6"/>
      <c r="M197" s="2"/>
    </row>
    <row r="198" spans="1:13" x14ac:dyDescent="0.2">
      <c r="A198" s="6"/>
      <c r="B198" s="6"/>
      <c r="C198" s="6"/>
      <c r="D198" s="6"/>
      <c r="E198" s="6"/>
      <c r="F198" s="6"/>
      <c r="M198" s="2"/>
    </row>
    <row r="199" spans="1:13" x14ac:dyDescent="0.2">
      <c r="A199" s="6"/>
      <c r="B199" s="6"/>
      <c r="C199" s="6"/>
      <c r="D199" s="6"/>
      <c r="E199" s="6"/>
      <c r="F199" s="6"/>
      <c r="M199" s="2"/>
    </row>
    <row r="200" spans="1:13" x14ac:dyDescent="0.2">
      <c r="A200" s="6"/>
      <c r="B200" s="6"/>
      <c r="C200" s="6"/>
      <c r="D200" s="6"/>
      <c r="E200" s="6"/>
      <c r="F200" s="6"/>
      <c r="M200" s="2"/>
    </row>
    <row r="201" spans="1:13" x14ac:dyDescent="0.2">
      <c r="A201" s="6"/>
      <c r="B201" s="6"/>
      <c r="C201" s="6"/>
      <c r="D201" s="6"/>
      <c r="E201" s="6"/>
      <c r="F201" s="6"/>
      <c r="M201" s="2"/>
    </row>
    <row r="202" spans="1:13" x14ac:dyDescent="0.2">
      <c r="A202" s="6"/>
      <c r="B202" s="6"/>
      <c r="C202" s="6"/>
      <c r="D202" s="6"/>
      <c r="E202" s="6"/>
      <c r="F202" s="6"/>
      <c r="M202" s="2"/>
    </row>
    <row r="203" spans="1:13" x14ac:dyDescent="0.2">
      <c r="A203" s="6"/>
      <c r="B203" s="6"/>
      <c r="C203" s="6"/>
      <c r="D203" s="6"/>
      <c r="E203" s="6"/>
      <c r="F203" s="6"/>
      <c r="M203" s="2"/>
    </row>
    <row r="204" spans="1:13" x14ac:dyDescent="0.2">
      <c r="A204" s="6"/>
      <c r="B204" s="6"/>
      <c r="C204" s="6"/>
      <c r="D204" s="6"/>
      <c r="E204" s="6"/>
      <c r="F204" s="6"/>
      <c r="M204" s="2"/>
    </row>
    <row r="205" spans="1:13" x14ac:dyDescent="0.2">
      <c r="A205" s="6"/>
      <c r="B205" s="6"/>
      <c r="C205" s="6"/>
      <c r="D205" s="6"/>
      <c r="E205" s="6"/>
      <c r="F205" s="6"/>
      <c r="M205" s="2"/>
    </row>
    <row r="206" spans="1:13" x14ac:dyDescent="0.2">
      <c r="A206" s="6"/>
      <c r="B206" s="6"/>
      <c r="C206" s="6"/>
      <c r="D206" s="6"/>
      <c r="E206" s="6"/>
      <c r="F206" s="6"/>
      <c r="M206" s="2"/>
    </row>
    <row r="207" spans="1:13" x14ac:dyDescent="0.2">
      <c r="A207" s="6"/>
      <c r="B207" s="6"/>
      <c r="C207" s="6"/>
      <c r="D207" s="6"/>
      <c r="E207" s="6"/>
      <c r="F207" s="6"/>
      <c r="M207" s="2"/>
    </row>
    <row r="208" spans="1:13" x14ac:dyDescent="0.2">
      <c r="A208" s="6"/>
      <c r="B208" s="6"/>
      <c r="C208" s="6"/>
      <c r="D208" s="6"/>
      <c r="E208" s="6"/>
      <c r="F208" s="6"/>
      <c r="M208" s="2"/>
    </row>
    <row r="209" spans="1:13" x14ac:dyDescent="0.2">
      <c r="A209" s="6"/>
      <c r="B209" s="6"/>
      <c r="C209" s="6"/>
      <c r="D209" s="6"/>
      <c r="E209" s="6"/>
      <c r="F209" s="6"/>
      <c r="M209" s="2"/>
    </row>
    <row r="210" spans="1:13" x14ac:dyDescent="0.2">
      <c r="A210" s="6"/>
      <c r="B210" s="6"/>
      <c r="C210" s="6"/>
      <c r="D210" s="6"/>
      <c r="E210" s="6"/>
      <c r="F210" s="6"/>
      <c r="M210" s="2"/>
    </row>
    <row r="211" spans="1:13" x14ac:dyDescent="0.2">
      <c r="A211" s="6"/>
      <c r="B211" s="6"/>
      <c r="C211" s="6"/>
      <c r="D211" s="6"/>
      <c r="E211" s="6"/>
      <c r="F211" s="6"/>
      <c r="M211" s="2"/>
    </row>
    <row r="212" spans="1:13" x14ac:dyDescent="0.2">
      <c r="A212" s="6"/>
      <c r="B212" s="6"/>
      <c r="C212" s="6"/>
      <c r="D212" s="6"/>
      <c r="E212" s="6"/>
      <c r="F212" s="6"/>
      <c r="M212" s="2"/>
    </row>
    <row r="213" spans="1:13" x14ac:dyDescent="0.2">
      <c r="A213" s="6"/>
      <c r="B213" s="6"/>
      <c r="C213" s="6"/>
      <c r="D213" s="6"/>
      <c r="E213" s="6"/>
      <c r="F213" s="6"/>
      <c r="M213" s="2"/>
    </row>
    <row r="214" spans="1:13" x14ac:dyDescent="0.2">
      <c r="A214" s="6"/>
      <c r="B214" s="6"/>
      <c r="C214" s="6"/>
      <c r="D214" s="6"/>
      <c r="E214" s="6"/>
      <c r="F214" s="6"/>
      <c r="M214" s="2"/>
    </row>
    <row r="215" spans="1:13" x14ac:dyDescent="0.2">
      <c r="A215" s="6"/>
      <c r="B215" s="6"/>
      <c r="C215" s="6"/>
      <c r="D215" s="6"/>
      <c r="E215" s="6"/>
      <c r="F215" s="6"/>
      <c r="M215" s="2"/>
    </row>
    <row r="216" spans="1:13" x14ac:dyDescent="0.2">
      <c r="A216" s="6"/>
      <c r="B216" s="6"/>
      <c r="C216" s="6"/>
      <c r="D216" s="6"/>
      <c r="E216" s="6"/>
      <c r="F216" s="6"/>
      <c r="M216" s="2"/>
    </row>
    <row r="217" spans="1:13" x14ac:dyDescent="0.2">
      <c r="A217" s="6"/>
      <c r="B217" s="6"/>
      <c r="C217" s="6"/>
      <c r="D217" s="6"/>
      <c r="E217" s="6"/>
      <c r="F217" s="6"/>
      <c r="M217" s="2"/>
    </row>
    <row r="218" spans="1:13" x14ac:dyDescent="0.2">
      <c r="A218" s="6"/>
      <c r="B218" s="6"/>
      <c r="C218" s="6"/>
      <c r="D218" s="6"/>
      <c r="E218" s="6"/>
      <c r="F218" s="6"/>
      <c r="M218" s="2"/>
    </row>
    <row r="219" spans="1:13" x14ac:dyDescent="0.2">
      <c r="A219" s="6"/>
      <c r="B219" s="6"/>
      <c r="C219" s="6"/>
      <c r="D219" s="6"/>
      <c r="E219" s="6"/>
      <c r="F219" s="6"/>
      <c r="M219" s="2"/>
    </row>
    <row r="220" spans="1:13" x14ac:dyDescent="0.2">
      <c r="A220" s="6"/>
      <c r="B220" s="6"/>
      <c r="C220" s="6"/>
      <c r="D220" s="6"/>
      <c r="E220" s="6"/>
      <c r="F220" s="6"/>
      <c r="M220" s="2"/>
    </row>
    <row r="221" spans="1:13" x14ac:dyDescent="0.2">
      <c r="A221" s="6"/>
      <c r="B221" s="6"/>
      <c r="C221" s="6"/>
      <c r="D221" s="6"/>
      <c r="E221" s="6"/>
      <c r="F221" s="6"/>
      <c r="M221" s="2"/>
    </row>
    <row r="222" spans="1:13" x14ac:dyDescent="0.2">
      <c r="A222" s="6"/>
      <c r="B222" s="6"/>
      <c r="C222" s="6"/>
      <c r="D222" s="6"/>
      <c r="E222" s="6"/>
      <c r="F222" s="6"/>
      <c r="M222" s="2"/>
    </row>
    <row r="223" spans="1:13" x14ac:dyDescent="0.2">
      <c r="A223" s="6"/>
      <c r="B223" s="6"/>
      <c r="C223" s="6"/>
      <c r="D223" s="6"/>
      <c r="E223" s="6"/>
      <c r="F223" s="6"/>
      <c r="M223" s="2"/>
    </row>
    <row r="224" spans="1:13" x14ac:dyDescent="0.2">
      <c r="A224" s="6"/>
      <c r="B224" s="6"/>
      <c r="C224" s="6"/>
      <c r="D224" s="6"/>
      <c r="E224" s="6"/>
      <c r="F224" s="6"/>
      <c r="M224" s="2"/>
    </row>
    <row r="225" spans="1:13" x14ac:dyDescent="0.2">
      <c r="A225" s="6"/>
      <c r="B225" s="6"/>
      <c r="C225" s="6"/>
      <c r="D225" s="6"/>
      <c r="E225" s="6"/>
      <c r="F225" s="6"/>
      <c r="M225" s="2"/>
    </row>
    <row r="226" spans="1:13" x14ac:dyDescent="0.2">
      <c r="A226" s="6"/>
      <c r="B226" s="6"/>
      <c r="C226" s="6"/>
      <c r="D226" s="6"/>
      <c r="E226" s="6"/>
      <c r="F226" s="6"/>
      <c r="M226" s="2"/>
    </row>
    <row r="227" spans="1:13" x14ac:dyDescent="0.2">
      <c r="A227" s="6"/>
      <c r="B227" s="6"/>
      <c r="C227" s="6"/>
      <c r="D227" s="6"/>
      <c r="E227" s="6"/>
      <c r="F227" s="6"/>
      <c r="M227" s="2"/>
    </row>
    <row r="228" spans="1:13" x14ac:dyDescent="0.2">
      <c r="A228" s="6"/>
      <c r="B228" s="6"/>
      <c r="C228" s="6"/>
      <c r="D228" s="6"/>
      <c r="E228" s="6"/>
      <c r="F228" s="6"/>
      <c r="M228" s="2"/>
    </row>
    <row r="229" spans="1:13" x14ac:dyDescent="0.2">
      <c r="A229" s="6"/>
      <c r="B229" s="6"/>
      <c r="C229" s="6"/>
      <c r="D229" s="6"/>
      <c r="E229" s="6"/>
      <c r="F229" s="6"/>
      <c r="M229" s="2"/>
    </row>
    <row r="230" spans="1:13" x14ac:dyDescent="0.2">
      <c r="A230" s="6"/>
      <c r="B230" s="6"/>
      <c r="C230" s="6"/>
      <c r="D230" s="6"/>
      <c r="E230" s="6"/>
      <c r="F230" s="6"/>
      <c r="M230" s="2"/>
    </row>
    <row r="231" spans="1:13" x14ac:dyDescent="0.2">
      <c r="A231" s="6"/>
      <c r="B231" s="6"/>
      <c r="C231" s="6"/>
      <c r="D231" s="6"/>
      <c r="E231" s="6"/>
      <c r="F231" s="6"/>
      <c r="G231" s="3"/>
      <c r="H231" s="3"/>
      <c r="I231" s="3"/>
      <c r="M231" s="2"/>
    </row>
  </sheetData>
  <mergeCells count="5">
    <mergeCell ref="A3:B3"/>
    <mergeCell ref="B16:C16"/>
    <mergeCell ref="D16:F16"/>
    <mergeCell ref="G16:H16"/>
    <mergeCell ref="K16:L16"/>
  </mergeCells>
  <pageMargins left="0.75" right="0.75" top="1" bottom="1" header="0" footer="0"/>
  <pageSetup paperSize="9" orientation="portrait" horizontalDpi="300" verticalDpi="1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5"/>
  <sheetViews>
    <sheetView tabSelected="1" topLeftCell="G1" zoomScale="145" zoomScaleNormal="145" workbookViewId="0">
      <selection activeCell="Q8" sqref="Q8"/>
    </sheetView>
  </sheetViews>
  <sheetFormatPr baseColWidth="10" defaultColWidth="11.42578125" defaultRowHeight="12.75" x14ac:dyDescent="0.2"/>
  <cols>
    <col min="1" max="1" width="20" style="52" customWidth="1"/>
    <col min="2" max="2" width="9" style="51" customWidth="1"/>
    <col min="3" max="3" width="9.5703125" style="49" customWidth="1"/>
    <col min="4" max="4" width="10.7109375" style="49" customWidth="1"/>
    <col min="5" max="5" width="11" style="52" customWidth="1"/>
    <col min="6" max="6" width="10.140625" style="49" customWidth="1"/>
    <col min="7" max="7" width="9.140625" style="49" customWidth="1"/>
    <col min="8" max="8" width="11" style="52" customWidth="1"/>
    <col min="9" max="10" width="11.42578125" style="49"/>
    <col min="11" max="11" width="11.42578125" style="52"/>
    <col min="12" max="13" width="11.42578125" style="49"/>
    <col min="14" max="14" width="11.42578125" style="52"/>
    <col min="15" max="16" width="11.42578125" style="49"/>
    <col min="17" max="17" width="10.28515625" style="52" customWidth="1"/>
    <col min="18" max="18" width="13.7109375" style="49" customWidth="1"/>
    <col min="19" max="19" width="11.42578125" style="49"/>
    <col min="20" max="20" width="11.42578125" style="52"/>
    <col min="21" max="21" width="4" style="51" customWidth="1"/>
    <col min="22" max="22" width="11.42578125" style="51"/>
    <col min="23" max="23" width="8.7109375" style="50" customWidth="1"/>
    <col min="24" max="39" width="8.7109375" style="49" customWidth="1"/>
    <col min="40" max="16384" width="11.42578125" style="49"/>
  </cols>
  <sheetData>
    <row r="1" spans="1:39" x14ac:dyDescent="0.2">
      <c r="A1" s="97"/>
      <c r="B1" s="49"/>
      <c r="E1" s="49"/>
      <c r="H1" s="49"/>
      <c r="K1" s="49"/>
      <c r="N1" s="49"/>
      <c r="Q1" s="49"/>
      <c r="T1" s="49"/>
      <c r="U1" s="49"/>
      <c r="V1" s="49"/>
    </row>
    <row r="2" spans="1:39" x14ac:dyDescent="0.2">
      <c r="A2" s="97"/>
      <c r="B2" s="49"/>
      <c r="E2" s="100"/>
      <c r="F2" s="101"/>
      <c r="H2" s="49"/>
      <c r="K2" s="49"/>
      <c r="N2" s="49"/>
      <c r="Q2" s="49"/>
      <c r="T2" s="49"/>
      <c r="U2" s="49"/>
      <c r="V2" s="49"/>
    </row>
    <row r="3" spans="1:39" x14ac:dyDescent="0.2">
      <c r="A3" s="49"/>
      <c r="C3" s="99" t="s">
        <v>34</v>
      </c>
      <c r="I3" s="102" t="s">
        <v>63</v>
      </c>
      <c r="O3" s="99" t="s">
        <v>35</v>
      </c>
      <c r="R3" s="96" t="s">
        <v>61</v>
      </c>
      <c r="S3" s="140">
        <f>'Ej-1a_PosicSol_Madrid'!A18</f>
        <v>297</v>
      </c>
      <c r="T3" s="49"/>
    </row>
    <row r="4" spans="1:39" x14ac:dyDescent="0.2">
      <c r="A4" s="49"/>
      <c r="C4" s="98" t="s">
        <v>1</v>
      </c>
      <c r="F4" s="95" t="s">
        <v>19</v>
      </c>
      <c r="G4" s="95" t="s">
        <v>1</v>
      </c>
      <c r="L4" s="95" t="s">
        <v>19</v>
      </c>
      <c r="M4" s="95" t="s">
        <v>1</v>
      </c>
      <c r="O4" s="95" t="s">
        <v>19</v>
      </c>
      <c r="P4" s="95" t="s">
        <v>1</v>
      </c>
      <c r="R4" s="126" t="s">
        <v>67</v>
      </c>
      <c r="S4" s="95" t="s">
        <v>1</v>
      </c>
      <c r="T4" s="49"/>
    </row>
    <row r="5" spans="1:39" x14ac:dyDescent="0.2">
      <c r="A5" s="7" t="s">
        <v>62</v>
      </c>
      <c r="B5" s="51">
        <v>23.45</v>
      </c>
      <c r="C5" s="49">
        <f>RADIANS(B5)</f>
        <v>0.40927970959267029</v>
      </c>
      <c r="F5" s="50">
        <f>B5/2</f>
        <v>11.725</v>
      </c>
      <c r="G5" s="49">
        <f>RADIANS(F5)</f>
        <v>0.20463985479633515</v>
      </c>
      <c r="I5" s="49">
        <v>0</v>
      </c>
      <c r="J5" s="49">
        <f>RADIANS(I5)</f>
        <v>0</v>
      </c>
      <c r="L5" s="50">
        <f>-F5</f>
        <v>-11.725</v>
      </c>
      <c r="M5" s="49">
        <f>RADIANS(L5)</f>
        <v>-0.20463985479633515</v>
      </c>
      <c r="O5" s="49">
        <f>-B5</f>
        <v>-23.45</v>
      </c>
      <c r="P5" s="49">
        <f>RADIANS(O5)</f>
        <v>-0.40927970959267029</v>
      </c>
      <c r="R5" s="50">
        <f>IF(S3&lt;&gt;"",23.45*SIN(RADIANS(360*(S3+284)/365)),"")</f>
        <v>-12.785888283778254</v>
      </c>
      <c r="S5" s="49">
        <f>RADIANS(R5)</f>
        <v>-0.22315584834409763</v>
      </c>
      <c r="U5" s="94"/>
      <c r="V5" s="94"/>
      <c r="W5" s="49">
        <v>1</v>
      </c>
      <c r="X5" s="49">
        <v>17</v>
      </c>
      <c r="Y5" s="92"/>
      <c r="Z5" s="49">
        <v>7</v>
      </c>
      <c r="AA5" s="49">
        <v>198</v>
      </c>
    </row>
    <row r="6" spans="1:39" x14ac:dyDescent="0.2">
      <c r="A6" s="7" t="s">
        <v>6</v>
      </c>
      <c r="B6" s="103">
        <v>40.450000000000003</v>
      </c>
      <c r="C6" s="49">
        <f>RADIANS(B6)</f>
        <v>0.70598568243170634</v>
      </c>
      <c r="U6" s="93"/>
      <c r="W6" s="49">
        <v>2</v>
      </c>
      <c r="X6" s="49">
        <v>46</v>
      </c>
      <c r="Y6" s="92"/>
      <c r="Z6" s="49">
        <v>8</v>
      </c>
      <c r="AA6" s="49">
        <v>228</v>
      </c>
    </row>
    <row r="7" spans="1:39" x14ac:dyDescent="0.2">
      <c r="A7" s="91"/>
      <c r="B7" s="88"/>
      <c r="C7" s="87"/>
      <c r="D7" s="89" t="s">
        <v>0</v>
      </c>
      <c r="E7" s="90"/>
      <c r="F7" s="87"/>
      <c r="G7" s="87"/>
      <c r="J7" s="89" t="s">
        <v>3</v>
      </c>
      <c r="P7" s="89" t="s">
        <v>2</v>
      </c>
      <c r="R7" s="86"/>
      <c r="U7" s="88"/>
    </row>
    <row r="8" spans="1:39" x14ac:dyDescent="0.2">
      <c r="D8" s="100" t="s">
        <v>4</v>
      </c>
      <c r="E8" s="101" t="s">
        <v>5</v>
      </c>
      <c r="I8" s="87"/>
      <c r="R8" s="86"/>
      <c r="W8" s="74">
        <f>A10</f>
        <v>-120</v>
      </c>
      <c r="X8" s="49">
        <f>A25</f>
        <v>-105</v>
      </c>
      <c r="Y8" s="49">
        <f>A40</f>
        <v>-90</v>
      </c>
      <c r="Z8" s="49">
        <f>A55</f>
        <v>-75</v>
      </c>
      <c r="AA8" s="49">
        <f>A70</f>
        <v>-60</v>
      </c>
      <c r="AB8" s="49">
        <f>A85</f>
        <v>-45</v>
      </c>
      <c r="AC8" s="49">
        <f>A100</f>
        <v>-30</v>
      </c>
      <c r="AD8" s="49">
        <f>A115</f>
        <v>-15</v>
      </c>
      <c r="AE8" s="49">
        <f>A131</f>
        <v>1E-3</v>
      </c>
      <c r="AF8" s="49">
        <f>A146</f>
        <v>15</v>
      </c>
      <c r="AG8" s="49">
        <f>A161</f>
        <v>30</v>
      </c>
      <c r="AH8" s="49">
        <f>A176</f>
        <v>45</v>
      </c>
      <c r="AI8" s="49">
        <f>A191</f>
        <v>60</v>
      </c>
      <c r="AJ8" s="49">
        <f>A206</f>
        <v>75</v>
      </c>
      <c r="AK8" s="49">
        <f>A221</f>
        <v>90</v>
      </c>
      <c r="AL8" s="49">
        <f>A236</f>
        <v>105</v>
      </c>
      <c r="AM8" s="49">
        <f>A251</f>
        <v>120</v>
      </c>
    </row>
    <row r="9" spans="1:39" s="80" customFormat="1" ht="16.5" x14ac:dyDescent="0.3">
      <c r="A9" s="82" t="s">
        <v>60</v>
      </c>
      <c r="B9" s="82" t="s">
        <v>59</v>
      </c>
      <c r="C9" s="85" t="s">
        <v>58</v>
      </c>
      <c r="D9" s="85" t="s">
        <v>57</v>
      </c>
      <c r="E9" s="82" t="s">
        <v>56</v>
      </c>
      <c r="F9" s="85" t="s">
        <v>58</v>
      </c>
      <c r="G9" s="85" t="s">
        <v>57</v>
      </c>
      <c r="H9" s="82" t="s">
        <v>56</v>
      </c>
      <c r="I9" s="85" t="s">
        <v>58</v>
      </c>
      <c r="J9" s="85" t="s">
        <v>57</v>
      </c>
      <c r="K9" s="82" t="s">
        <v>56</v>
      </c>
      <c r="L9" s="85" t="s">
        <v>58</v>
      </c>
      <c r="M9" s="85" t="s">
        <v>57</v>
      </c>
      <c r="N9" s="82" t="s">
        <v>56</v>
      </c>
      <c r="O9" s="85" t="s">
        <v>58</v>
      </c>
      <c r="P9" s="85" t="s">
        <v>57</v>
      </c>
      <c r="Q9" s="82" t="s">
        <v>56</v>
      </c>
      <c r="R9" s="85" t="s">
        <v>58</v>
      </c>
      <c r="S9" s="84" t="s">
        <v>57</v>
      </c>
      <c r="T9" s="84" t="s">
        <v>56</v>
      </c>
      <c r="U9" s="83"/>
      <c r="V9" s="82" t="s">
        <v>55</v>
      </c>
      <c r="W9" s="81" t="s">
        <v>54</v>
      </c>
      <c r="X9" s="81" t="s">
        <v>53</v>
      </c>
      <c r="Y9" s="81" t="s">
        <v>52</v>
      </c>
      <c r="Z9" s="81" t="s">
        <v>51</v>
      </c>
      <c r="AA9" s="81" t="s">
        <v>50</v>
      </c>
      <c r="AB9" s="81" t="s">
        <v>49</v>
      </c>
      <c r="AC9" s="81" t="s">
        <v>48</v>
      </c>
      <c r="AD9" s="81" t="s">
        <v>47</v>
      </c>
      <c r="AE9" s="81" t="s">
        <v>46</v>
      </c>
      <c r="AF9" s="81" t="s">
        <v>45</v>
      </c>
      <c r="AG9" s="81" t="s">
        <v>44</v>
      </c>
      <c r="AH9" s="81" t="s">
        <v>43</v>
      </c>
      <c r="AI9" s="81" t="s">
        <v>42</v>
      </c>
      <c r="AJ9" s="81" t="s">
        <v>41</v>
      </c>
      <c r="AK9" s="81" t="s">
        <v>40</v>
      </c>
      <c r="AL9" s="81" t="s">
        <v>39</v>
      </c>
      <c r="AM9" s="81" t="s">
        <v>38</v>
      </c>
    </row>
    <row r="10" spans="1:39" s="54" customFormat="1" x14ac:dyDescent="0.2">
      <c r="A10" s="63">
        <v>-120</v>
      </c>
      <c r="B10" s="62">
        <f t="shared" ref="B10:B73" si="0">RADIANS(A10)</f>
        <v>-2.0943951023931953</v>
      </c>
      <c r="C10" s="60">
        <f t="shared" ref="C10:C73" si="1">DEGREES(ACOS(SIN(C$5)*SIN($C$6)+COS(C$5)*COS($C$6)*COS($B10)))</f>
        <v>95.21413062756784</v>
      </c>
      <c r="D10" s="60">
        <f t="shared" ref="D10:D73" si="2">90-C10</f>
        <v>-5.2141306275678403</v>
      </c>
      <c r="E10" s="61">
        <f t="shared" ref="E10:E41" si="3">DEGREES(-ACOS((SIN(RADIANS(D10))*SIN($C$6)-SIN(C$5))/(COS(RADIANS(D10))*COS($C$6))))</f>
        <v>-127.07950433003251</v>
      </c>
      <c r="F10" s="60">
        <f t="shared" ref="F10:F73" si="4">DEGREES(ACOS(SIN(G$5)*SIN($C$6)+COS(G$5)*COS($C$6)*COS($B10)))</f>
        <v>103.92813535680645</v>
      </c>
      <c r="G10" s="60">
        <f t="shared" ref="G10:G73" si="5">90-F10</f>
        <v>-13.92813535680645</v>
      </c>
      <c r="H10" s="61">
        <f t="shared" ref="H10:H41" si="6">DEGREES(-ACOS((SIN(RADIANS(G10))*SIN($C$6)-SIN(G$5))/(COS(RADIANS(G10))*COS($C$6))))</f>
        <v>-119.1153872926478</v>
      </c>
      <c r="I10" s="60">
        <f t="shared" ref="I10:I73" si="7">DEGREES(ACOS(SIN(J$5)*SIN($C$6)+COS(J$5)*COS($C$6)*COS($B10)))</f>
        <v>112.36380306753263</v>
      </c>
      <c r="J10" s="60">
        <f t="shared" ref="J10:J73" si="8">90-I10</f>
        <v>-22.363803067532629</v>
      </c>
      <c r="K10" s="61">
        <f t="shared" ref="K10:K41" si="9">DEGREES(-ACOS((SIN(RADIANS(J10))*SIN($C$6)-SIN(J$5))/(COS(RADIANS(J10))*COS($C$6))))</f>
        <v>-110.5347311092675</v>
      </c>
      <c r="L10" s="60">
        <f t="shared" ref="L10:L73" si="10">DEGREES(ACOS(SIN(M$5)*SIN($C$6)+COS(M$5)*COS($C$6)*COS($B10)))</f>
        <v>120.29083214135635</v>
      </c>
      <c r="M10" s="60">
        <f t="shared" ref="M10:M73" si="11">90-L10</f>
        <v>-30.290832141356347</v>
      </c>
      <c r="N10" s="61">
        <f t="shared" ref="N10:N41" si="12">DEGREES(-ACOS((SIN(RADIANS(M10))*SIN($C$6)-SIN(M$5))/(COS(RADIANS(M10))*COS($C$6))))</f>
        <v>-100.87995353609496</v>
      </c>
      <c r="O10" s="60">
        <f t="shared" ref="O10:O73" si="13">DEGREES(ACOS(SIN(P$5)*SIN($C$6)+COS(P$5)*COS($C$6)*COS($B10)))</f>
        <v>127.39047563015041</v>
      </c>
      <c r="P10" s="60">
        <f t="shared" ref="P10:P73" si="14">90-O10</f>
        <v>-37.390475630150405</v>
      </c>
      <c r="Q10" s="61">
        <f t="shared" ref="Q10:Q41" si="15">DEGREES(-ACOS((SIN(RADIANS(P10))*SIN($C$6)-SIN(P$5))/(COS(RADIANS(P10))*COS($C$6))))</f>
        <v>-89.622976416748969</v>
      </c>
      <c r="R10" s="60">
        <f t="shared" ref="R10:R73" si="16">DEGREES(ACOS(SIN(S$5)*SIN($C$6)+COS(S$5)*COS($C$6)*COS($B10)))</f>
        <v>120.97292594327345</v>
      </c>
      <c r="S10" s="59">
        <f t="shared" ref="S10:S73" si="17">90-R10</f>
        <v>-30.972925943273452</v>
      </c>
      <c r="T10" s="58">
        <f t="shared" ref="T10:T41" si="18">DEGREES(-ACOS((SIN(RADIANS(S10))*SIN($C$6)-SIN(S$5))/(COS(RADIANS(S10))*COS($C$6))))</f>
        <v>-99.935621312737311</v>
      </c>
      <c r="U10" s="79"/>
      <c r="V10" s="78">
        <f>E10</f>
        <v>-127.07950433003251</v>
      </c>
      <c r="W10" s="55">
        <f>D10</f>
        <v>-5.2141306275678403</v>
      </c>
    </row>
    <row r="11" spans="1:39" x14ac:dyDescent="0.2">
      <c r="A11" s="67">
        <v>-119</v>
      </c>
      <c r="B11" s="66">
        <f t="shared" si="0"/>
        <v>-2.0769418098732522</v>
      </c>
      <c r="C11" s="64">
        <f t="shared" si="1"/>
        <v>94.604283856491946</v>
      </c>
      <c r="D11" s="64">
        <f t="shared" si="2"/>
        <v>-4.6042838564919464</v>
      </c>
      <c r="E11" s="65">
        <f t="shared" si="3"/>
        <v>-126.39161598949117</v>
      </c>
      <c r="F11" s="64">
        <f t="shared" si="4"/>
        <v>103.26095073226118</v>
      </c>
      <c r="G11" s="64">
        <f t="shared" si="5"/>
        <v>-13.260950732261179</v>
      </c>
      <c r="H11" s="65">
        <f t="shared" si="6"/>
        <v>-118.37808941974751</v>
      </c>
      <c r="I11" s="64">
        <f t="shared" si="7"/>
        <v>111.64944258471539</v>
      </c>
      <c r="J11" s="64">
        <f t="shared" si="8"/>
        <v>-21.649442584715388</v>
      </c>
      <c r="K11" s="65">
        <f t="shared" si="9"/>
        <v>-109.77995303395922</v>
      </c>
      <c r="L11" s="64">
        <f t="shared" si="10"/>
        <v>119.54264350184307</v>
      </c>
      <c r="M11" s="64">
        <f t="shared" si="11"/>
        <v>-29.542643501843074</v>
      </c>
      <c r="N11" s="65">
        <f t="shared" si="12"/>
        <v>-100.15124553180306</v>
      </c>
      <c r="O11" s="64">
        <f t="shared" si="13"/>
        <v>126.62956372172293</v>
      </c>
      <c r="P11" s="64">
        <f t="shared" si="14"/>
        <v>-36.629563721722931</v>
      </c>
      <c r="Q11" s="65">
        <f t="shared" si="15"/>
        <v>-88.981170158382341</v>
      </c>
      <c r="R11" s="64">
        <f t="shared" si="16"/>
        <v>120.22255574365778</v>
      </c>
      <c r="S11" s="59">
        <f t="shared" si="17"/>
        <v>-30.222555743657779</v>
      </c>
      <c r="T11" s="58">
        <f t="shared" si="18"/>
        <v>-99.211984233645367</v>
      </c>
      <c r="U11" s="76"/>
      <c r="V11" s="77">
        <f>H10</f>
        <v>-119.1153872926478</v>
      </c>
      <c r="W11" s="50">
        <f>G11</f>
        <v>-13.260950732261179</v>
      </c>
    </row>
    <row r="12" spans="1:39" x14ac:dyDescent="0.2">
      <c r="A12" s="67">
        <v>-118</v>
      </c>
      <c r="B12" s="66">
        <f t="shared" si="0"/>
        <v>-2.0594885173533091</v>
      </c>
      <c r="C12" s="64">
        <f t="shared" si="1"/>
        <v>93.989038020649275</v>
      </c>
      <c r="D12" s="64">
        <f t="shared" si="2"/>
        <v>-3.989038020649275</v>
      </c>
      <c r="E12" s="65">
        <f t="shared" si="3"/>
        <v>-125.70917567718031</v>
      </c>
      <c r="F12" s="64">
        <f t="shared" si="4"/>
        <v>102.58913228972609</v>
      </c>
      <c r="G12" s="64">
        <f t="shared" si="5"/>
        <v>-12.589132289726095</v>
      </c>
      <c r="H12" s="65">
        <f t="shared" si="6"/>
        <v>-117.64727411358622</v>
      </c>
      <c r="I12" s="64">
        <f t="shared" si="7"/>
        <v>110.93170630659574</v>
      </c>
      <c r="J12" s="64">
        <f t="shared" si="8"/>
        <v>-20.931706306595743</v>
      </c>
      <c r="K12" s="65">
        <f t="shared" si="9"/>
        <v>-109.03262639979074</v>
      </c>
      <c r="L12" s="64">
        <f t="shared" si="10"/>
        <v>118.79275786741097</v>
      </c>
      <c r="M12" s="64">
        <f t="shared" si="11"/>
        <v>-28.79275786741097</v>
      </c>
      <c r="N12" s="65">
        <f t="shared" si="12"/>
        <v>-99.430225633242358</v>
      </c>
      <c r="O12" s="64">
        <f t="shared" si="13"/>
        <v>125.86880243641536</v>
      </c>
      <c r="P12" s="64">
        <f t="shared" si="14"/>
        <v>-35.868802436415365</v>
      </c>
      <c r="Q12" s="65">
        <f t="shared" si="15"/>
        <v>-88.345392425931863</v>
      </c>
      <c r="R12" s="64">
        <f t="shared" si="16"/>
        <v>119.47065484360476</v>
      </c>
      <c r="S12" s="59">
        <f t="shared" si="17"/>
        <v>-29.470654843604763</v>
      </c>
      <c r="T12" s="58">
        <f t="shared" si="18"/>
        <v>-98.495984281996712</v>
      </c>
      <c r="U12" s="76"/>
      <c r="V12" s="77">
        <f>K10</f>
        <v>-110.5347311092675</v>
      </c>
      <c r="W12" s="50">
        <f>J10</f>
        <v>-22.363803067532629</v>
      </c>
    </row>
    <row r="13" spans="1:39" x14ac:dyDescent="0.2">
      <c r="A13" s="67">
        <v>-117</v>
      </c>
      <c r="B13" s="66">
        <f t="shared" si="0"/>
        <v>-2.0420352248333655</v>
      </c>
      <c r="C13" s="64">
        <f t="shared" si="1"/>
        <v>93.368522506586785</v>
      </c>
      <c r="D13" s="64">
        <f t="shared" si="2"/>
        <v>-3.3685225065867854</v>
      </c>
      <c r="E13" s="65">
        <f t="shared" si="3"/>
        <v>-125.03205968945294</v>
      </c>
      <c r="F13" s="64">
        <f t="shared" si="4"/>
        <v>101.91282912376784</v>
      </c>
      <c r="G13" s="64">
        <f t="shared" si="5"/>
        <v>-11.912829123767835</v>
      </c>
      <c r="H13" s="65">
        <f t="shared" si="6"/>
        <v>-116.92273222239137</v>
      </c>
      <c r="I13" s="64">
        <f t="shared" si="7"/>
        <v>110.21074856020338</v>
      </c>
      <c r="J13" s="64">
        <f t="shared" si="8"/>
        <v>-20.210748560203385</v>
      </c>
      <c r="K13" s="65">
        <f t="shared" si="9"/>
        <v>-108.29244332013069</v>
      </c>
      <c r="L13" s="64">
        <f t="shared" si="10"/>
        <v>118.04131093318408</v>
      </c>
      <c r="M13" s="64">
        <f t="shared" si="11"/>
        <v>-28.041310933184079</v>
      </c>
      <c r="N13" s="65">
        <f t="shared" si="12"/>
        <v>-98.716498912929794</v>
      </c>
      <c r="O13" s="64">
        <f t="shared" si="13"/>
        <v>125.10828366654908</v>
      </c>
      <c r="P13" s="64">
        <f t="shared" si="14"/>
        <v>-35.108283666549085</v>
      </c>
      <c r="Q13" s="65">
        <f t="shared" si="15"/>
        <v>-87.715247206502724</v>
      </c>
      <c r="R13" s="64">
        <f t="shared" si="16"/>
        <v>118.71735589107422</v>
      </c>
      <c r="S13" s="59">
        <f t="shared" si="17"/>
        <v>-28.71735589107422</v>
      </c>
      <c r="T13" s="58">
        <f t="shared" si="18"/>
        <v>-97.787221294416369</v>
      </c>
      <c r="U13" s="76"/>
      <c r="V13" s="77">
        <f>N10</f>
        <v>-100.87995353609496</v>
      </c>
      <c r="W13" s="50">
        <f>M10</f>
        <v>-30.290832141356347</v>
      </c>
    </row>
    <row r="14" spans="1:39" x14ac:dyDescent="0.2">
      <c r="A14" s="67">
        <v>-116</v>
      </c>
      <c r="B14" s="66">
        <f t="shared" si="0"/>
        <v>-2.0245819323134224</v>
      </c>
      <c r="C14" s="64">
        <f t="shared" si="1"/>
        <v>92.742864432615974</v>
      </c>
      <c r="D14" s="64">
        <f t="shared" si="2"/>
        <v>-2.7428644326159741</v>
      </c>
      <c r="E14" s="65">
        <f t="shared" si="3"/>
        <v>-124.36014235199674</v>
      </c>
      <c r="F14" s="64">
        <f t="shared" si="4"/>
        <v>101.23218695164149</v>
      </c>
      <c r="G14" s="64">
        <f t="shared" si="5"/>
        <v>-11.232186951641495</v>
      </c>
      <c r="H14" s="65">
        <f t="shared" si="6"/>
        <v>-116.20425466128111</v>
      </c>
      <c r="I14" s="64">
        <f t="shared" si="7"/>
        <v>109.48671939945682</v>
      </c>
      <c r="J14" s="64">
        <f t="shared" si="8"/>
        <v>-19.486719399456817</v>
      </c>
      <c r="K14" s="65">
        <f t="shared" si="9"/>
        <v>-107.55910084728458</v>
      </c>
      <c r="L14" s="64">
        <f t="shared" si="10"/>
        <v>117.2884342024778</v>
      </c>
      <c r="M14" s="64">
        <f t="shared" si="11"/>
        <v>-27.288434202477802</v>
      </c>
      <c r="N14" s="65">
        <f t="shared" si="12"/>
        <v>-98.009682745741344</v>
      </c>
      <c r="O14" s="64">
        <f t="shared" si="13"/>
        <v>124.34809694316031</v>
      </c>
      <c r="P14" s="64">
        <f t="shared" si="14"/>
        <v>-34.348096943160314</v>
      </c>
      <c r="Q14" s="65">
        <f t="shared" si="15"/>
        <v>-87.090355812529666</v>
      </c>
      <c r="R14" s="64">
        <f t="shared" si="16"/>
        <v>117.96278743038907</v>
      </c>
      <c r="S14" s="59">
        <f t="shared" si="17"/>
        <v>-27.962787430389071</v>
      </c>
      <c r="T14" s="58">
        <f t="shared" si="18"/>
        <v>-97.085308089651377</v>
      </c>
      <c r="U14" s="76"/>
      <c r="V14" s="77">
        <f>Q10</f>
        <v>-89.622976416748969</v>
      </c>
      <c r="W14" s="50">
        <f>P10</f>
        <v>-37.390475630150405</v>
      </c>
    </row>
    <row r="15" spans="1:39" x14ac:dyDescent="0.2">
      <c r="A15" s="67">
        <v>-115</v>
      </c>
      <c r="B15" s="66">
        <f t="shared" si="0"/>
        <v>-2.0071286397934789</v>
      </c>
      <c r="C15" s="64">
        <f t="shared" si="1"/>
        <v>92.112188668161338</v>
      </c>
      <c r="D15" s="64">
        <f t="shared" si="2"/>
        <v>-2.1121886681613375</v>
      </c>
      <c r="E15" s="65">
        <f t="shared" si="3"/>
        <v>-123.69329614626908</v>
      </c>
      <c r="F15" s="64">
        <f t="shared" si="4"/>
        <v>100.54734820902895</v>
      </c>
      <c r="G15" s="64">
        <f t="shared" si="5"/>
        <v>-10.547348209028954</v>
      </c>
      <c r="H15" s="65">
        <f t="shared" si="6"/>
        <v>-115.49163252359072</v>
      </c>
      <c r="I15" s="64">
        <f t="shared" si="7"/>
        <v>108.75976480534567</v>
      </c>
      <c r="J15" s="64">
        <f t="shared" si="8"/>
        <v>-18.759764805345668</v>
      </c>
      <c r="K15" s="65">
        <f t="shared" si="9"/>
        <v>-106.83230089801437</v>
      </c>
      <c r="L15" s="64">
        <f t="shared" si="10"/>
        <v>116.53425526480081</v>
      </c>
      <c r="M15" s="64">
        <f t="shared" si="11"/>
        <v>-26.534255264800805</v>
      </c>
      <c r="N15" s="65">
        <f t="shared" si="12"/>
        <v>-97.30940624116397</v>
      </c>
      <c r="O15" s="64">
        <f t="shared" si="13"/>
        <v>123.58832966094927</v>
      </c>
      <c r="P15" s="64">
        <f t="shared" si="14"/>
        <v>-33.58832966094927</v>
      </c>
      <c r="Q15" s="65">
        <f t="shared" si="15"/>
        <v>-86.470355738989568</v>
      </c>
      <c r="R15" s="64">
        <f t="shared" si="16"/>
        <v>117.20707418239951</v>
      </c>
      <c r="S15" s="59">
        <f t="shared" si="17"/>
        <v>-27.207074182399509</v>
      </c>
      <c r="T15" s="58">
        <f t="shared" si="18"/>
        <v>-96.389869842621323</v>
      </c>
      <c r="U15" s="76"/>
      <c r="V15" s="66"/>
    </row>
    <row r="16" spans="1:39" x14ac:dyDescent="0.2">
      <c r="A16" s="67">
        <v>-114</v>
      </c>
      <c r="B16" s="66">
        <f t="shared" si="0"/>
        <v>-1.9896753472735358</v>
      </c>
      <c r="C16" s="64">
        <f t="shared" si="1"/>
        <v>91.476617856755681</v>
      </c>
      <c r="D16" s="64">
        <f t="shared" si="2"/>
        <v>-1.4766178567556807</v>
      </c>
      <c r="E16" s="65">
        <f t="shared" si="3"/>
        <v>-123.03139182355487</v>
      </c>
      <c r="F16" s="64">
        <f t="shared" si="4"/>
        <v>99.858452147686293</v>
      </c>
      <c r="G16" s="64">
        <f t="shared" si="5"/>
        <v>-9.8584521476862932</v>
      </c>
      <c r="H16" s="65">
        <f t="shared" si="6"/>
        <v>-114.78465717212292</v>
      </c>
      <c r="I16" s="64">
        <f t="shared" si="7"/>
        <v>108.03002688178051</v>
      </c>
      <c r="J16" s="64">
        <f t="shared" si="8"/>
        <v>-18.030026881780515</v>
      </c>
      <c r="K16" s="65">
        <f t="shared" si="9"/>
        <v>-106.11175016072789</v>
      </c>
      <c r="L16" s="64">
        <f t="shared" si="10"/>
        <v>115.77889806038374</v>
      </c>
      <c r="M16" s="64">
        <f t="shared" si="11"/>
        <v>-25.778898060383739</v>
      </c>
      <c r="N16" s="65">
        <f t="shared" si="12"/>
        <v>-96.615309690073772</v>
      </c>
      <c r="O16" s="64">
        <f t="shared" si="13"/>
        <v>122.8290672881671</v>
      </c>
      <c r="P16" s="64">
        <f t="shared" si="14"/>
        <v>-32.829067288167096</v>
      </c>
      <c r="Q16" s="65">
        <f t="shared" si="15"/>
        <v>-85.854899599479353</v>
      </c>
      <c r="R16" s="64">
        <f t="shared" si="16"/>
        <v>116.45033731049622</v>
      </c>
      <c r="S16" s="59">
        <f t="shared" si="17"/>
        <v>-26.450337310496224</v>
      </c>
      <c r="T16" s="58">
        <f t="shared" si="18"/>
        <v>-95.70054347812264</v>
      </c>
      <c r="U16" s="76"/>
      <c r="V16" s="66"/>
    </row>
    <row r="17" spans="1:27" x14ac:dyDescent="0.2">
      <c r="A17" s="67">
        <v>-113</v>
      </c>
      <c r="B17" s="66">
        <f t="shared" si="0"/>
        <v>-1.9722220547535925</v>
      </c>
      <c r="C17" s="64">
        <f t="shared" si="1"/>
        <v>90.836272442405232</v>
      </c>
      <c r="D17" s="64">
        <f t="shared" si="2"/>
        <v>-0.83627244240523169</v>
      </c>
      <c r="E17" s="65">
        <f t="shared" si="3"/>
        <v>-122.37429850686038</v>
      </c>
      <c r="F17" s="64">
        <f t="shared" si="4"/>
        <v>99.165634934656566</v>
      </c>
      <c r="G17" s="64">
        <f t="shared" si="5"/>
        <v>-9.1656349346565662</v>
      </c>
      <c r="H17" s="65">
        <f t="shared" si="6"/>
        <v>-114.08312031145054</v>
      </c>
      <c r="I17" s="64">
        <f t="shared" si="7"/>
        <v>107.29764404705143</v>
      </c>
      <c r="J17" s="64">
        <f t="shared" si="8"/>
        <v>-17.297644047051435</v>
      </c>
      <c r="K17" s="65">
        <f t="shared" si="9"/>
        <v>-105.397159986521</v>
      </c>
      <c r="L17" s="64">
        <f t="shared" si="10"/>
        <v>115.02248313201929</v>
      </c>
      <c r="M17" s="64">
        <f t="shared" si="11"/>
        <v>-25.022483132019289</v>
      </c>
      <c r="N17" s="65">
        <f t="shared" si="12"/>
        <v>-95.927044026791492</v>
      </c>
      <c r="O17" s="64">
        <f t="shared" si="13"/>
        <v>122.07039356277433</v>
      </c>
      <c r="P17" s="64">
        <f t="shared" si="14"/>
        <v>-32.070393562774328</v>
      </c>
      <c r="Q17" s="65">
        <f t="shared" si="15"/>
        <v>-85.243654135261863</v>
      </c>
      <c r="R17" s="64">
        <f t="shared" si="16"/>
        <v>115.69269467334446</v>
      </c>
      <c r="S17" s="59">
        <f t="shared" si="17"/>
        <v>-25.692694673344462</v>
      </c>
      <c r="T17" s="58">
        <f t="shared" si="18"/>
        <v>-95.016977084540954</v>
      </c>
      <c r="U17" s="76"/>
      <c r="V17" s="66"/>
    </row>
    <row r="18" spans="1:27" x14ac:dyDescent="0.2">
      <c r="A18" s="67">
        <v>-112</v>
      </c>
      <c r="B18" s="66">
        <f t="shared" si="0"/>
        <v>-1.9547687622336491</v>
      </c>
      <c r="C18" s="64">
        <f t="shared" si="1"/>
        <v>90.191270699065086</v>
      </c>
      <c r="D18" s="64">
        <f t="shared" si="2"/>
        <v>-0.19127069906508609</v>
      </c>
      <c r="E18" s="65">
        <f t="shared" si="3"/>
        <v>-121.72188378086094</v>
      </c>
      <c r="F18" s="64">
        <f t="shared" si="4"/>
        <v>98.46902975274412</v>
      </c>
      <c r="G18" s="64">
        <f t="shared" si="5"/>
        <v>-8.4690297527441203</v>
      </c>
      <c r="H18" s="65">
        <f t="shared" si="6"/>
        <v>-113.38681404234407</v>
      </c>
      <c r="I18" s="64">
        <f t="shared" si="7"/>
        <v>106.56275122087918</v>
      </c>
      <c r="J18" s="64">
        <f t="shared" si="8"/>
        <v>-16.562751220879179</v>
      </c>
      <c r="K18" s="65">
        <f t="shared" si="9"/>
        <v>-104.68824626604145</v>
      </c>
      <c r="L18" s="64">
        <f t="shared" si="10"/>
        <v>114.26512786497058</v>
      </c>
      <c r="M18" s="64">
        <f t="shared" si="11"/>
        <v>-24.26512786497058</v>
      </c>
      <c r="N18" s="65">
        <f t="shared" si="12"/>
        <v>-95.244270306929437</v>
      </c>
      <c r="O18" s="64">
        <f t="shared" si="13"/>
        <v>121.31239067608213</v>
      </c>
      <c r="P18" s="64">
        <f t="shared" si="14"/>
        <v>-31.312390676082131</v>
      </c>
      <c r="Q18" s="65">
        <f t="shared" si="15"/>
        <v>-84.636299291838085</v>
      </c>
      <c r="R18" s="64">
        <f t="shared" si="16"/>
        <v>114.9342610651741</v>
      </c>
      <c r="S18" s="59">
        <f t="shared" si="17"/>
        <v>-24.934261065174098</v>
      </c>
      <c r="T18" s="58">
        <f t="shared" si="18"/>
        <v>-94.338829347715333</v>
      </c>
      <c r="U18" s="76"/>
      <c r="V18" s="66"/>
    </row>
    <row r="19" spans="1:27" x14ac:dyDescent="0.2">
      <c r="A19" s="67">
        <v>-111</v>
      </c>
      <c r="B19" s="66">
        <f t="shared" si="0"/>
        <v>-1.9373154697137058</v>
      </c>
      <c r="C19" s="64">
        <f t="shared" si="1"/>
        <v>89.541728762981208</v>
      </c>
      <c r="D19" s="64">
        <f t="shared" si="2"/>
        <v>0.45827123701879202</v>
      </c>
      <c r="E19" s="65">
        <f t="shared" si="3"/>
        <v>-121.07401377012177</v>
      </c>
      <c r="F19" s="64">
        <f t="shared" si="4"/>
        <v>97.768766901982417</v>
      </c>
      <c r="G19" s="64">
        <f t="shared" si="5"/>
        <v>-7.768766901982417</v>
      </c>
      <c r="H19" s="65">
        <f t="shared" si="6"/>
        <v>-112.69553089933557</v>
      </c>
      <c r="I19" s="64">
        <f t="shared" si="7"/>
        <v>105.82548000707905</v>
      </c>
      <c r="J19" s="64">
        <f t="shared" si="8"/>
        <v>-15.825480007079051</v>
      </c>
      <c r="K19" s="65">
        <f t="shared" si="9"/>
        <v>-103.98472929394615</v>
      </c>
      <c r="L19" s="64">
        <f t="shared" si="10"/>
        <v>113.50694671567474</v>
      </c>
      <c r="M19" s="64">
        <f t="shared" si="11"/>
        <v>-23.506946715674744</v>
      </c>
      <c r="N19" s="65">
        <f t="shared" si="12"/>
        <v>-94.566659201344009</v>
      </c>
      <c r="O19" s="64">
        <f t="shared" si="13"/>
        <v>120.55513944497767</v>
      </c>
      <c r="P19" s="64">
        <f t="shared" si="14"/>
        <v>-30.555139444977669</v>
      </c>
      <c r="Q19" s="65">
        <f t="shared" si="15"/>
        <v>-84.032527358027437</v>
      </c>
      <c r="R19" s="64">
        <f t="shared" si="16"/>
        <v>114.17514844442024</v>
      </c>
      <c r="S19" s="59">
        <f t="shared" si="17"/>
        <v>-24.175148444420245</v>
      </c>
      <c r="T19" s="58">
        <f t="shared" si="18"/>
        <v>-93.665769004924584</v>
      </c>
      <c r="U19" s="76"/>
      <c r="V19" s="66"/>
    </row>
    <row r="20" spans="1:27" x14ac:dyDescent="0.2">
      <c r="A20" s="67">
        <v>-110</v>
      </c>
      <c r="B20" s="66">
        <f t="shared" si="0"/>
        <v>-1.9198621771937625</v>
      </c>
      <c r="C20" s="64">
        <f t="shared" si="1"/>
        <v>88.887760667672126</v>
      </c>
      <c r="D20" s="64">
        <f t="shared" si="2"/>
        <v>1.1122393323278743</v>
      </c>
      <c r="E20" s="65">
        <f t="shared" si="3"/>
        <v>-120.43055320580943</v>
      </c>
      <c r="F20" s="64">
        <f t="shared" si="4"/>
        <v>97.064973901862601</v>
      </c>
      <c r="G20" s="64">
        <f t="shared" si="5"/>
        <v>-7.0649739018626008</v>
      </c>
      <c r="H20" s="65">
        <f t="shared" si="6"/>
        <v>-112.00906387237104</v>
      </c>
      <c r="I20" s="64">
        <f t="shared" si="7"/>
        <v>105.08595887188986</v>
      </c>
      <c r="J20" s="64">
        <f t="shared" si="8"/>
        <v>-15.085958871889858</v>
      </c>
      <c r="K20" s="65">
        <f t="shared" si="9"/>
        <v>-103.28633362254061</v>
      </c>
      <c r="L20" s="64">
        <f t="shared" si="10"/>
        <v>112.74805142993932</v>
      </c>
      <c r="M20" s="64">
        <f t="shared" si="11"/>
        <v>-22.748051429939323</v>
      </c>
      <c r="N20" s="65">
        <f t="shared" si="12"/>
        <v>-93.893890506343126</v>
      </c>
      <c r="O20" s="64">
        <f t="shared" si="13"/>
        <v>119.79871947373447</v>
      </c>
      <c r="P20" s="64">
        <f t="shared" si="14"/>
        <v>-29.798719473734465</v>
      </c>
      <c r="Q20" s="65">
        <f t="shared" si="15"/>
        <v>-83.432042162932007</v>
      </c>
      <c r="R20" s="64">
        <f t="shared" si="16"/>
        <v>113.41546615147254</v>
      </c>
      <c r="S20" s="59">
        <f t="shared" si="17"/>
        <v>-23.415466151472543</v>
      </c>
      <c r="T20" s="58">
        <f t="shared" si="18"/>
        <v>-92.997474318825311</v>
      </c>
      <c r="U20" s="66"/>
      <c r="V20" s="53"/>
    </row>
    <row r="21" spans="1:27" x14ac:dyDescent="0.2">
      <c r="A21" s="67">
        <v>-109</v>
      </c>
      <c r="B21" s="66">
        <f t="shared" si="0"/>
        <v>-1.9024088846738192</v>
      </c>
      <c r="C21" s="64">
        <f t="shared" si="1"/>
        <v>88.229478381340016</v>
      </c>
      <c r="D21" s="64">
        <f t="shared" si="2"/>
        <v>1.7705216186599841</v>
      </c>
      <c r="E21" s="65">
        <f t="shared" si="3"/>
        <v>-119.79136548110462</v>
      </c>
      <c r="F21" s="64">
        <f t="shared" si="4"/>
        <v>96.357775594121804</v>
      </c>
      <c r="G21" s="64">
        <f t="shared" si="5"/>
        <v>-6.3577755941218044</v>
      </c>
      <c r="H21" s="65">
        <f t="shared" si="6"/>
        <v>-111.32720641344166</v>
      </c>
      <c r="I21" s="64">
        <f t="shared" si="7"/>
        <v>104.34431331804738</v>
      </c>
      <c r="J21" s="64">
        <f t="shared" si="8"/>
        <v>-14.344313318047384</v>
      </c>
      <c r="K21" s="65">
        <f t="shared" si="9"/>
        <v>-102.59278790602195</v>
      </c>
      <c r="L21" s="64">
        <f t="shared" si="10"/>
        <v>111.98855125129812</v>
      </c>
      <c r="M21" s="64">
        <f t="shared" si="11"/>
        <v>-21.988551251298119</v>
      </c>
      <c r="N21" s="65">
        <f t="shared" si="12"/>
        <v>-93.225652670158667</v>
      </c>
      <c r="O21" s="64">
        <f t="shared" si="13"/>
        <v>119.0432093063184</v>
      </c>
      <c r="P21" s="64">
        <f t="shared" si="14"/>
        <v>-29.043209306318403</v>
      </c>
      <c r="Q21" s="65">
        <f t="shared" si="15"/>
        <v>-82.834558326524387</v>
      </c>
      <c r="R21" s="64">
        <f t="shared" si="16"/>
        <v>112.65532111625221</v>
      </c>
      <c r="S21" s="59">
        <f t="shared" si="17"/>
        <v>-22.65532111625221</v>
      </c>
      <c r="T21" s="58">
        <f t="shared" si="18"/>
        <v>-92.333632571057095</v>
      </c>
      <c r="U21" s="66"/>
      <c r="V21" s="53"/>
    </row>
    <row r="22" spans="1:27" x14ac:dyDescent="0.2">
      <c r="A22" s="67">
        <v>-108</v>
      </c>
      <c r="B22" s="66">
        <f t="shared" si="0"/>
        <v>-1.8849555921538759</v>
      </c>
      <c r="C22" s="64">
        <f t="shared" si="1"/>
        <v>87.56699184651599</v>
      </c>
      <c r="D22" s="64">
        <f t="shared" si="2"/>
        <v>2.4330081534840104</v>
      </c>
      <c r="E22" s="65">
        <f t="shared" si="3"/>
        <v>-119.15631269551814</v>
      </c>
      <c r="F22" s="64">
        <f t="shared" si="4"/>
        <v>95.64729424592025</v>
      </c>
      <c r="G22" s="64">
        <f t="shared" si="5"/>
        <v>-5.64729424592025</v>
      </c>
      <c r="H22" s="65">
        <f t="shared" si="6"/>
        <v>-110.64975242902329</v>
      </c>
      <c r="I22" s="64">
        <f t="shared" si="7"/>
        <v>103.60066605470577</v>
      </c>
      <c r="J22" s="64">
        <f t="shared" si="8"/>
        <v>-13.600666054705769</v>
      </c>
      <c r="K22" s="65">
        <f t="shared" si="9"/>
        <v>-101.90382473659277</v>
      </c>
      <c r="L22" s="64">
        <f t="shared" si="10"/>
        <v>111.22855312016335</v>
      </c>
      <c r="M22" s="64">
        <f t="shared" si="11"/>
        <v>-21.228553120163355</v>
      </c>
      <c r="N22" s="65">
        <f t="shared" si="12"/>
        <v>-92.561642335582917</v>
      </c>
      <c r="O22" s="64">
        <f t="shared" si="13"/>
        <v>118.2886865700189</v>
      </c>
      <c r="P22" s="64">
        <f t="shared" si="14"/>
        <v>-28.288686570018896</v>
      </c>
      <c r="Q22" s="65">
        <f t="shared" si="15"/>
        <v>-82.239800559938104</v>
      </c>
      <c r="R22" s="64">
        <f t="shared" si="16"/>
        <v>111.89481805629975</v>
      </c>
      <c r="S22" s="59">
        <f t="shared" si="17"/>
        <v>-21.894818056299755</v>
      </c>
      <c r="T22" s="58">
        <f t="shared" si="18"/>
        <v>-91.673939575140892</v>
      </c>
      <c r="U22" s="66"/>
      <c r="V22" s="53"/>
    </row>
    <row r="23" spans="1:27" x14ac:dyDescent="0.2">
      <c r="A23" s="67">
        <v>-107</v>
      </c>
      <c r="B23" s="66">
        <f t="shared" si="0"/>
        <v>-1.8675022996339325</v>
      </c>
      <c r="C23" s="64">
        <f t="shared" si="1"/>
        <v>86.900409021761305</v>
      </c>
      <c r="D23" s="64">
        <f t="shared" si="2"/>
        <v>3.0995909782386946</v>
      </c>
      <c r="E23" s="65">
        <f t="shared" si="3"/>
        <v>-118.52525568830031</v>
      </c>
      <c r="F23" s="64">
        <f t="shared" si="4"/>
        <v>94.933649653264851</v>
      </c>
      <c r="G23" s="64">
        <f t="shared" si="5"/>
        <v>-4.9336496532648511</v>
      </c>
      <c r="H23" s="65">
        <f t="shared" si="6"/>
        <v>-109.97649625909327</v>
      </c>
      <c r="I23" s="64">
        <f t="shared" si="7"/>
        <v>102.8551371633305</v>
      </c>
      <c r="J23" s="64">
        <f t="shared" si="8"/>
        <v>-12.855137163330497</v>
      </c>
      <c r="K23" s="65">
        <f t="shared" si="9"/>
        <v>-101.21918047357285</v>
      </c>
      <c r="L23" s="64">
        <f t="shared" si="10"/>
        <v>110.46816186438107</v>
      </c>
      <c r="M23" s="64">
        <f t="shared" si="11"/>
        <v>-20.468161864381074</v>
      </c>
      <c r="N23" s="65">
        <f t="shared" si="12"/>
        <v>-91.901563898575148</v>
      </c>
      <c r="O23" s="64">
        <f t="shared" si="13"/>
        <v>117.53522811116029</v>
      </c>
      <c r="P23" s="64">
        <f t="shared" si="14"/>
        <v>-27.535228111160293</v>
      </c>
      <c r="Q23" s="65">
        <f t="shared" si="15"/>
        <v>-81.647503011850915</v>
      </c>
      <c r="R23" s="64">
        <f t="shared" si="16"/>
        <v>111.13405966602036</v>
      </c>
      <c r="S23" s="59">
        <f t="shared" si="17"/>
        <v>-21.134059666020363</v>
      </c>
      <c r="T23" s="58">
        <f t="shared" si="18"/>
        <v>-91.018099208225976</v>
      </c>
      <c r="U23" s="66"/>
      <c r="V23" s="53"/>
    </row>
    <row r="24" spans="1:27" x14ac:dyDescent="0.2">
      <c r="A24" s="67">
        <v>-106</v>
      </c>
      <c r="B24" s="66">
        <f t="shared" si="0"/>
        <v>-1.8500490071139892</v>
      </c>
      <c r="C24" s="64">
        <f t="shared" si="1"/>
        <v>86.229835925260645</v>
      </c>
      <c r="D24" s="64">
        <f t="shared" si="2"/>
        <v>3.7701640747393554</v>
      </c>
      <c r="E24" s="65">
        <f t="shared" si="3"/>
        <v>-117.89805406111864</v>
      </c>
      <c r="F24" s="64">
        <f t="shared" si="4"/>
        <v>94.216959244562844</v>
      </c>
      <c r="G24" s="64">
        <f t="shared" si="5"/>
        <v>-4.2169592445628439</v>
      </c>
      <c r="H24" s="65">
        <f t="shared" si="6"/>
        <v>-109.30723264343261</v>
      </c>
      <c r="I24" s="64">
        <f t="shared" si="7"/>
        <v>102.10784425970333</v>
      </c>
      <c r="J24" s="64">
        <f t="shared" si="8"/>
        <v>-12.107844259703327</v>
      </c>
      <c r="K24" s="65">
        <f t="shared" si="9"/>
        <v>-100.53859506650633</v>
      </c>
      <c r="L24" s="64">
        <f t="shared" si="10"/>
        <v>109.7074803817674</v>
      </c>
      <c r="M24" s="64">
        <f t="shared" si="11"/>
        <v>-19.707480381767397</v>
      </c>
      <c r="N24" s="65">
        <f t="shared" si="12"/>
        <v>-91.245129082572134</v>
      </c>
      <c r="O24" s="64">
        <f t="shared" si="13"/>
        <v>116.78291012358217</v>
      </c>
      <c r="P24" s="64">
        <f t="shared" si="14"/>
        <v>-26.78291012358217</v>
      </c>
      <c r="Q24" s="65">
        <f t="shared" si="15"/>
        <v>-81.057408657640792</v>
      </c>
      <c r="R24" s="64">
        <f t="shared" si="16"/>
        <v>110.37314679769941</v>
      </c>
      <c r="S24" s="59">
        <f t="shared" si="17"/>
        <v>-20.373146797699405</v>
      </c>
      <c r="T24" s="58">
        <f t="shared" si="18"/>
        <v>-90.365822961188528</v>
      </c>
      <c r="U24" s="66"/>
      <c r="V24" s="53"/>
    </row>
    <row r="25" spans="1:27" s="54" customFormat="1" x14ac:dyDescent="0.2">
      <c r="A25" s="63">
        <v>-105</v>
      </c>
      <c r="B25" s="62">
        <f t="shared" si="0"/>
        <v>-1.8325957145940461</v>
      </c>
      <c r="C25" s="60">
        <f t="shared" si="1"/>
        <v>85.555376680159597</v>
      </c>
      <c r="D25" s="60">
        <f t="shared" si="2"/>
        <v>4.444623319840403</v>
      </c>
      <c r="E25" s="61">
        <f t="shared" si="3"/>
        <v>-117.27456619016218</v>
      </c>
      <c r="F25" s="60">
        <f t="shared" si="4"/>
        <v>93.497338184213746</v>
      </c>
      <c r="G25" s="60">
        <f t="shared" si="5"/>
        <v>-3.4973381842137456</v>
      </c>
      <c r="H25" s="61">
        <f t="shared" si="6"/>
        <v>-108.64175667586379</v>
      </c>
      <c r="I25" s="60">
        <f t="shared" si="7"/>
        <v>101.35890265219531</v>
      </c>
      <c r="J25" s="60">
        <f t="shared" si="8"/>
        <v>-11.358902652195312</v>
      </c>
      <c r="K25" s="61">
        <f t="shared" si="9"/>
        <v>-99.861811873146223</v>
      </c>
      <c r="L25" s="60">
        <f t="shared" si="10"/>
        <v>108.94660981517494</v>
      </c>
      <c r="M25" s="60">
        <f t="shared" si="11"/>
        <v>-18.946609815174938</v>
      </c>
      <c r="N25" s="61">
        <f t="shared" si="12"/>
        <v>-90.59205652817846</v>
      </c>
      <c r="O25" s="60">
        <f t="shared" si="13"/>
        <v>116.03180827051639</v>
      </c>
      <c r="P25" s="60">
        <f t="shared" si="14"/>
        <v>-26.031808270516393</v>
      </c>
      <c r="Q25" s="61">
        <f t="shared" si="15"/>
        <v>-80.469268728260758</v>
      </c>
      <c r="R25" s="60">
        <f t="shared" si="16"/>
        <v>109.61217863486745</v>
      </c>
      <c r="S25" s="59">
        <f t="shared" si="17"/>
        <v>-19.612178634867448</v>
      </c>
      <c r="T25" s="58">
        <f t="shared" si="18"/>
        <v>-89.716829506545764</v>
      </c>
      <c r="U25" s="62"/>
      <c r="V25" s="56">
        <f>E25</f>
        <v>-117.27456619016218</v>
      </c>
      <c r="W25" s="55"/>
      <c r="X25" s="55">
        <f>D25</f>
        <v>4.444623319840403</v>
      </c>
      <c r="Y25" s="55"/>
      <c r="Z25" s="55"/>
      <c r="AA25" s="55"/>
    </row>
    <row r="26" spans="1:27" x14ac:dyDescent="0.2">
      <c r="A26" s="67">
        <v>-104</v>
      </c>
      <c r="B26" s="66">
        <f t="shared" si="0"/>
        <v>-1.8151424220741028</v>
      </c>
      <c r="C26" s="64">
        <f t="shared" si="1"/>
        <v>84.877133561512508</v>
      </c>
      <c r="D26" s="64">
        <f t="shared" si="2"/>
        <v>5.1228664384874918</v>
      </c>
      <c r="E26" s="65">
        <f t="shared" si="3"/>
        <v>-116.65464922781041</v>
      </c>
      <c r="F26" s="64">
        <f t="shared" si="4"/>
        <v>92.774899476171043</v>
      </c>
      <c r="G26" s="64">
        <f t="shared" si="5"/>
        <v>-2.7748994761710435</v>
      </c>
      <c r="H26" s="65">
        <f t="shared" si="6"/>
        <v>-107.97986374701517</v>
      </c>
      <c r="I26" s="64">
        <f t="shared" si="7"/>
        <v>100.60842549647491</v>
      </c>
      <c r="J26" s="64">
        <f t="shared" si="8"/>
        <v>-10.608425496474908</v>
      </c>
      <c r="K26" s="65">
        <f t="shared" si="9"/>
        <v>-99.188577473090547</v>
      </c>
      <c r="L26" s="64">
        <f t="shared" si="10"/>
        <v>108.18564972061127</v>
      </c>
      <c r="M26" s="64">
        <f t="shared" si="11"/>
        <v>-18.185649720611266</v>
      </c>
      <c r="N26" s="65">
        <f t="shared" si="12"/>
        <v>-89.942071397869043</v>
      </c>
      <c r="O26" s="64">
        <f t="shared" si="13"/>
        <v>115.28199780043334</v>
      </c>
      <c r="P26" s="64">
        <f t="shared" si="14"/>
        <v>-25.281997800433345</v>
      </c>
      <c r="Q26" s="65">
        <f t="shared" si="15"/>
        <v>-79.882842176024226</v>
      </c>
      <c r="R26" s="64">
        <f t="shared" si="16"/>
        <v>108.85125285856253</v>
      </c>
      <c r="S26" s="59">
        <f t="shared" si="17"/>
        <v>-18.851252858562532</v>
      </c>
      <c r="T26" s="58">
        <f t="shared" si="18"/>
        <v>-89.070844283624126</v>
      </c>
      <c r="U26" s="66"/>
      <c r="V26" s="53">
        <f>H25</f>
        <v>-108.64175667586379</v>
      </c>
      <c r="X26" s="50">
        <f>G25</f>
        <v>-3.4973381842137456</v>
      </c>
    </row>
    <row r="27" spans="1:27" x14ac:dyDescent="0.2">
      <c r="A27" s="67">
        <v>-103</v>
      </c>
      <c r="B27" s="66">
        <f t="shared" si="0"/>
        <v>-1.7976891295541595</v>
      </c>
      <c r="C27" s="64">
        <f t="shared" si="1"/>
        <v>84.195207044722068</v>
      </c>
      <c r="D27" s="64">
        <f t="shared" si="2"/>
        <v>5.8047929552779323</v>
      </c>
      <c r="E27" s="65">
        <f t="shared" si="3"/>
        <v>-116.03815909398328</v>
      </c>
      <c r="F27" s="64">
        <f t="shared" si="4"/>
        <v>92.049754067426193</v>
      </c>
      <c r="G27" s="64">
        <f t="shared" si="5"/>
        <v>-2.0497540674261927</v>
      </c>
      <c r="H27" s="65">
        <f t="shared" si="6"/>
        <v>-107.3213494761478</v>
      </c>
      <c r="I27" s="64">
        <f t="shared" si="7"/>
        <v>99.856523946830052</v>
      </c>
      <c r="J27" s="64">
        <f t="shared" si="8"/>
        <v>-9.8565239468300518</v>
      </c>
      <c r="K27" s="65">
        <f t="shared" si="9"/>
        <v>-98.518641477749568</v>
      </c>
      <c r="L27" s="64">
        <f t="shared" si="10"/>
        <v>107.42469822890459</v>
      </c>
      <c r="M27" s="64">
        <f t="shared" si="11"/>
        <v>-17.424698228904589</v>
      </c>
      <c r="N27" s="65">
        <f t="shared" si="12"/>
        <v>-89.294904995303582</v>
      </c>
      <c r="O27" s="64">
        <f t="shared" si="13"/>
        <v>114.53355365738072</v>
      </c>
      <c r="P27" s="64">
        <f t="shared" si="14"/>
        <v>-24.533553657380722</v>
      </c>
      <c r="Q27" s="65">
        <f t="shared" si="15"/>
        <v>-79.297895174721162</v>
      </c>
      <c r="R27" s="64">
        <f t="shared" si="16"/>
        <v>108.09046580700688</v>
      </c>
      <c r="S27" s="59">
        <f t="shared" si="17"/>
        <v>-18.090465807006879</v>
      </c>
      <c r="T27" s="58">
        <f t="shared" si="18"/>
        <v>-88.42759910040337</v>
      </c>
      <c r="U27" s="66"/>
      <c r="V27" s="53">
        <f>K25</f>
        <v>-99.861811873146223</v>
      </c>
      <c r="X27" s="50">
        <f>J25</f>
        <v>-11.358902652195312</v>
      </c>
    </row>
    <row r="28" spans="1:27" x14ac:dyDescent="0.2">
      <c r="A28" s="67">
        <v>-102</v>
      </c>
      <c r="B28" s="66">
        <f t="shared" si="0"/>
        <v>-1.7802358370342162</v>
      </c>
      <c r="C28" s="64">
        <f t="shared" si="1"/>
        <v>83.50969585536545</v>
      </c>
      <c r="D28" s="64">
        <f t="shared" si="2"/>
        <v>6.4903041446345497</v>
      </c>
      <c r="E28" s="65">
        <f t="shared" si="3"/>
        <v>-115.42495045726469</v>
      </c>
      <c r="F28" s="64">
        <f t="shared" si="4"/>
        <v>91.322010951387938</v>
      </c>
      <c r="G28" s="64">
        <f t="shared" si="5"/>
        <v>-1.3220109513879379</v>
      </c>
      <c r="H28" s="65">
        <f t="shared" si="6"/>
        <v>-106.66600963252432</v>
      </c>
      <c r="I28" s="64">
        <f t="shared" si="7"/>
        <v>99.103307304290183</v>
      </c>
      <c r="J28" s="64">
        <f t="shared" si="8"/>
        <v>-9.1033073042901833</v>
      </c>
      <c r="K28" s="65">
        <f t="shared" si="9"/>
        <v>-97.851756337235074</v>
      </c>
      <c r="L28" s="64">
        <f t="shared" si="10"/>
        <v>106.66385220138626</v>
      </c>
      <c r="M28" s="64">
        <f t="shared" si="11"/>
        <v>-16.663852201386263</v>
      </c>
      <c r="N28" s="65">
        <f t="shared" si="12"/>
        <v>-88.650294398830212</v>
      </c>
      <c r="O28" s="64">
        <f t="shared" si="13"/>
        <v>113.78655058629141</v>
      </c>
      <c r="P28" s="64">
        <f t="shared" si="14"/>
        <v>-23.786550586291412</v>
      </c>
      <c r="Q28" s="65">
        <f t="shared" si="15"/>
        <v>-78.714200651692693</v>
      </c>
      <c r="R28" s="64">
        <f t="shared" si="16"/>
        <v>107.32991262918668</v>
      </c>
      <c r="S28" s="59">
        <f t="shared" si="17"/>
        <v>-17.32991262918668</v>
      </c>
      <c r="T28" s="58">
        <f t="shared" si="18"/>
        <v>-87.786831751451643</v>
      </c>
      <c r="U28" s="75"/>
      <c r="V28" s="53">
        <f>N25</f>
        <v>-90.59205652817846</v>
      </c>
      <c r="X28" s="50">
        <f>M25</f>
        <v>-18.946609815174938</v>
      </c>
      <c r="Y28" s="50"/>
      <c r="Z28" s="50"/>
      <c r="AA28" s="50"/>
    </row>
    <row r="29" spans="1:27" x14ac:dyDescent="0.2">
      <c r="A29" s="67">
        <v>-101</v>
      </c>
      <c r="B29" s="66">
        <f t="shared" si="0"/>
        <v>-1.7627825445142729</v>
      </c>
      <c r="C29" s="64">
        <f t="shared" si="1"/>
        <v>82.820697020316203</v>
      </c>
      <c r="D29" s="64">
        <f t="shared" si="2"/>
        <v>7.179302979683797</v>
      </c>
      <c r="E29" s="65">
        <f t="shared" si="3"/>
        <v>-114.81487670586623</v>
      </c>
      <c r="F29" s="64">
        <f t="shared" si="4"/>
        <v>90.591777271148672</v>
      </c>
      <c r="G29" s="64">
        <f t="shared" si="5"/>
        <v>-0.59177727114867196</v>
      </c>
      <c r="H29" s="65">
        <f t="shared" si="6"/>
        <v>-106.01364004674681</v>
      </c>
      <c r="I29" s="64">
        <f t="shared" si="7"/>
        <v>98.348883161742648</v>
      </c>
      <c r="J29" s="64">
        <f t="shared" si="8"/>
        <v>-8.3488831617426484</v>
      </c>
      <c r="K29" s="65">
        <f t="shared" si="9"/>
        <v>-97.187677144685907</v>
      </c>
      <c r="L29" s="64">
        <f t="shared" si="10"/>
        <v>105.90320738003562</v>
      </c>
      <c r="M29" s="64">
        <f t="shared" si="11"/>
        <v>-15.903207380035624</v>
      </c>
      <c r="N29" s="65">
        <f t="shared" si="12"/>
        <v>-88.007982108741956</v>
      </c>
      <c r="O29" s="64">
        <f t="shared" si="13"/>
        <v>113.04106323369678</v>
      </c>
      <c r="P29" s="64">
        <f t="shared" si="14"/>
        <v>-23.041063233696775</v>
      </c>
      <c r="Q29" s="65">
        <f t="shared" si="15"/>
        <v>-78.131537849686993</v>
      </c>
      <c r="R29" s="64">
        <f t="shared" si="16"/>
        <v>106.56968743279569</v>
      </c>
      <c r="S29" s="59">
        <f t="shared" si="17"/>
        <v>-16.569687432795689</v>
      </c>
      <c r="T29" s="58">
        <f t="shared" si="18"/>
        <v>-87.148285651366322</v>
      </c>
      <c r="U29" s="66"/>
      <c r="V29" s="53">
        <f>Q25</f>
        <v>-80.469268728260758</v>
      </c>
      <c r="X29" s="50">
        <f>P25</f>
        <v>-26.031808270516393</v>
      </c>
    </row>
    <row r="30" spans="1:27" x14ac:dyDescent="0.2">
      <c r="A30" s="67">
        <v>-100</v>
      </c>
      <c r="B30" s="66">
        <f t="shared" si="0"/>
        <v>-1.7453292519943295</v>
      </c>
      <c r="C30" s="64">
        <f t="shared" si="1"/>
        <v>82.128305920084358</v>
      </c>
      <c r="D30" s="64">
        <f t="shared" si="2"/>
        <v>7.8716940799156419</v>
      </c>
      <c r="E30" s="65">
        <f t="shared" si="3"/>
        <v>-114.20778990846931</v>
      </c>
      <c r="F30" s="64">
        <f t="shared" si="4"/>
        <v>89.859158422647184</v>
      </c>
      <c r="G30" s="64">
        <f t="shared" si="5"/>
        <v>0.14084157735281622</v>
      </c>
      <c r="H30" s="65">
        <f t="shared" si="6"/>
        <v>-105.36403651243791</v>
      </c>
      <c r="I30" s="64">
        <f t="shared" si="7"/>
        <v>97.593357546242743</v>
      </c>
      <c r="J30" s="64">
        <f t="shared" si="8"/>
        <v>-7.5933575462427427</v>
      </c>
      <c r="K30" s="65">
        <f t="shared" si="9"/>
        <v>-96.526161438472258</v>
      </c>
      <c r="L30" s="64">
        <f t="shared" si="10"/>
        <v>105.14285853250907</v>
      </c>
      <c r="M30" s="64">
        <f t="shared" si="11"/>
        <v>-15.142858532509067</v>
      </c>
      <c r="N30" s="65">
        <f t="shared" si="12"/>
        <v>-87.367715707842535</v>
      </c>
      <c r="O30" s="64">
        <f t="shared" si="13"/>
        <v>112.29716624424306</v>
      </c>
      <c r="P30" s="64">
        <f t="shared" si="14"/>
        <v>-22.297166244243058</v>
      </c>
      <c r="Q30" s="65">
        <f t="shared" si="15"/>
        <v>-77.549691916496897</v>
      </c>
      <c r="R30" s="64">
        <f t="shared" si="16"/>
        <v>105.80988342697819</v>
      </c>
      <c r="S30" s="59">
        <f t="shared" si="17"/>
        <v>-15.809883426978189</v>
      </c>
      <c r="T30" s="58">
        <f t="shared" si="18"/>
        <v>-86.511709483142724</v>
      </c>
      <c r="U30" s="66"/>
      <c r="V30" s="53"/>
      <c r="X30" s="50"/>
    </row>
    <row r="31" spans="1:27" x14ac:dyDescent="0.2">
      <c r="A31" s="67">
        <v>-99</v>
      </c>
      <c r="B31" s="66">
        <f t="shared" si="0"/>
        <v>-1.7278759594743862</v>
      </c>
      <c r="C31" s="64">
        <f t="shared" si="1"/>
        <v>81.432616342310396</v>
      </c>
      <c r="D31" s="64">
        <f t="shared" si="2"/>
        <v>8.5673836576896036</v>
      </c>
      <c r="E31" s="65">
        <f t="shared" si="3"/>
        <v>-113.60354076495409</v>
      </c>
      <c r="F31" s="64">
        <f t="shared" si="4"/>
        <v>89.124258157754397</v>
      </c>
      <c r="G31" s="64">
        <f t="shared" si="5"/>
        <v>0.8757418422456027</v>
      </c>
      <c r="H31" s="65">
        <f t="shared" si="6"/>
        <v>-104.71699467859004</v>
      </c>
      <c r="I31" s="64">
        <f t="shared" si="7"/>
        <v>96.83683505872186</v>
      </c>
      <c r="J31" s="64">
        <f t="shared" si="8"/>
        <v>-6.83683505872186</v>
      </c>
      <c r="K31" s="65">
        <f t="shared" si="9"/>
        <v>-95.866969002659062</v>
      </c>
      <c r="L31" s="64">
        <f t="shared" si="10"/>
        <v>104.38289959245283</v>
      </c>
      <c r="M31" s="64">
        <f t="shared" si="11"/>
        <v>-14.38289959245283</v>
      </c>
      <c r="N31" s="65">
        <f t="shared" si="12"/>
        <v>-86.729247534877089</v>
      </c>
      <c r="O31" s="64">
        <f t="shared" si="13"/>
        <v>111.55493435337411</v>
      </c>
      <c r="P31" s="64">
        <f t="shared" si="14"/>
        <v>-21.554934353374108</v>
      </c>
      <c r="Q31" s="65">
        <f t="shared" si="15"/>
        <v>-76.968453520544116</v>
      </c>
      <c r="R31" s="64">
        <f t="shared" si="16"/>
        <v>105.05059306028096</v>
      </c>
      <c r="S31" s="59">
        <f t="shared" si="17"/>
        <v>-15.05059306028096</v>
      </c>
      <c r="T31" s="58">
        <f t="shared" si="18"/>
        <v>-85.876856860902194</v>
      </c>
      <c r="U31" s="66"/>
      <c r="V31" s="53"/>
      <c r="X31" s="50"/>
      <c r="Y31" s="50"/>
      <c r="Z31" s="50"/>
      <c r="AA31" s="50"/>
    </row>
    <row r="32" spans="1:27" x14ac:dyDescent="0.2">
      <c r="A32" s="67">
        <v>-98</v>
      </c>
      <c r="B32" s="66">
        <f t="shared" si="0"/>
        <v>-1.7104226669544429</v>
      </c>
      <c r="C32" s="64">
        <f t="shared" si="1"/>
        <v>80.733720536361901</v>
      </c>
      <c r="D32" s="64">
        <f t="shared" si="2"/>
        <v>9.2662794636380994</v>
      </c>
      <c r="E32" s="65">
        <f t="shared" si="3"/>
        <v>-113.00197854699236</v>
      </c>
      <c r="F32" s="64">
        <f t="shared" si="4"/>
        <v>88.387178687323754</v>
      </c>
      <c r="G32" s="64">
        <f t="shared" si="5"/>
        <v>1.6128213126762461</v>
      </c>
      <c r="H32" s="65">
        <f t="shared" si="6"/>
        <v>-104.07230993285792</v>
      </c>
      <c r="I32" s="64">
        <f t="shared" si="7"/>
        <v>96.079419011302193</v>
      </c>
      <c r="J32" s="64">
        <f t="shared" si="8"/>
        <v>-6.0794190113021926</v>
      </c>
      <c r="K32" s="65">
        <f t="shared" si="9"/>
        <v>-95.209861666052589</v>
      </c>
      <c r="L32" s="64">
        <f t="shared" si="10"/>
        <v>103.62342379547827</v>
      </c>
      <c r="M32" s="64">
        <f t="shared" si="11"/>
        <v>-13.623423795478274</v>
      </c>
      <c r="N32" s="65">
        <f t="shared" si="12"/>
        <v>-86.092334370388983</v>
      </c>
      <c r="O32" s="64">
        <f t="shared" si="13"/>
        <v>110.81444247651208</v>
      </c>
      <c r="P32" s="64">
        <f t="shared" si="14"/>
        <v>-20.814442476512085</v>
      </c>
      <c r="Q32" s="65">
        <f t="shared" si="15"/>
        <v>-76.387618490728045</v>
      </c>
      <c r="R32" s="64">
        <f t="shared" si="16"/>
        <v>104.29190815420182</v>
      </c>
      <c r="S32" s="59">
        <f t="shared" si="17"/>
        <v>-14.29190815420182</v>
      </c>
      <c r="T32" s="58">
        <f t="shared" si="18"/>
        <v>-85.243486006428995</v>
      </c>
      <c r="U32" s="66"/>
      <c r="V32" s="53"/>
      <c r="X32" s="50"/>
    </row>
    <row r="33" spans="1:27" x14ac:dyDescent="0.2">
      <c r="A33" s="67">
        <v>-97</v>
      </c>
      <c r="B33" s="66">
        <f t="shared" si="0"/>
        <v>-1.6929693744344996</v>
      </c>
      <c r="C33" s="64">
        <f t="shared" si="1"/>
        <v>80.031709268994746</v>
      </c>
      <c r="D33" s="64">
        <f t="shared" si="2"/>
        <v>9.9682907310052542</v>
      </c>
      <c r="E33" s="65">
        <f t="shared" si="3"/>
        <v>-112.40295102844676</v>
      </c>
      <c r="F33" s="64">
        <f t="shared" si="4"/>
        <v>87.648020784263764</v>
      </c>
      <c r="G33" s="64">
        <f t="shared" si="5"/>
        <v>2.351979215736236</v>
      </c>
      <c r="H33" s="65">
        <f t="shared" si="6"/>
        <v>-103.4297772760232</v>
      </c>
      <c r="I33" s="64">
        <f t="shared" si="7"/>
        <v>95.321211562428758</v>
      </c>
      <c r="J33" s="64">
        <f t="shared" si="8"/>
        <v>-5.3212115624287577</v>
      </c>
      <c r="K33" s="65">
        <f t="shared" si="9"/>
        <v>-94.55460310010433</v>
      </c>
      <c r="L33" s="64">
        <f t="shared" si="10"/>
        <v>102.86452381115755</v>
      </c>
      <c r="M33" s="64">
        <f t="shared" si="11"/>
        <v>-12.864523811157554</v>
      </c>
      <c r="N33" s="65">
        <f t="shared" si="12"/>
        <v>-85.456737134571554</v>
      </c>
      <c r="O33" s="64">
        <f t="shared" si="13"/>
        <v>110.07576579503879</v>
      </c>
      <c r="P33" s="64">
        <f t="shared" si="14"/>
        <v>-20.075765795038791</v>
      </c>
      <c r="Q33" s="65">
        <f t="shared" si="15"/>
        <v>-75.806987478996916</v>
      </c>
      <c r="R33" s="64">
        <f t="shared" si="16"/>
        <v>103.53392003269894</v>
      </c>
      <c r="S33" s="59">
        <f t="shared" si="17"/>
        <v>-13.533920032698944</v>
      </c>
      <c r="T33" s="58">
        <f t="shared" si="18"/>
        <v>-84.611359438982404</v>
      </c>
      <c r="U33" s="66"/>
      <c r="V33" s="53"/>
      <c r="X33" s="50"/>
    </row>
    <row r="34" spans="1:27" x14ac:dyDescent="0.2">
      <c r="A34" s="67">
        <v>-96</v>
      </c>
      <c r="B34" s="66">
        <f t="shared" si="0"/>
        <v>-1.6755160819145565</v>
      </c>
      <c r="C34" s="64">
        <f t="shared" si="1"/>
        <v>79.326671881052519</v>
      </c>
      <c r="D34" s="64">
        <f t="shared" si="2"/>
        <v>10.673328118947481</v>
      </c>
      <c r="E34" s="65">
        <f t="shared" si="3"/>
        <v>-111.8063044054838</v>
      </c>
      <c r="F34" s="64">
        <f t="shared" si="4"/>
        <v>86.90688388670425</v>
      </c>
      <c r="G34" s="64">
        <f t="shared" si="5"/>
        <v>3.0931161132957499</v>
      </c>
      <c r="H34" s="65">
        <f t="shared" si="6"/>
        <v>-102.7891911878143</v>
      </c>
      <c r="I34" s="64">
        <f t="shared" si="7"/>
        <v>94.562313850032893</v>
      </c>
      <c r="J34" s="64">
        <f t="shared" si="8"/>
        <v>-4.5623138500328935</v>
      </c>
      <c r="K34" s="65">
        <f t="shared" si="9"/>
        <v>-93.900958615902852</v>
      </c>
      <c r="L34" s="64">
        <f t="shared" si="10"/>
        <v>102.1062918713788</v>
      </c>
      <c r="M34" s="64">
        <f t="shared" si="11"/>
        <v>-12.106291871378801</v>
      </c>
      <c r="N34" s="65">
        <f t="shared" si="12"/>
        <v>-84.822220596697392</v>
      </c>
      <c r="O34" s="64">
        <f t="shared" si="13"/>
        <v>109.33897983935299</v>
      </c>
      <c r="P34" s="64">
        <f t="shared" si="14"/>
        <v>-19.338979839352987</v>
      </c>
      <c r="Q34" s="65">
        <f t="shared" si="15"/>
        <v>-75.226365644229773</v>
      </c>
      <c r="R34" s="64">
        <f t="shared" si="16"/>
        <v>102.77671964800518</v>
      </c>
      <c r="S34" s="59">
        <f t="shared" si="17"/>
        <v>-12.776719648005184</v>
      </c>
      <c r="T34" s="58">
        <f t="shared" si="18"/>
        <v>-83.980243677874526</v>
      </c>
      <c r="U34" s="66"/>
      <c r="V34" s="53"/>
      <c r="X34" s="50"/>
      <c r="Y34" s="50"/>
      <c r="Z34" s="50"/>
      <c r="AA34" s="50"/>
    </row>
    <row r="35" spans="1:27" x14ac:dyDescent="0.2">
      <c r="A35" s="67">
        <v>-95</v>
      </c>
      <c r="B35" s="66">
        <f t="shared" si="0"/>
        <v>-1.6580627893946132</v>
      </c>
      <c r="C35" s="64">
        <f t="shared" si="1"/>
        <v>78.618696345191424</v>
      </c>
      <c r="D35" s="64">
        <f t="shared" si="2"/>
        <v>11.381303654808576</v>
      </c>
      <c r="E35" s="65">
        <f t="shared" si="3"/>
        <v>-111.21188320626956</v>
      </c>
      <c r="F35" s="64">
        <f t="shared" si="4"/>
        <v>86.163866201341449</v>
      </c>
      <c r="G35" s="64">
        <f t="shared" si="5"/>
        <v>3.8361337986585511</v>
      </c>
      <c r="H35" s="65">
        <f t="shared" si="6"/>
        <v>-102.15034548421997</v>
      </c>
      <c r="I35" s="64">
        <f t="shared" si="7"/>
        <v>93.802826122942207</v>
      </c>
      <c r="J35" s="64">
        <f t="shared" si="8"/>
        <v>-3.8028261229422071</v>
      </c>
      <c r="K35" s="65">
        <f t="shared" si="9"/>
        <v>-93.248694960445661</v>
      </c>
      <c r="L35" s="64">
        <f t="shared" si="10"/>
        <v>101.34881989538135</v>
      </c>
      <c r="M35" s="64">
        <f t="shared" si="11"/>
        <v>-11.348819895381354</v>
      </c>
      <c r="N35" s="65">
        <f t="shared" si="12"/>
        <v>-84.188553095723648</v>
      </c>
      <c r="O35" s="64">
        <f t="shared" si="13"/>
        <v>108.60416056925465</v>
      </c>
      <c r="P35" s="64">
        <f t="shared" si="14"/>
        <v>-18.604160569254645</v>
      </c>
      <c r="Q35" s="65">
        <f t="shared" si="15"/>
        <v>-74.645562356138072</v>
      </c>
      <c r="R35" s="64">
        <f t="shared" si="16"/>
        <v>102.02039770307094</v>
      </c>
      <c r="S35" s="59">
        <f t="shared" si="17"/>
        <v>-12.020397703070941</v>
      </c>
      <c r="T35" s="58">
        <f t="shared" si="18"/>
        <v>-83.349908957327102</v>
      </c>
      <c r="U35" s="66"/>
      <c r="V35" s="53"/>
      <c r="Y35" s="50"/>
    </row>
    <row r="36" spans="1:27" x14ac:dyDescent="0.2">
      <c r="A36" s="67">
        <v>-94</v>
      </c>
      <c r="B36" s="66">
        <f t="shared" si="0"/>
        <v>-1.6406094968746698</v>
      </c>
      <c r="C36" s="64">
        <f t="shared" si="1"/>
        <v>77.907869324629814</v>
      </c>
      <c r="D36" s="64">
        <f t="shared" si="2"/>
        <v>12.092130675370186</v>
      </c>
      <c r="E36" s="65">
        <f t="shared" si="3"/>
        <v>-110.61953019007791</v>
      </c>
      <c r="F36" s="64">
        <f t="shared" si="4"/>
        <v>85.419064807061119</v>
      </c>
      <c r="G36" s="64">
        <f t="shared" si="5"/>
        <v>4.5809351929388811</v>
      </c>
      <c r="H36" s="65">
        <f t="shared" si="6"/>
        <v>-101.51303316639357</v>
      </c>
      <c r="I36" s="64">
        <f t="shared" si="7"/>
        <v>93.0428478707544</v>
      </c>
      <c r="J36" s="64">
        <f t="shared" si="8"/>
        <v>-3.0428478707544002</v>
      </c>
      <c r="K36" s="65">
        <f t="shared" si="9"/>
        <v>-92.597580112350315</v>
      </c>
      <c r="L36" s="64">
        <f t="shared" si="10"/>
        <v>100.59219961177429</v>
      </c>
      <c r="M36" s="64">
        <f t="shared" si="11"/>
        <v>-10.592199611774291</v>
      </c>
      <c r="N36" s="65">
        <f t="shared" si="12"/>
        <v>-83.555506271690433</v>
      </c>
      <c r="O36" s="64">
        <f t="shared" si="13"/>
        <v>107.87138445188452</v>
      </c>
      <c r="P36" s="64">
        <f t="shared" si="14"/>
        <v>-17.871384451884524</v>
      </c>
      <c r="Q36" s="65">
        <f t="shared" si="15"/>
        <v>-74.064390918007234</v>
      </c>
      <c r="R36" s="64">
        <f t="shared" si="16"/>
        <v>101.26504477094079</v>
      </c>
      <c r="S36" s="59">
        <f t="shared" si="17"/>
        <v>-11.26504477094079</v>
      </c>
      <c r="T36" s="58">
        <f t="shared" si="18"/>
        <v>-82.72012895314883</v>
      </c>
      <c r="U36" s="66"/>
      <c r="V36" s="53"/>
      <c r="Y36" s="50"/>
    </row>
    <row r="37" spans="1:27" x14ac:dyDescent="0.2">
      <c r="A37" s="67">
        <v>-93</v>
      </c>
      <c r="B37" s="66">
        <f t="shared" si="0"/>
        <v>-1.6231562043547265</v>
      </c>
      <c r="C37" s="64">
        <f t="shared" si="1"/>
        <v>77.19427623293376</v>
      </c>
      <c r="D37" s="64">
        <f t="shared" si="2"/>
        <v>12.80572376706624</v>
      </c>
      <c r="E37" s="65">
        <f t="shared" si="3"/>
        <v>-110.02908623559742</v>
      </c>
      <c r="F37" s="64">
        <f t="shared" si="4"/>
        <v>84.672575758951083</v>
      </c>
      <c r="G37" s="64">
        <f t="shared" si="5"/>
        <v>5.3274242410489165</v>
      </c>
      <c r="H37" s="65">
        <f t="shared" si="6"/>
        <v>-100.87704626120296</v>
      </c>
      <c r="I37" s="64">
        <f t="shared" si="7"/>
        <v>92.282477952392512</v>
      </c>
      <c r="J37" s="64">
        <f t="shared" si="8"/>
        <v>-2.2824779523925116</v>
      </c>
      <c r="K37" s="65">
        <f t="shared" si="9"/>
        <v>-91.947383077135214</v>
      </c>
      <c r="L37" s="64">
        <f t="shared" si="10"/>
        <v>99.836522677824888</v>
      </c>
      <c r="M37" s="64">
        <f t="shared" si="11"/>
        <v>-9.8365226778248882</v>
      </c>
      <c r="N37" s="65">
        <f t="shared" si="12"/>
        <v>-82.922854807551246</v>
      </c>
      <c r="O37" s="64">
        <f t="shared" si="13"/>
        <v>107.14072853742529</v>
      </c>
      <c r="P37" s="64">
        <f t="shared" si="14"/>
        <v>-17.140728537425289</v>
      </c>
      <c r="Q37" s="65">
        <f t="shared" si="15"/>
        <v>-73.482668307202459</v>
      </c>
      <c r="R37" s="64">
        <f t="shared" si="16"/>
        <v>100.5107514113508</v>
      </c>
      <c r="S37" s="59">
        <f t="shared" si="17"/>
        <v>-10.510751411350796</v>
      </c>
      <c r="T37" s="58">
        <f t="shared" si="18"/>
        <v>-82.090680520801925</v>
      </c>
      <c r="U37" s="66"/>
      <c r="V37" s="53"/>
      <c r="W37" s="49"/>
      <c r="X37" s="50"/>
      <c r="Y37" s="50"/>
      <c r="Z37" s="50"/>
      <c r="AA37" s="50"/>
    </row>
    <row r="38" spans="1:27" x14ac:dyDescent="0.2">
      <c r="A38" s="67">
        <v>-92</v>
      </c>
      <c r="B38" s="66">
        <f t="shared" si="0"/>
        <v>-1.6057029118347832</v>
      </c>
      <c r="C38" s="64">
        <f t="shared" si="1"/>
        <v>76.478001294863077</v>
      </c>
      <c r="D38" s="64">
        <f t="shared" si="2"/>
        <v>13.521998705136923</v>
      </c>
      <c r="E38" s="65">
        <f t="shared" si="3"/>
        <v>-109.44039021818013</v>
      </c>
      <c r="F38" s="64">
        <f t="shared" si="4"/>
        <v>83.924494192827979</v>
      </c>
      <c r="G38" s="64">
        <f t="shared" si="5"/>
        <v>6.0755058071720214</v>
      </c>
      <c r="H38" s="65">
        <f t="shared" si="6"/>
        <v>-100.24217565344168</v>
      </c>
      <c r="I38" s="64">
        <f t="shared" si="7"/>
        <v>91.521814723560595</v>
      </c>
      <c r="J38" s="64">
        <f t="shared" si="8"/>
        <v>-1.5218147235605954</v>
      </c>
      <c r="K38" s="65">
        <f t="shared" si="9"/>
        <v>-91.29787368217724</v>
      </c>
      <c r="L38" s="64">
        <f t="shared" si="10"/>
        <v>99.081880796287166</v>
      </c>
      <c r="M38" s="64">
        <f t="shared" si="11"/>
        <v>-9.0818807962871659</v>
      </c>
      <c r="N38" s="65">
        <f t="shared" si="12"/>
        <v>-82.290376181096832</v>
      </c>
      <c r="O38" s="64">
        <f t="shared" si="13"/>
        <v>106.41227053275156</v>
      </c>
      <c r="P38" s="64">
        <f t="shared" si="14"/>
        <v>-16.412270532751563</v>
      </c>
      <c r="Q38" s="65">
        <f t="shared" si="15"/>
        <v>-72.900214932459207</v>
      </c>
      <c r="R38" s="64">
        <f t="shared" si="16"/>
        <v>99.757608284816513</v>
      </c>
      <c r="S38" s="59">
        <f t="shared" si="17"/>
        <v>-9.7576082848165129</v>
      </c>
      <c r="T38" s="58">
        <f t="shared" si="18"/>
        <v>-81.461343444456872</v>
      </c>
      <c r="U38" s="66"/>
      <c r="V38" s="53"/>
      <c r="Y38" s="50"/>
    </row>
    <row r="39" spans="1:27" x14ac:dyDescent="0.2">
      <c r="A39" s="67">
        <v>-91</v>
      </c>
      <c r="B39" s="66">
        <f t="shared" si="0"/>
        <v>-1.5882496193148399</v>
      </c>
      <c r="C39" s="64">
        <f t="shared" si="1"/>
        <v>75.7591276083145</v>
      </c>
      <c r="D39" s="64">
        <f t="shared" si="2"/>
        <v>14.2408723916855</v>
      </c>
      <c r="E39" s="65">
        <f t="shared" si="3"/>
        <v>-108.8532788757267</v>
      </c>
      <c r="F39" s="64">
        <f t="shared" si="4"/>
        <v>83.174914430414773</v>
      </c>
      <c r="G39" s="64">
        <f t="shared" si="5"/>
        <v>6.8250855695852266</v>
      </c>
      <c r="H39" s="65">
        <f t="shared" si="6"/>
        <v>-99.608210909678121</v>
      </c>
      <c r="I39" s="64">
        <f t="shared" si="7"/>
        <v>90.760956163319136</v>
      </c>
      <c r="J39" s="64">
        <f t="shared" si="8"/>
        <v>-0.76095616331913618</v>
      </c>
      <c r="K39" s="65">
        <f t="shared" si="9"/>
        <v>-90.648822371433553</v>
      </c>
      <c r="L39" s="64">
        <f t="shared" si="10"/>
        <v>98.328365830026542</v>
      </c>
      <c r="M39" s="64">
        <f t="shared" si="11"/>
        <v>-8.3283658300265415</v>
      </c>
      <c r="N39" s="65">
        <f t="shared" si="12"/>
        <v>-81.657850426660204</v>
      </c>
      <c r="O39" s="64">
        <f t="shared" si="13"/>
        <v>105.68608887319681</v>
      </c>
      <c r="P39" s="64">
        <f t="shared" si="14"/>
        <v>-15.686088873196809</v>
      </c>
      <c r="Q39" s="65">
        <f t="shared" si="15"/>
        <v>-72.316854407067865</v>
      </c>
      <c r="R39" s="64">
        <f t="shared" si="16"/>
        <v>99.005706264465459</v>
      </c>
      <c r="S39" s="59">
        <f t="shared" si="17"/>
        <v>-9.0057062644654593</v>
      </c>
      <c r="T39" s="58">
        <f t="shared" si="18"/>
        <v>-80.831900196665941</v>
      </c>
      <c r="U39" s="66"/>
      <c r="V39" s="53"/>
      <c r="Z39" s="50"/>
    </row>
    <row r="40" spans="1:27" s="54" customFormat="1" x14ac:dyDescent="0.2">
      <c r="A40" s="63">
        <v>-90</v>
      </c>
      <c r="B40" s="62">
        <f t="shared" si="0"/>
        <v>-1.5707963267948966</v>
      </c>
      <c r="C40" s="60">
        <f t="shared" si="1"/>
        <v>75.037737207411496</v>
      </c>
      <c r="D40" s="60">
        <f t="shared" si="2"/>
        <v>14.962262792588504</v>
      </c>
      <c r="E40" s="61">
        <f t="shared" si="3"/>
        <v>-108.26758666285335</v>
      </c>
      <c r="F40" s="60">
        <f t="shared" si="4"/>
        <v>82.423930085319043</v>
      </c>
      <c r="G40" s="60">
        <f t="shared" si="5"/>
        <v>7.5760699146809571</v>
      </c>
      <c r="H40" s="61">
        <f t="shared" si="6"/>
        <v>-98.974940093683216</v>
      </c>
      <c r="I40" s="60">
        <f t="shared" si="7"/>
        <v>90</v>
      </c>
      <c r="J40" s="60">
        <f t="shared" si="8"/>
        <v>0</v>
      </c>
      <c r="K40" s="61">
        <f t="shared" si="9"/>
        <v>-90</v>
      </c>
      <c r="L40" s="60">
        <f t="shared" si="10"/>
        <v>97.576069914680943</v>
      </c>
      <c r="M40" s="60">
        <f t="shared" si="11"/>
        <v>-7.5760699146809429</v>
      </c>
      <c r="N40" s="61">
        <f t="shared" si="12"/>
        <v>-81.02505990631677</v>
      </c>
      <c r="O40" s="60">
        <f t="shared" si="13"/>
        <v>104.9622627925885</v>
      </c>
      <c r="P40" s="60">
        <f t="shared" si="14"/>
        <v>-14.962262792588504</v>
      </c>
      <c r="Q40" s="61">
        <f t="shared" si="15"/>
        <v>-71.732413337146653</v>
      </c>
      <c r="R40" s="60">
        <f t="shared" si="16"/>
        <v>98.255136545852011</v>
      </c>
      <c r="S40" s="59">
        <f t="shared" si="17"/>
        <v>-8.255136545852011</v>
      </c>
      <c r="T40" s="58">
        <f t="shared" si="18"/>
        <v>-80.202135708317059</v>
      </c>
      <c r="U40" s="62"/>
      <c r="V40" s="56">
        <f>E40</f>
        <v>-108.26758666285335</v>
      </c>
      <c r="X40" s="55"/>
      <c r="Y40" s="55">
        <f>D40</f>
        <v>14.962262792588504</v>
      </c>
      <c r="Z40" s="55"/>
      <c r="AA40" s="55"/>
    </row>
    <row r="41" spans="1:27" x14ac:dyDescent="0.2">
      <c r="A41" s="67">
        <v>-89</v>
      </c>
      <c r="B41" s="66">
        <f t="shared" si="0"/>
        <v>-1.5533430342749532</v>
      </c>
      <c r="C41" s="64">
        <f t="shared" si="1"/>
        <v>74.313911126803177</v>
      </c>
      <c r="D41" s="64">
        <f t="shared" si="2"/>
        <v>15.686088873196823</v>
      </c>
      <c r="E41" s="65">
        <f t="shared" si="3"/>
        <v>-107.68314559293212</v>
      </c>
      <c r="F41" s="64">
        <f t="shared" si="4"/>
        <v>81.671634169973458</v>
      </c>
      <c r="G41" s="64">
        <f t="shared" si="5"/>
        <v>8.3283658300265415</v>
      </c>
      <c r="H41" s="65">
        <f t="shared" si="6"/>
        <v>-98.342149573339796</v>
      </c>
      <c r="I41" s="64">
        <f t="shared" si="7"/>
        <v>89.23904383668085</v>
      </c>
      <c r="J41" s="64">
        <f t="shared" si="8"/>
        <v>0.76095616331915039</v>
      </c>
      <c r="K41" s="65">
        <f t="shared" si="9"/>
        <v>-89.351177628566433</v>
      </c>
      <c r="L41" s="64">
        <f t="shared" si="10"/>
        <v>96.825085569585227</v>
      </c>
      <c r="M41" s="64">
        <f t="shared" si="11"/>
        <v>-6.8250855695852266</v>
      </c>
      <c r="N41" s="65">
        <f t="shared" si="12"/>
        <v>-80.391789090321879</v>
      </c>
      <c r="O41" s="64">
        <f t="shared" si="13"/>
        <v>104.24087239168549</v>
      </c>
      <c r="P41" s="64">
        <f t="shared" si="14"/>
        <v>-14.240872391685485</v>
      </c>
      <c r="Q41" s="65">
        <f t="shared" si="15"/>
        <v>-71.146721124273284</v>
      </c>
      <c r="R41" s="64">
        <f t="shared" si="16"/>
        <v>97.505990754977901</v>
      </c>
      <c r="S41" s="59">
        <f t="shared" si="17"/>
        <v>-7.5059907549779012</v>
      </c>
      <c r="T41" s="58">
        <f t="shared" si="18"/>
        <v>-79.571837148563787</v>
      </c>
      <c r="U41" s="66"/>
      <c r="V41" s="53">
        <f>H40</f>
        <v>-98.974940093683216</v>
      </c>
      <c r="Y41" s="50">
        <f>G40</f>
        <v>7.5760699146809571</v>
      </c>
      <c r="Z41" s="50"/>
    </row>
    <row r="42" spans="1:27" x14ac:dyDescent="0.2">
      <c r="A42" s="67">
        <v>-88</v>
      </c>
      <c r="B42" s="66">
        <f t="shared" si="0"/>
        <v>-1.5358897417550099</v>
      </c>
      <c r="C42" s="64">
        <f t="shared" si="1"/>
        <v>73.587729467248437</v>
      </c>
      <c r="D42" s="64">
        <f t="shared" si="2"/>
        <v>16.412270532751563</v>
      </c>
      <c r="E42" s="65">
        <f t="shared" ref="E42:E73" si="19">DEGREES(-ACOS((SIN(RADIANS(D42))*SIN($C$6)-SIN(C$5))/(COS(RADIANS(D42))*COS($C$6))))</f>
        <v>-107.09978506754079</v>
      </c>
      <c r="F42" s="64">
        <f t="shared" si="4"/>
        <v>80.91811920371282</v>
      </c>
      <c r="G42" s="64">
        <f t="shared" si="5"/>
        <v>9.0818807962871801</v>
      </c>
      <c r="H42" s="65">
        <f t="shared" ref="H42:H73" si="20">DEGREES(-ACOS((SIN(RADIANS(G42))*SIN($C$6)-SIN(G$5))/(COS(RADIANS(G42))*COS($C$6))))</f>
        <v>-97.709623818903154</v>
      </c>
      <c r="I42" s="64">
        <f t="shared" si="7"/>
        <v>88.478185276439405</v>
      </c>
      <c r="J42" s="64">
        <f t="shared" si="8"/>
        <v>1.5218147235605954</v>
      </c>
      <c r="K42" s="65">
        <f t="shared" ref="K42:K73" si="21">DEGREES(-ACOS((SIN(RADIANS(J42))*SIN($C$6)-SIN(J$5))/(COS(RADIANS(J42))*COS($C$6))))</f>
        <v>-88.70212631782276</v>
      </c>
      <c r="L42" s="64">
        <f t="shared" si="10"/>
        <v>96.075505807172007</v>
      </c>
      <c r="M42" s="64">
        <f t="shared" si="11"/>
        <v>-6.0755058071720072</v>
      </c>
      <c r="N42" s="65">
        <f t="shared" ref="N42:N73" si="22">DEGREES(-ACOS((SIN(RADIANS(M42))*SIN($C$6)-SIN(M$5))/(COS(RADIANS(M42))*COS($C$6))))</f>
        <v>-79.757824346558309</v>
      </c>
      <c r="O42" s="64">
        <f t="shared" si="13"/>
        <v>103.52199870513692</v>
      </c>
      <c r="P42" s="64">
        <f t="shared" si="14"/>
        <v>-13.521998705136923</v>
      </c>
      <c r="Q42" s="65">
        <f t="shared" ref="Q42:Q73" si="23">DEGREES(-ACOS((SIN(RADIANS(P42))*SIN($C$6)-SIN(P$5))/(COS(RADIANS(P42))*COS($C$6))))</f>
        <v>-70.559609781819873</v>
      </c>
      <c r="R42" s="64">
        <f t="shared" si="16"/>
        <v>96.75836105472699</v>
      </c>
      <c r="S42" s="59">
        <f t="shared" si="17"/>
        <v>-6.7583610547269899</v>
      </c>
      <c r="T42" s="58">
        <f t="shared" ref="T42:T73" si="24">DEGREES(-ACOS((SIN(RADIANS(S42))*SIN($C$6)-SIN(S$5))/(COS(RADIANS(S42))*COS($C$6))))</f>
        <v>-78.94079371446054</v>
      </c>
      <c r="U42" s="66"/>
      <c r="V42" s="53">
        <f>K40</f>
        <v>-90</v>
      </c>
      <c r="Y42" s="50">
        <f>J40</f>
        <v>0</v>
      </c>
      <c r="Z42" s="50"/>
    </row>
    <row r="43" spans="1:27" x14ac:dyDescent="0.2">
      <c r="A43" s="67">
        <v>-87</v>
      </c>
      <c r="B43" s="66">
        <f t="shared" si="0"/>
        <v>-1.5184364492350666</v>
      </c>
      <c r="C43" s="64">
        <f t="shared" si="1"/>
        <v>72.859271462574696</v>
      </c>
      <c r="D43" s="64">
        <f t="shared" si="2"/>
        <v>17.140728537425304</v>
      </c>
      <c r="E43" s="65">
        <f t="shared" si="19"/>
        <v>-106.51733169279753</v>
      </c>
      <c r="F43" s="64">
        <f t="shared" si="4"/>
        <v>80.163477322175098</v>
      </c>
      <c r="G43" s="64">
        <f t="shared" si="5"/>
        <v>9.8365226778249024</v>
      </c>
      <c r="H43" s="65">
        <f t="shared" si="20"/>
        <v>-97.077145192448739</v>
      </c>
      <c r="I43" s="64">
        <f t="shared" si="7"/>
        <v>87.717522047607488</v>
      </c>
      <c r="J43" s="64">
        <f t="shared" si="8"/>
        <v>2.2824779523925116</v>
      </c>
      <c r="K43" s="65">
        <f t="shared" si="21"/>
        <v>-88.052616922864786</v>
      </c>
      <c r="L43" s="64">
        <f t="shared" si="10"/>
        <v>95.327424241048902</v>
      </c>
      <c r="M43" s="64">
        <f t="shared" si="11"/>
        <v>-5.3274242410489023</v>
      </c>
      <c r="N43" s="65">
        <f t="shared" si="22"/>
        <v>-79.122953738797023</v>
      </c>
      <c r="O43" s="64">
        <f t="shared" si="13"/>
        <v>102.80572376706623</v>
      </c>
      <c r="P43" s="64">
        <f t="shared" si="14"/>
        <v>-12.805723767066226</v>
      </c>
      <c r="Q43" s="65">
        <f t="shared" si="23"/>
        <v>-69.970913764402567</v>
      </c>
      <c r="R43" s="64">
        <f t="shared" si="16"/>
        <v>96.012340249909045</v>
      </c>
      <c r="S43" s="59">
        <f t="shared" si="17"/>
        <v>-6.0123402499090446</v>
      </c>
      <c r="T43" s="58">
        <f t="shared" si="24"/>
        <v>-78.30879643006746</v>
      </c>
      <c r="U43" s="66"/>
      <c r="V43" s="53">
        <f>N40</f>
        <v>-81.02505990631677</v>
      </c>
      <c r="W43" s="49"/>
      <c r="X43" s="50"/>
      <c r="Y43" s="50">
        <f>M40</f>
        <v>-7.5760699146809429</v>
      </c>
      <c r="Z43" s="50"/>
      <c r="AA43" s="50"/>
    </row>
    <row r="44" spans="1:27" x14ac:dyDescent="0.2">
      <c r="A44" s="67">
        <v>-86</v>
      </c>
      <c r="B44" s="66">
        <f t="shared" si="0"/>
        <v>-1.5009831567151235</v>
      </c>
      <c r="C44" s="64">
        <f t="shared" si="1"/>
        <v>72.128615548115476</v>
      </c>
      <c r="D44" s="64">
        <f t="shared" si="2"/>
        <v>17.871384451884524</v>
      </c>
      <c r="E44" s="65">
        <f t="shared" si="19"/>
        <v>-105.93560908199277</v>
      </c>
      <c r="F44" s="64">
        <f t="shared" si="4"/>
        <v>79.407800388225709</v>
      </c>
      <c r="G44" s="64">
        <f t="shared" si="5"/>
        <v>10.592199611774291</v>
      </c>
      <c r="H44" s="65">
        <f t="shared" si="20"/>
        <v>-96.444493728309567</v>
      </c>
      <c r="I44" s="64">
        <f t="shared" si="7"/>
        <v>86.9571521292456</v>
      </c>
      <c r="J44" s="64">
        <f t="shared" si="8"/>
        <v>3.0428478707544002</v>
      </c>
      <c r="K44" s="65">
        <f t="shared" si="21"/>
        <v>-87.402419887649685</v>
      </c>
      <c r="L44" s="64">
        <f t="shared" si="10"/>
        <v>94.580935192938895</v>
      </c>
      <c r="M44" s="64">
        <f t="shared" si="11"/>
        <v>-4.5809351929388953</v>
      </c>
      <c r="N44" s="65">
        <f t="shared" si="22"/>
        <v>-78.486966833606445</v>
      </c>
      <c r="O44" s="64">
        <f t="shared" si="13"/>
        <v>102.09213067537019</v>
      </c>
      <c r="P44" s="64">
        <f t="shared" si="14"/>
        <v>-12.092130675370186</v>
      </c>
      <c r="Q44" s="65">
        <f t="shared" si="23"/>
        <v>-69.38046980992209</v>
      </c>
      <c r="R44" s="64">
        <f t="shared" si="16"/>
        <v>95.268021891093468</v>
      </c>
      <c r="S44" s="59">
        <f t="shared" si="17"/>
        <v>-5.2680218910934684</v>
      </c>
      <c r="T44" s="58">
        <f t="shared" si="24"/>
        <v>-77.675637954824452</v>
      </c>
      <c r="U44" s="66"/>
      <c r="V44" s="53">
        <f>Q40</f>
        <v>-71.732413337146653</v>
      </c>
      <c r="Y44" s="50">
        <f>P40</f>
        <v>-14.962262792588504</v>
      </c>
      <c r="AA44" s="50"/>
    </row>
    <row r="45" spans="1:27" x14ac:dyDescent="0.2">
      <c r="A45" s="67">
        <v>-85</v>
      </c>
      <c r="B45" s="66">
        <f t="shared" si="0"/>
        <v>-1.4835298641951802</v>
      </c>
      <c r="C45" s="64">
        <f t="shared" si="1"/>
        <v>71.395839430745369</v>
      </c>
      <c r="D45" s="64">
        <f t="shared" si="2"/>
        <v>18.604160569254631</v>
      </c>
      <c r="E45" s="65">
        <f t="shared" si="19"/>
        <v>-105.35443764386193</v>
      </c>
      <c r="F45" s="64">
        <f t="shared" si="4"/>
        <v>78.65118010461866</v>
      </c>
      <c r="G45" s="64">
        <f t="shared" si="5"/>
        <v>11.34881989538134</v>
      </c>
      <c r="H45" s="65">
        <f t="shared" si="20"/>
        <v>-95.811446904276366</v>
      </c>
      <c r="I45" s="64">
        <f t="shared" si="7"/>
        <v>86.197173877057807</v>
      </c>
      <c r="J45" s="64">
        <f t="shared" si="8"/>
        <v>3.8028261229421929</v>
      </c>
      <c r="K45" s="65">
        <f t="shared" si="21"/>
        <v>-86.751305039554367</v>
      </c>
      <c r="L45" s="64">
        <f t="shared" si="10"/>
        <v>93.836133798658551</v>
      </c>
      <c r="M45" s="64">
        <f t="shared" si="11"/>
        <v>-3.8361337986585511</v>
      </c>
      <c r="N45" s="65">
        <f t="shared" si="22"/>
        <v>-77.849654515780031</v>
      </c>
      <c r="O45" s="64">
        <f t="shared" si="13"/>
        <v>101.38130365480858</v>
      </c>
      <c r="P45" s="64">
        <f t="shared" si="14"/>
        <v>-11.381303654808576</v>
      </c>
      <c r="Q45" s="65">
        <f t="shared" si="23"/>
        <v>-68.788116793730438</v>
      </c>
      <c r="R45" s="64">
        <f t="shared" si="16"/>
        <v>94.525500377400789</v>
      </c>
      <c r="S45" s="59">
        <f t="shared" si="17"/>
        <v>-4.5255003774007889</v>
      </c>
      <c r="T45" s="58">
        <f t="shared" si="24"/>
        <v>-77.041112401030801</v>
      </c>
      <c r="U45" s="66"/>
      <c r="V45" s="53"/>
      <c r="AA45" s="50"/>
    </row>
    <row r="46" spans="1:27" x14ac:dyDescent="0.2">
      <c r="A46" s="67">
        <v>-84</v>
      </c>
      <c r="B46" s="66">
        <f t="shared" si="0"/>
        <v>-1.4660765716752369</v>
      </c>
      <c r="C46" s="64">
        <f t="shared" si="1"/>
        <v>70.661020160647013</v>
      </c>
      <c r="D46" s="64">
        <f t="shared" si="2"/>
        <v>19.338979839352987</v>
      </c>
      <c r="E46" s="65">
        <f t="shared" si="19"/>
        <v>-104.77363435577023</v>
      </c>
      <c r="F46" s="64">
        <f t="shared" si="4"/>
        <v>77.893708128621199</v>
      </c>
      <c r="G46" s="64">
        <f t="shared" si="5"/>
        <v>12.106291871378801</v>
      </c>
      <c r="H46" s="65">
        <f t="shared" si="20"/>
        <v>-95.177779403302608</v>
      </c>
      <c r="I46" s="64">
        <f t="shared" si="7"/>
        <v>85.437686149967121</v>
      </c>
      <c r="J46" s="64">
        <f t="shared" si="8"/>
        <v>4.5623138500328793</v>
      </c>
      <c r="K46" s="65">
        <f t="shared" si="21"/>
        <v>-86.099041384097163</v>
      </c>
      <c r="L46" s="64">
        <f t="shared" si="10"/>
        <v>93.09311611329575</v>
      </c>
      <c r="M46" s="64">
        <f t="shared" si="11"/>
        <v>-3.0931161132957499</v>
      </c>
      <c r="N46" s="65">
        <f t="shared" si="22"/>
        <v>-77.210808812185704</v>
      </c>
      <c r="O46" s="64">
        <f t="shared" si="13"/>
        <v>100.6733281189475</v>
      </c>
      <c r="P46" s="64">
        <f t="shared" si="14"/>
        <v>-10.673328118947495</v>
      </c>
      <c r="Q46" s="65">
        <f t="shared" si="23"/>
        <v>-68.193695594516214</v>
      </c>
      <c r="R46" s="64">
        <f t="shared" si="16"/>
        <v>93.784871058406551</v>
      </c>
      <c r="S46" s="59">
        <f t="shared" si="17"/>
        <v>-3.7848710584065515</v>
      </c>
      <c r="T46" s="58">
        <f t="shared" si="24"/>
        <v>-76.405015160303606</v>
      </c>
      <c r="U46" s="69"/>
      <c r="V46" s="53"/>
      <c r="X46" s="50"/>
      <c r="Y46" s="50"/>
      <c r="Z46" s="50"/>
      <c r="AA46" s="50"/>
    </row>
    <row r="47" spans="1:27" x14ac:dyDescent="0.2">
      <c r="A47" s="67">
        <v>-83</v>
      </c>
      <c r="B47" s="66">
        <f t="shared" si="0"/>
        <v>-1.4486232791552935</v>
      </c>
      <c r="C47" s="64">
        <f t="shared" si="1"/>
        <v>69.924234204961195</v>
      </c>
      <c r="D47" s="64">
        <f t="shared" si="2"/>
        <v>20.075765795038805</v>
      </c>
      <c r="E47" s="65">
        <f t="shared" si="19"/>
        <v>-104.19301252100308</v>
      </c>
      <c r="F47" s="64">
        <f t="shared" si="4"/>
        <v>77.135476188842432</v>
      </c>
      <c r="G47" s="64">
        <f t="shared" si="5"/>
        <v>12.864523811157568</v>
      </c>
      <c r="H47" s="65">
        <f t="shared" si="20"/>
        <v>-94.543262865428431</v>
      </c>
      <c r="I47" s="64">
        <f t="shared" si="7"/>
        <v>84.678788437571242</v>
      </c>
      <c r="J47" s="64">
        <f t="shared" si="8"/>
        <v>5.3212115624287577</v>
      </c>
      <c r="K47" s="65">
        <f t="shared" si="21"/>
        <v>-85.44539689989567</v>
      </c>
      <c r="L47" s="64">
        <f t="shared" si="10"/>
        <v>92.351979215736236</v>
      </c>
      <c r="M47" s="64">
        <f t="shared" si="11"/>
        <v>-2.351979215736236</v>
      </c>
      <c r="N47" s="65">
        <f t="shared" si="22"/>
        <v>-76.570222723976798</v>
      </c>
      <c r="O47" s="64">
        <f t="shared" si="13"/>
        <v>99.968290731005254</v>
      </c>
      <c r="P47" s="64">
        <f t="shared" si="14"/>
        <v>-9.9682907310052542</v>
      </c>
      <c r="Q47" s="65">
        <f t="shared" si="23"/>
        <v>-67.597048971553235</v>
      </c>
      <c r="R47" s="64">
        <f t="shared" si="16"/>
        <v>93.046230335299057</v>
      </c>
      <c r="S47" s="59">
        <f t="shared" si="17"/>
        <v>-3.0462303352990574</v>
      </c>
      <c r="T47" s="58">
        <f t="shared" si="24"/>
        <v>-75.767142738926438</v>
      </c>
      <c r="U47" s="69"/>
      <c r="V47" s="53"/>
      <c r="AA47" s="50"/>
    </row>
    <row r="48" spans="1:27" x14ac:dyDescent="0.2">
      <c r="A48" s="67">
        <v>-82</v>
      </c>
      <c r="B48" s="66">
        <f t="shared" si="0"/>
        <v>-1.4311699866353502</v>
      </c>
      <c r="C48" s="64">
        <f t="shared" si="1"/>
        <v>69.185557523487915</v>
      </c>
      <c r="D48" s="64">
        <f t="shared" si="2"/>
        <v>20.814442476512085</v>
      </c>
      <c r="E48" s="65">
        <f t="shared" si="19"/>
        <v>-103.61238150927194</v>
      </c>
      <c r="F48" s="64">
        <f t="shared" si="4"/>
        <v>76.376576204521726</v>
      </c>
      <c r="G48" s="64">
        <f t="shared" si="5"/>
        <v>13.623423795478274</v>
      </c>
      <c r="H48" s="65">
        <f t="shared" si="20"/>
        <v>-93.907665629611017</v>
      </c>
      <c r="I48" s="64">
        <f t="shared" si="7"/>
        <v>83.920580988697807</v>
      </c>
      <c r="J48" s="64">
        <f t="shared" si="8"/>
        <v>6.0794190113021926</v>
      </c>
      <c r="K48" s="65">
        <f t="shared" si="21"/>
        <v>-84.790138333947411</v>
      </c>
      <c r="L48" s="64">
        <f t="shared" si="10"/>
        <v>91.612821312676246</v>
      </c>
      <c r="M48" s="64">
        <f t="shared" si="11"/>
        <v>-1.6128213126762461</v>
      </c>
      <c r="N48" s="65">
        <f t="shared" si="22"/>
        <v>-75.92769006714208</v>
      </c>
      <c r="O48" s="64">
        <f t="shared" si="13"/>
        <v>99.266279463638085</v>
      </c>
      <c r="P48" s="64">
        <f t="shared" si="14"/>
        <v>-9.2662794636380852</v>
      </c>
      <c r="Q48" s="65">
        <f t="shared" si="23"/>
        <v>-66.998021453007624</v>
      </c>
      <c r="R48" s="64">
        <f t="shared" si="16"/>
        <v>92.309675761419555</v>
      </c>
      <c r="S48" s="59">
        <f t="shared" si="17"/>
        <v>-2.3096757614195553</v>
      </c>
      <c r="T48" s="58">
        <f t="shared" si="24"/>
        <v>-75.127292602038438</v>
      </c>
      <c r="U48" s="69"/>
      <c r="V48" s="53"/>
      <c r="AA48" s="50"/>
    </row>
    <row r="49" spans="1:29" x14ac:dyDescent="0.2">
      <c r="A49" s="67">
        <v>-81</v>
      </c>
      <c r="B49" s="66">
        <f t="shared" si="0"/>
        <v>-1.4137166941154069</v>
      </c>
      <c r="C49" s="64">
        <f t="shared" si="1"/>
        <v>68.445065646625892</v>
      </c>
      <c r="D49" s="64">
        <f t="shared" si="2"/>
        <v>21.554934353374108</v>
      </c>
      <c r="E49" s="65">
        <f t="shared" si="19"/>
        <v>-103.03154647945588</v>
      </c>
      <c r="F49" s="64">
        <f t="shared" si="4"/>
        <v>75.61710040754717</v>
      </c>
      <c r="G49" s="64">
        <f t="shared" si="5"/>
        <v>14.38289959245283</v>
      </c>
      <c r="H49" s="65">
        <f t="shared" si="20"/>
        <v>-93.270752465122911</v>
      </c>
      <c r="I49" s="64">
        <f t="shared" si="7"/>
        <v>83.163164941278126</v>
      </c>
      <c r="J49" s="64">
        <f t="shared" si="8"/>
        <v>6.8368350587218742</v>
      </c>
      <c r="K49" s="65">
        <f t="shared" si="21"/>
        <v>-84.133030997340924</v>
      </c>
      <c r="L49" s="64">
        <f t="shared" si="10"/>
        <v>90.875741842245603</v>
      </c>
      <c r="M49" s="64">
        <f t="shared" si="11"/>
        <v>-0.8757418422456027</v>
      </c>
      <c r="N49" s="65">
        <f t="shared" si="22"/>
        <v>-75.283005321409959</v>
      </c>
      <c r="O49" s="64">
        <f t="shared" si="13"/>
        <v>98.567383657689604</v>
      </c>
      <c r="P49" s="64">
        <f t="shared" si="14"/>
        <v>-8.5673836576896036</v>
      </c>
      <c r="Q49" s="65">
        <f t="shared" si="23"/>
        <v>-66.396459235045896</v>
      </c>
      <c r="R49" s="64">
        <f t="shared" si="16"/>
        <v>91.575306142300576</v>
      </c>
      <c r="S49" s="59">
        <f t="shared" si="17"/>
        <v>-1.5753061423005761</v>
      </c>
      <c r="T49" s="58">
        <f t="shared" si="24"/>
        <v>-74.485263026653826</v>
      </c>
      <c r="U49" s="69"/>
      <c r="V49" s="53"/>
      <c r="X49" s="50"/>
      <c r="Y49" s="50"/>
      <c r="Z49" s="50"/>
      <c r="AA49" s="50"/>
      <c r="AB49" s="50"/>
    </row>
    <row r="50" spans="1:29" x14ac:dyDescent="0.2">
      <c r="A50" s="67">
        <v>-80</v>
      </c>
      <c r="B50" s="66">
        <f t="shared" si="0"/>
        <v>-1.3962634015954636</v>
      </c>
      <c r="C50" s="64">
        <f t="shared" si="1"/>
        <v>67.702833755756927</v>
      </c>
      <c r="D50" s="64">
        <f t="shared" si="2"/>
        <v>22.297166244243073</v>
      </c>
      <c r="E50" s="65">
        <f t="shared" si="19"/>
        <v>-102.45030808350309</v>
      </c>
      <c r="F50" s="64">
        <f t="shared" si="4"/>
        <v>74.857141467490933</v>
      </c>
      <c r="G50" s="64">
        <f t="shared" si="5"/>
        <v>15.142858532509067</v>
      </c>
      <c r="H50" s="65">
        <f t="shared" si="20"/>
        <v>-92.632284292157465</v>
      </c>
      <c r="I50" s="64">
        <f t="shared" si="7"/>
        <v>82.406642453757243</v>
      </c>
      <c r="J50" s="64">
        <f t="shared" si="8"/>
        <v>7.5933575462427569</v>
      </c>
      <c r="K50" s="65">
        <f t="shared" si="21"/>
        <v>-83.473838561527728</v>
      </c>
      <c r="L50" s="64">
        <f t="shared" si="10"/>
        <v>90.140841577352802</v>
      </c>
      <c r="M50" s="64">
        <f t="shared" si="11"/>
        <v>-0.14084157735280201</v>
      </c>
      <c r="N50" s="65">
        <f t="shared" si="22"/>
        <v>-74.635963487562066</v>
      </c>
      <c r="O50" s="64">
        <f t="shared" si="13"/>
        <v>97.871694079915628</v>
      </c>
      <c r="P50" s="64">
        <f t="shared" si="14"/>
        <v>-7.8716940799156276</v>
      </c>
      <c r="Q50" s="65">
        <f t="shared" si="23"/>
        <v>-65.792210091530677</v>
      </c>
      <c r="R50" s="64">
        <f t="shared" si="16"/>
        <v>90.843221635304403</v>
      </c>
      <c r="S50" s="59">
        <f t="shared" si="17"/>
        <v>-0.84322163530440264</v>
      </c>
      <c r="T50" s="58">
        <f t="shared" si="24"/>
        <v>-73.84085296354236</v>
      </c>
      <c r="U50" s="69"/>
      <c r="V50" s="53"/>
      <c r="AB50" s="50"/>
    </row>
    <row r="51" spans="1:29" x14ac:dyDescent="0.2">
      <c r="A51" s="67">
        <v>-79</v>
      </c>
      <c r="B51" s="66">
        <f t="shared" si="0"/>
        <v>-1.3788101090755203</v>
      </c>
      <c r="C51" s="64">
        <f t="shared" si="1"/>
        <v>66.958936766303211</v>
      </c>
      <c r="D51" s="64">
        <f t="shared" si="2"/>
        <v>23.041063233696789</v>
      </c>
      <c r="E51" s="65">
        <f t="shared" si="19"/>
        <v>-101.86846215031299</v>
      </c>
      <c r="F51" s="64">
        <f t="shared" si="4"/>
        <v>74.096792619964361</v>
      </c>
      <c r="G51" s="64">
        <f t="shared" si="5"/>
        <v>15.903207380035639</v>
      </c>
      <c r="H51" s="65">
        <f t="shared" si="20"/>
        <v>-91.99201789125803</v>
      </c>
      <c r="I51" s="64">
        <f t="shared" si="7"/>
        <v>81.651116838257337</v>
      </c>
      <c r="J51" s="64">
        <f t="shared" si="8"/>
        <v>8.3488831617426627</v>
      </c>
      <c r="K51" s="65">
        <f t="shared" si="21"/>
        <v>-82.812322855314093</v>
      </c>
      <c r="L51" s="64">
        <f t="shared" si="10"/>
        <v>89.408222728851328</v>
      </c>
      <c r="M51" s="64">
        <f t="shared" si="11"/>
        <v>0.59177727114867196</v>
      </c>
      <c r="N51" s="65">
        <f t="shared" si="22"/>
        <v>-73.986359953253185</v>
      </c>
      <c r="O51" s="64">
        <f t="shared" si="13"/>
        <v>97.179302979683797</v>
      </c>
      <c r="P51" s="64">
        <f t="shared" si="14"/>
        <v>-7.179302979683797</v>
      </c>
      <c r="Q51" s="65">
        <f t="shared" si="23"/>
        <v>-65.185123294133774</v>
      </c>
      <c r="R51" s="64">
        <f t="shared" si="16"/>
        <v>90.113523848950805</v>
      </c>
      <c r="S51" s="59">
        <f t="shared" si="17"/>
        <v>-0.11352384895080547</v>
      </c>
      <c r="T51" s="58">
        <f t="shared" si="24"/>
        <v>-73.193861908042948</v>
      </c>
      <c r="U51" s="69"/>
      <c r="V51" s="53"/>
      <c r="AB51" s="50"/>
    </row>
    <row r="52" spans="1:29" x14ac:dyDescent="0.2">
      <c r="A52" s="67">
        <v>-78</v>
      </c>
      <c r="B52" s="66">
        <f t="shared" si="0"/>
        <v>-1.3613568165555769</v>
      </c>
      <c r="C52" s="64">
        <f t="shared" si="1"/>
        <v>66.213449413708588</v>
      </c>
      <c r="D52" s="64">
        <f t="shared" si="2"/>
        <v>23.786550586291412</v>
      </c>
      <c r="E52" s="65">
        <f t="shared" si="19"/>
        <v>-101.28579934830731</v>
      </c>
      <c r="F52" s="64">
        <f t="shared" si="4"/>
        <v>73.336147798613737</v>
      </c>
      <c r="G52" s="64">
        <f t="shared" si="5"/>
        <v>16.663852201386263</v>
      </c>
      <c r="H52" s="65">
        <f t="shared" si="20"/>
        <v>-91.349705601169788</v>
      </c>
      <c r="I52" s="64">
        <f t="shared" si="7"/>
        <v>80.896692695709817</v>
      </c>
      <c r="J52" s="64">
        <f t="shared" si="8"/>
        <v>9.1033073042901833</v>
      </c>
      <c r="K52" s="65">
        <f t="shared" si="21"/>
        <v>-82.148243662764926</v>
      </c>
      <c r="L52" s="64">
        <f t="shared" si="10"/>
        <v>88.677989048612048</v>
      </c>
      <c r="M52" s="64">
        <f t="shared" si="11"/>
        <v>1.3220109513879521</v>
      </c>
      <c r="N52" s="65">
        <f t="shared" si="22"/>
        <v>-73.333990367475664</v>
      </c>
      <c r="O52" s="64">
        <f t="shared" si="13"/>
        <v>96.49030414463455</v>
      </c>
      <c r="P52" s="64">
        <f t="shared" si="14"/>
        <v>-6.4903041446345497</v>
      </c>
      <c r="Q52" s="65">
        <f t="shared" si="23"/>
        <v>-64.575049542735314</v>
      </c>
      <c r="R52" s="64">
        <f t="shared" si="16"/>
        <v>89.386315942009062</v>
      </c>
      <c r="S52" s="59">
        <f t="shared" si="17"/>
        <v>0.6136840579909375</v>
      </c>
      <c r="T52" s="58">
        <f t="shared" si="24"/>
        <v>-72.544089779925429</v>
      </c>
      <c r="U52" s="69"/>
      <c r="V52" s="53"/>
      <c r="X52" s="50"/>
      <c r="Y52" s="50"/>
      <c r="Z52" s="50"/>
      <c r="AA52" s="50"/>
      <c r="AB52" s="50"/>
    </row>
    <row r="53" spans="1:29" x14ac:dyDescent="0.2">
      <c r="A53" s="67">
        <v>-77</v>
      </c>
      <c r="B53" s="66">
        <f t="shared" si="0"/>
        <v>-1.3439035240356338</v>
      </c>
      <c r="C53" s="64">
        <f t="shared" si="1"/>
        <v>65.466446342619278</v>
      </c>
      <c r="D53" s="64">
        <f t="shared" si="2"/>
        <v>24.533553657380722</v>
      </c>
      <c r="E53" s="65">
        <f t="shared" si="19"/>
        <v>-100.70210482527884</v>
      </c>
      <c r="F53" s="64">
        <f t="shared" si="4"/>
        <v>72.575301771095411</v>
      </c>
      <c r="G53" s="64">
        <f t="shared" si="5"/>
        <v>17.424698228904589</v>
      </c>
      <c r="H53" s="65">
        <f t="shared" si="20"/>
        <v>-90.705095004696418</v>
      </c>
      <c r="I53" s="64">
        <f t="shared" si="7"/>
        <v>80.143476053169948</v>
      </c>
      <c r="J53" s="64">
        <f t="shared" si="8"/>
        <v>9.8565239468300518</v>
      </c>
      <c r="K53" s="65">
        <f t="shared" si="21"/>
        <v>-81.481358522250432</v>
      </c>
      <c r="L53" s="64">
        <f t="shared" si="10"/>
        <v>87.950245932573807</v>
      </c>
      <c r="M53" s="64">
        <f t="shared" si="11"/>
        <v>2.0497540674261927</v>
      </c>
      <c r="N53" s="65">
        <f t="shared" si="22"/>
        <v>-72.678650523852198</v>
      </c>
      <c r="O53" s="64">
        <f t="shared" si="13"/>
        <v>95.804792955277932</v>
      </c>
      <c r="P53" s="64">
        <f t="shared" si="14"/>
        <v>-5.8047929552779323</v>
      </c>
      <c r="Q53" s="65">
        <f t="shared" si="23"/>
        <v>-63.961840906016711</v>
      </c>
      <c r="R53" s="64">
        <f t="shared" si="16"/>
        <v>88.661702722414873</v>
      </c>
      <c r="S53" s="59">
        <f t="shared" si="17"/>
        <v>1.3382972775851272</v>
      </c>
      <c r="T53" s="58">
        <f t="shared" si="24"/>
        <v>-71.891336812458903</v>
      </c>
      <c r="U53" s="69"/>
      <c r="V53" s="53"/>
      <c r="AB53" s="50"/>
    </row>
    <row r="54" spans="1:29" x14ac:dyDescent="0.2">
      <c r="A54" s="67">
        <v>-76</v>
      </c>
      <c r="B54" s="66">
        <f t="shared" si="0"/>
        <v>-1.3264502315156905</v>
      </c>
      <c r="C54" s="64">
        <f t="shared" si="1"/>
        <v>64.718002199566641</v>
      </c>
      <c r="D54" s="64">
        <f t="shared" si="2"/>
        <v>25.281997800433359</v>
      </c>
      <c r="E54" s="65">
        <f t="shared" si="19"/>
        <v>-100.11715782397576</v>
      </c>
      <c r="F54" s="64">
        <f t="shared" si="4"/>
        <v>71.814350279388734</v>
      </c>
      <c r="G54" s="64">
        <f t="shared" si="5"/>
        <v>18.185649720611266</v>
      </c>
      <c r="H54" s="65">
        <f t="shared" si="20"/>
        <v>-90.057928602130957</v>
      </c>
      <c r="I54" s="64">
        <f t="shared" si="7"/>
        <v>79.391574503525106</v>
      </c>
      <c r="J54" s="64">
        <f t="shared" si="8"/>
        <v>10.608425496474894</v>
      </c>
      <c r="K54" s="65">
        <f t="shared" si="21"/>
        <v>-80.811422526909467</v>
      </c>
      <c r="L54" s="64">
        <f t="shared" si="10"/>
        <v>87.225100523828957</v>
      </c>
      <c r="M54" s="64">
        <f t="shared" si="11"/>
        <v>2.7748994761710435</v>
      </c>
      <c r="N54" s="65">
        <f t="shared" si="22"/>
        <v>-72.020136252984827</v>
      </c>
      <c r="O54" s="64">
        <f t="shared" si="13"/>
        <v>95.122866438487492</v>
      </c>
      <c r="P54" s="64">
        <f t="shared" si="14"/>
        <v>-5.1228664384874918</v>
      </c>
      <c r="Q54" s="65">
        <f t="shared" si="23"/>
        <v>-63.345350772189569</v>
      </c>
      <c r="R54" s="64">
        <f t="shared" si="16"/>
        <v>87.939790746058605</v>
      </c>
      <c r="S54" s="59">
        <f t="shared" si="17"/>
        <v>2.0602092539413945</v>
      </c>
      <c r="T54" s="58">
        <f t="shared" si="24"/>
        <v>-71.235403450890203</v>
      </c>
      <c r="U54" s="69"/>
      <c r="V54" s="53"/>
      <c r="AC54" s="50"/>
    </row>
    <row r="55" spans="1:29" s="54" customFormat="1" x14ac:dyDescent="0.2">
      <c r="A55" s="63">
        <v>-75</v>
      </c>
      <c r="B55" s="62">
        <f t="shared" si="0"/>
        <v>-1.3089969389957472</v>
      </c>
      <c r="C55" s="60">
        <f t="shared" si="1"/>
        <v>63.968191729483614</v>
      </c>
      <c r="D55" s="60">
        <f t="shared" si="2"/>
        <v>26.031808270516386</v>
      </c>
      <c r="E55" s="61">
        <f t="shared" si="19"/>
        <v>-99.530731271739242</v>
      </c>
      <c r="F55" s="60">
        <f t="shared" si="4"/>
        <v>71.053390184825076</v>
      </c>
      <c r="G55" s="60">
        <f t="shared" si="5"/>
        <v>18.946609815174924</v>
      </c>
      <c r="H55" s="61">
        <f t="shared" si="20"/>
        <v>-89.407943471821554</v>
      </c>
      <c r="I55" s="60">
        <f t="shared" si="7"/>
        <v>78.641097347804703</v>
      </c>
      <c r="J55" s="60">
        <f t="shared" si="8"/>
        <v>11.358902652195297</v>
      </c>
      <c r="K55" s="61">
        <f t="shared" si="21"/>
        <v>-80.138188126853791</v>
      </c>
      <c r="L55" s="60">
        <f t="shared" si="10"/>
        <v>86.502661815786254</v>
      </c>
      <c r="M55" s="60">
        <f t="shared" si="11"/>
        <v>3.4973381842137456</v>
      </c>
      <c r="N55" s="61">
        <f t="shared" si="22"/>
        <v>-71.358243324136211</v>
      </c>
      <c r="O55" s="60">
        <f t="shared" si="13"/>
        <v>94.444623319840403</v>
      </c>
      <c r="P55" s="60">
        <f t="shared" si="14"/>
        <v>-4.444623319840403</v>
      </c>
      <c r="Q55" s="61">
        <f t="shared" si="23"/>
        <v>-62.725433809837817</v>
      </c>
      <c r="R55" s="60">
        <f t="shared" si="16"/>
        <v>87.220688415475493</v>
      </c>
      <c r="S55" s="59">
        <f t="shared" si="17"/>
        <v>2.7793115845245069</v>
      </c>
      <c r="T55" s="58">
        <f t="shared" si="24"/>
        <v>-70.576090260582163</v>
      </c>
      <c r="U55" s="70"/>
      <c r="V55" s="56">
        <f>E55</f>
        <v>-99.530731271739242</v>
      </c>
      <c r="W55" s="55"/>
      <c r="X55" s="55"/>
      <c r="Y55" s="55"/>
      <c r="Z55" s="55">
        <f>D55</f>
        <v>26.031808270516386</v>
      </c>
      <c r="AA55" s="55"/>
      <c r="AC55" s="55"/>
    </row>
    <row r="56" spans="1:29" x14ac:dyDescent="0.2">
      <c r="A56" s="67">
        <v>-74</v>
      </c>
      <c r="B56" s="66">
        <f t="shared" si="0"/>
        <v>-1.2915436464758039</v>
      </c>
      <c r="C56" s="64">
        <f t="shared" si="1"/>
        <v>63.217089876417823</v>
      </c>
      <c r="D56" s="64">
        <f t="shared" si="2"/>
        <v>26.782910123582177</v>
      </c>
      <c r="E56" s="65">
        <f t="shared" si="19"/>
        <v>-98.942591342359194</v>
      </c>
      <c r="F56" s="64">
        <f t="shared" si="4"/>
        <v>70.292519618232589</v>
      </c>
      <c r="G56" s="64">
        <f t="shared" si="5"/>
        <v>19.707480381767411</v>
      </c>
      <c r="H56" s="65">
        <f t="shared" si="20"/>
        <v>-88.754870917427851</v>
      </c>
      <c r="I56" s="64">
        <f t="shared" si="7"/>
        <v>77.892155740296658</v>
      </c>
      <c r="J56" s="64">
        <f t="shared" si="8"/>
        <v>12.107844259703342</v>
      </c>
      <c r="K56" s="65">
        <f t="shared" si="21"/>
        <v>-79.461404933493668</v>
      </c>
      <c r="L56" s="64">
        <f t="shared" si="10"/>
        <v>85.783040755437156</v>
      </c>
      <c r="M56" s="64">
        <f t="shared" si="11"/>
        <v>4.2169592445628439</v>
      </c>
      <c r="N56" s="65">
        <f t="shared" si="22"/>
        <v>-70.692767356567387</v>
      </c>
      <c r="O56" s="64">
        <f t="shared" si="13"/>
        <v>93.770164074739355</v>
      </c>
      <c r="P56" s="64">
        <f t="shared" si="14"/>
        <v>-3.7701640747393554</v>
      </c>
      <c r="Q56" s="65">
        <f t="shared" si="23"/>
        <v>-62.101945938881371</v>
      </c>
      <c r="R56" s="64">
        <f t="shared" si="16"/>
        <v>86.504506078452152</v>
      </c>
      <c r="S56" s="59">
        <f t="shared" si="17"/>
        <v>3.4954939215478475</v>
      </c>
      <c r="T56" s="58">
        <f t="shared" si="24"/>
        <v>-69.913197845107646</v>
      </c>
      <c r="U56" s="69"/>
      <c r="V56" s="53">
        <f>H55</f>
        <v>-89.407943471821554</v>
      </c>
      <c r="Z56" s="50">
        <f>G55</f>
        <v>18.946609815174924</v>
      </c>
      <c r="AC56" s="50"/>
    </row>
    <row r="57" spans="1:29" x14ac:dyDescent="0.2">
      <c r="A57" s="67">
        <v>-73</v>
      </c>
      <c r="B57" s="66">
        <f t="shared" si="0"/>
        <v>-1.2740903539558606</v>
      </c>
      <c r="C57" s="64">
        <f t="shared" si="1"/>
        <v>62.464771888839714</v>
      </c>
      <c r="D57" s="64">
        <f t="shared" si="2"/>
        <v>27.535228111160286</v>
      </c>
      <c r="E57" s="65">
        <f t="shared" si="19"/>
        <v>-98.352496988149085</v>
      </c>
      <c r="F57" s="64">
        <f t="shared" si="4"/>
        <v>69.531838135618912</v>
      </c>
      <c r="G57" s="64">
        <f t="shared" si="5"/>
        <v>20.468161864381088</v>
      </c>
      <c r="H57" s="65">
        <f t="shared" si="20"/>
        <v>-88.098436101424852</v>
      </c>
      <c r="I57" s="64">
        <f t="shared" si="7"/>
        <v>77.144862836669503</v>
      </c>
      <c r="J57" s="64">
        <f t="shared" si="8"/>
        <v>12.855137163330497</v>
      </c>
      <c r="K57" s="65">
        <f t="shared" si="21"/>
        <v>-78.780819526427152</v>
      </c>
      <c r="L57" s="64">
        <f t="shared" si="10"/>
        <v>85.066350346735149</v>
      </c>
      <c r="M57" s="64">
        <f t="shared" si="11"/>
        <v>4.9336496532648511</v>
      </c>
      <c r="N57" s="65">
        <f t="shared" si="22"/>
        <v>-70.023503740906747</v>
      </c>
      <c r="O57" s="64">
        <f t="shared" si="13"/>
        <v>93.099590978238695</v>
      </c>
      <c r="P57" s="64">
        <f t="shared" si="14"/>
        <v>-3.0995909782386946</v>
      </c>
      <c r="Q57" s="65">
        <f t="shared" si="23"/>
        <v>-61.474744311699702</v>
      </c>
      <c r="R57" s="64">
        <f t="shared" si="16"/>
        <v>85.791356126547456</v>
      </c>
      <c r="S57" s="59">
        <f t="shared" si="17"/>
        <v>4.2086438734525444</v>
      </c>
      <c r="T57" s="58">
        <f t="shared" si="24"/>
        <v>-69.246526774644821</v>
      </c>
      <c r="U57" s="69"/>
      <c r="V57" s="53">
        <f>K55</f>
        <v>-80.138188126853791</v>
      </c>
      <c r="Z57" s="50">
        <f>J55</f>
        <v>11.358902652195297</v>
      </c>
      <c r="AC57" s="50"/>
    </row>
    <row r="58" spans="1:29" x14ac:dyDescent="0.2">
      <c r="A58" s="67">
        <v>-72</v>
      </c>
      <c r="B58" s="66">
        <f t="shared" si="0"/>
        <v>-1.2566370614359172</v>
      </c>
      <c r="C58" s="64">
        <f t="shared" si="1"/>
        <v>61.711313429981104</v>
      </c>
      <c r="D58" s="64">
        <f t="shared" si="2"/>
        <v>28.288686570018896</v>
      </c>
      <c r="E58" s="65">
        <f t="shared" si="19"/>
        <v>-97.760199440061896</v>
      </c>
      <c r="F58" s="64">
        <f t="shared" si="4"/>
        <v>68.771446879836645</v>
      </c>
      <c r="G58" s="64">
        <f t="shared" si="5"/>
        <v>21.228553120163355</v>
      </c>
      <c r="H58" s="65">
        <f t="shared" si="20"/>
        <v>-87.438357664417083</v>
      </c>
      <c r="I58" s="64">
        <f t="shared" si="7"/>
        <v>76.399333945294231</v>
      </c>
      <c r="J58" s="64">
        <f t="shared" si="8"/>
        <v>13.600666054705769</v>
      </c>
      <c r="K58" s="65">
        <f t="shared" si="21"/>
        <v>-78.096175263407233</v>
      </c>
      <c r="L58" s="64">
        <f t="shared" si="10"/>
        <v>84.35270575407975</v>
      </c>
      <c r="M58" s="64">
        <f t="shared" si="11"/>
        <v>5.64729424592025</v>
      </c>
      <c r="N58" s="65">
        <f t="shared" si="22"/>
        <v>-69.350247570976705</v>
      </c>
      <c r="O58" s="64">
        <f t="shared" si="13"/>
        <v>92.433008153483996</v>
      </c>
      <c r="P58" s="64">
        <f t="shared" si="14"/>
        <v>-2.4330081534839962</v>
      </c>
      <c r="Q58" s="65">
        <f t="shared" si="23"/>
        <v>-60.843687304481833</v>
      </c>
      <c r="R58" s="64">
        <f t="shared" si="16"/>
        <v>85.081353093507403</v>
      </c>
      <c r="S58" s="59">
        <f t="shared" si="17"/>
        <v>4.9186469064925973</v>
      </c>
      <c r="T58" s="58">
        <f t="shared" si="24"/>
        <v>-68.575877525067725</v>
      </c>
      <c r="U58" s="69"/>
      <c r="V58" s="53">
        <f>N55</f>
        <v>-71.358243324136211</v>
      </c>
      <c r="X58" s="50"/>
      <c r="Y58" s="50"/>
      <c r="Z58" s="50">
        <f>M55</f>
        <v>3.4973381842137456</v>
      </c>
      <c r="AA58" s="50"/>
      <c r="AC58" s="50"/>
    </row>
    <row r="59" spans="1:29" x14ac:dyDescent="0.2">
      <c r="A59" s="67">
        <v>-71</v>
      </c>
      <c r="B59" s="66">
        <f t="shared" si="0"/>
        <v>-1.2391837689159739</v>
      </c>
      <c r="C59" s="64">
        <f t="shared" si="1"/>
        <v>60.95679069368159</v>
      </c>
      <c r="D59" s="64">
        <f t="shared" si="2"/>
        <v>29.04320930631841</v>
      </c>
      <c r="E59" s="65">
        <f t="shared" si="19"/>
        <v>-97.165441673475613</v>
      </c>
      <c r="F59" s="64">
        <f t="shared" si="4"/>
        <v>68.011448748701881</v>
      </c>
      <c r="G59" s="64">
        <f t="shared" si="5"/>
        <v>21.988551251298119</v>
      </c>
      <c r="H59" s="65">
        <f t="shared" si="20"/>
        <v>-86.774347329841333</v>
      </c>
      <c r="I59" s="64">
        <f t="shared" si="7"/>
        <v>75.655686681952616</v>
      </c>
      <c r="J59" s="64">
        <f t="shared" si="8"/>
        <v>14.344313318047384</v>
      </c>
      <c r="K59" s="65">
        <f t="shared" si="21"/>
        <v>-77.407212093978046</v>
      </c>
      <c r="L59" s="64">
        <f t="shared" si="10"/>
        <v>83.642224405878196</v>
      </c>
      <c r="M59" s="64">
        <f t="shared" si="11"/>
        <v>6.3577755941218044</v>
      </c>
      <c r="N59" s="65">
        <f t="shared" si="22"/>
        <v>-68.672793586558342</v>
      </c>
      <c r="O59" s="64">
        <f t="shared" si="13"/>
        <v>91.770521618659984</v>
      </c>
      <c r="P59" s="64">
        <f t="shared" si="14"/>
        <v>-1.7705216186599841</v>
      </c>
      <c r="Q59" s="65">
        <f t="shared" si="23"/>
        <v>-60.208634518895373</v>
      </c>
      <c r="R59" s="64">
        <f t="shared" si="16"/>
        <v>84.374613753534717</v>
      </c>
      <c r="S59" s="59">
        <f t="shared" si="17"/>
        <v>5.6253862464652826</v>
      </c>
      <c r="T59" s="58">
        <f t="shared" si="24"/>
        <v>-67.901050428176859</v>
      </c>
      <c r="U59" s="69"/>
      <c r="V59" s="53">
        <f>Q55</f>
        <v>-62.725433809837817</v>
      </c>
      <c r="Z59" s="50">
        <f>P55</f>
        <v>-4.444623319840403</v>
      </c>
    </row>
    <row r="60" spans="1:29" x14ac:dyDescent="0.2">
      <c r="A60" s="67">
        <v>-70</v>
      </c>
      <c r="B60" s="66">
        <f t="shared" si="0"/>
        <v>-1.2217304763960306</v>
      </c>
      <c r="C60" s="64">
        <f t="shared" si="1"/>
        <v>60.201280526265535</v>
      </c>
      <c r="D60" s="64">
        <f t="shared" si="2"/>
        <v>29.798719473734465</v>
      </c>
      <c r="E60" s="65">
        <f t="shared" si="19"/>
        <v>-96.567957837067993</v>
      </c>
      <c r="F60" s="64">
        <f t="shared" si="4"/>
        <v>67.251948570060677</v>
      </c>
      <c r="G60" s="64">
        <f t="shared" si="5"/>
        <v>22.748051429939323</v>
      </c>
      <c r="H60" s="65">
        <f t="shared" si="20"/>
        <v>-86.106109493656874</v>
      </c>
      <c r="I60" s="64">
        <f t="shared" si="7"/>
        <v>74.914041128110142</v>
      </c>
      <c r="J60" s="64">
        <f t="shared" si="8"/>
        <v>15.085958871889858</v>
      </c>
      <c r="K60" s="65">
        <f t="shared" si="21"/>
        <v>-76.71366637745939</v>
      </c>
      <c r="L60" s="64">
        <f t="shared" si="10"/>
        <v>82.935026098137385</v>
      </c>
      <c r="M60" s="64">
        <f t="shared" si="11"/>
        <v>7.064973901862615</v>
      </c>
      <c r="N60" s="65">
        <f t="shared" si="22"/>
        <v>-67.990936127628942</v>
      </c>
      <c r="O60" s="64">
        <f t="shared" si="13"/>
        <v>91.112239332327874</v>
      </c>
      <c r="P60" s="64">
        <f t="shared" si="14"/>
        <v>-1.1122393323278743</v>
      </c>
      <c r="Q60" s="65">
        <f t="shared" si="23"/>
        <v>-59.569446794190583</v>
      </c>
      <c r="R60" s="64">
        <f t="shared" si="16"/>
        <v>83.671257219354317</v>
      </c>
      <c r="S60" s="59">
        <f t="shared" si="17"/>
        <v>6.3287427806456833</v>
      </c>
      <c r="T60" s="58">
        <f t="shared" si="24"/>
        <v>-67.221845633566559</v>
      </c>
      <c r="U60" s="69"/>
      <c r="W60" s="74"/>
      <c r="X60" s="74"/>
      <c r="Y60" s="74"/>
      <c r="Z60" s="74"/>
      <c r="AA60" s="74"/>
      <c r="AB60" s="74"/>
      <c r="AC60" s="74"/>
    </row>
    <row r="61" spans="1:29" x14ac:dyDescent="0.2">
      <c r="A61" s="67">
        <v>-69</v>
      </c>
      <c r="B61" s="66">
        <f t="shared" si="0"/>
        <v>-1.2042771838760873</v>
      </c>
      <c r="C61" s="64">
        <f t="shared" si="1"/>
        <v>59.444860555022338</v>
      </c>
      <c r="D61" s="64">
        <f t="shared" si="2"/>
        <v>30.555139444977662</v>
      </c>
      <c r="E61" s="65">
        <f t="shared" si="19"/>
        <v>-95.967472641972577</v>
      </c>
      <c r="F61" s="64">
        <f t="shared" si="4"/>
        <v>66.493053284325256</v>
      </c>
      <c r="G61" s="64">
        <f t="shared" si="5"/>
        <v>23.506946715674744</v>
      </c>
      <c r="H61" s="65">
        <f t="shared" si="20"/>
        <v>-85.433340798655991</v>
      </c>
      <c r="I61" s="64">
        <f t="shared" si="7"/>
        <v>74.174519992920935</v>
      </c>
      <c r="J61" s="64">
        <f t="shared" si="8"/>
        <v>15.825480007079065</v>
      </c>
      <c r="K61" s="65">
        <f t="shared" si="21"/>
        <v>-76.01527070605384</v>
      </c>
      <c r="L61" s="64">
        <f t="shared" si="10"/>
        <v>82.231233098017583</v>
      </c>
      <c r="M61" s="64">
        <f t="shared" si="11"/>
        <v>7.768766901982417</v>
      </c>
      <c r="N61" s="65">
        <f t="shared" si="22"/>
        <v>-67.304469100664434</v>
      </c>
      <c r="O61" s="64">
        <f t="shared" si="13"/>
        <v>90.458271237018792</v>
      </c>
      <c r="P61" s="64">
        <f t="shared" si="14"/>
        <v>-0.45827123701879202</v>
      </c>
      <c r="Q61" s="65">
        <f t="shared" si="23"/>
        <v>-58.925986229878234</v>
      </c>
      <c r="R61" s="64">
        <f t="shared" si="16"/>
        <v>82.971405039993769</v>
      </c>
      <c r="S61" s="59">
        <f t="shared" si="17"/>
        <v>7.028594960006231</v>
      </c>
      <c r="T61" s="58">
        <f t="shared" si="24"/>
        <v>-66.538063082677809</v>
      </c>
      <c r="U61" s="69"/>
      <c r="V61" s="53"/>
      <c r="Y61" s="50"/>
      <c r="AA61" s="50"/>
      <c r="AC61" s="50"/>
    </row>
    <row r="62" spans="1:29" x14ac:dyDescent="0.2">
      <c r="A62" s="67">
        <v>-68</v>
      </c>
      <c r="B62" s="66">
        <f t="shared" si="0"/>
        <v>-1.1868238913561442</v>
      </c>
      <c r="C62" s="64">
        <f t="shared" si="1"/>
        <v>58.687609323917869</v>
      </c>
      <c r="D62" s="64">
        <f t="shared" si="2"/>
        <v>31.312390676082131</v>
      </c>
      <c r="E62" s="65">
        <f t="shared" si="19"/>
        <v>-95.363700708161915</v>
      </c>
      <c r="F62" s="64">
        <f t="shared" si="4"/>
        <v>65.73487213502942</v>
      </c>
      <c r="G62" s="64">
        <f t="shared" si="5"/>
        <v>24.26512786497058</v>
      </c>
      <c r="H62" s="65">
        <f t="shared" si="20"/>
        <v>-84.755729693070563</v>
      </c>
      <c r="I62" s="64">
        <f t="shared" si="7"/>
        <v>73.437248779120836</v>
      </c>
      <c r="J62" s="64">
        <f t="shared" si="8"/>
        <v>16.562751220879164</v>
      </c>
      <c r="K62" s="65">
        <f t="shared" si="21"/>
        <v>-75.311753733958568</v>
      </c>
      <c r="L62" s="64">
        <f t="shared" si="10"/>
        <v>81.53097024725588</v>
      </c>
      <c r="M62" s="64">
        <f t="shared" si="11"/>
        <v>8.4690297527441203</v>
      </c>
      <c r="N62" s="65">
        <f t="shared" si="22"/>
        <v>-66.613185957655929</v>
      </c>
      <c r="O62" s="64">
        <f t="shared" si="13"/>
        <v>89.808729300934914</v>
      </c>
      <c r="P62" s="64">
        <f t="shared" si="14"/>
        <v>0.19127069906508609</v>
      </c>
      <c r="Q62" s="65">
        <f t="shared" si="23"/>
        <v>-58.278116219139051</v>
      </c>
      <c r="R62" s="64">
        <f t="shared" si="16"/>
        <v>82.275181298175667</v>
      </c>
      <c r="S62" s="59">
        <f t="shared" si="17"/>
        <v>7.7248187018243328</v>
      </c>
      <c r="T62" s="58">
        <f t="shared" si="24"/>
        <v>-65.849502495639001</v>
      </c>
      <c r="U62" s="69"/>
      <c r="V62" s="53"/>
      <c r="X62" s="50"/>
      <c r="Y62" s="50"/>
      <c r="Z62" s="50"/>
      <c r="AA62" s="50"/>
      <c r="AB62" s="50"/>
      <c r="AC62" s="50"/>
    </row>
    <row r="63" spans="1:29" x14ac:dyDescent="0.2">
      <c r="A63" s="67">
        <v>-67</v>
      </c>
      <c r="B63" s="66">
        <f t="shared" si="0"/>
        <v>-1.1693705988362009</v>
      </c>
      <c r="C63" s="64">
        <f t="shared" si="1"/>
        <v>57.929606437225665</v>
      </c>
      <c r="D63" s="64">
        <f t="shared" si="2"/>
        <v>32.070393562774335</v>
      </c>
      <c r="E63" s="65">
        <f t="shared" si="19"/>
        <v>-94.756345864738122</v>
      </c>
      <c r="F63" s="64">
        <f t="shared" si="4"/>
        <v>64.977516867980711</v>
      </c>
      <c r="G63" s="64">
        <f t="shared" si="5"/>
        <v>25.022483132019289</v>
      </c>
      <c r="H63" s="65">
        <f t="shared" si="20"/>
        <v>-84.072955973208508</v>
      </c>
      <c r="I63" s="64">
        <f t="shared" si="7"/>
        <v>72.702355952948565</v>
      </c>
      <c r="J63" s="64">
        <f t="shared" si="8"/>
        <v>17.297644047051435</v>
      </c>
      <c r="K63" s="65">
        <f t="shared" si="21"/>
        <v>-74.602840013478996</v>
      </c>
      <c r="L63" s="64">
        <f t="shared" si="10"/>
        <v>80.834365065343434</v>
      </c>
      <c r="M63" s="64">
        <f t="shared" si="11"/>
        <v>9.1656349346565662</v>
      </c>
      <c r="N63" s="65">
        <f t="shared" si="22"/>
        <v>-65.916879688549443</v>
      </c>
      <c r="O63" s="64">
        <f t="shared" si="13"/>
        <v>89.163727557594768</v>
      </c>
      <c r="P63" s="64">
        <f t="shared" si="14"/>
        <v>0.83627244240523169</v>
      </c>
      <c r="Q63" s="65">
        <f t="shared" si="23"/>
        <v>-57.625701493139601</v>
      </c>
      <c r="R63" s="64">
        <f t="shared" si="16"/>
        <v>81.582712707194418</v>
      </c>
      <c r="S63" s="59">
        <f t="shared" si="17"/>
        <v>8.4172872928055824</v>
      </c>
      <c r="T63" s="58">
        <f t="shared" si="24"/>
        <v>-65.155963371550371</v>
      </c>
      <c r="U63" s="69"/>
      <c r="V63" s="53"/>
      <c r="X63" s="50"/>
      <c r="Y63" s="50"/>
      <c r="Z63" s="50"/>
      <c r="AA63" s="50"/>
      <c r="AB63" s="50"/>
      <c r="AC63" s="50"/>
    </row>
    <row r="64" spans="1:29" x14ac:dyDescent="0.2">
      <c r="A64" s="67">
        <v>-66</v>
      </c>
      <c r="B64" s="66">
        <f t="shared" si="0"/>
        <v>-1.1519173063162575</v>
      </c>
      <c r="C64" s="64">
        <f t="shared" si="1"/>
        <v>57.17093271183289</v>
      </c>
      <c r="D64" s="64">
        <f t="shared" si="2"/>
        <v>32.82906728816711</v>
      </c>
      <c r="E64" s="65">
        <f t="shared" si="19"/>
        <v>-94.145100400520647</v>
      </c>
      <c r="F64" s="64">
        <f t="shared" si="4"/>
        <v>64.221101939616275</v>
      </c>
      <c r="G64" s="64">
        <f t="shared" si="5"/>
        <v>25.778898060383725</v>
      </c>
      <c r="H64" s="65">
        <f t="shared" si="20"/>
        <v>-83.384690309926242</v>
      </c>
      <c r="I64" s="64">
        <f t="shared" si="7"/>
        <v>71.969973118219485</v>
      </c>
      <c r="J64" s="64">
        <f t="shared" si="8"/>
        <v>18.030026881780515</v>
      </c>
      <c r="K64" s="65">
        <f t="shared" si="21"/>
        <v>-73.888249839272106</v>
      </c>
      <c r="L64" s="64">
        <f t="shared" si="10"/>
        <v>80.141547852313721</v>
      </c>
      <c r="M64" s="64">
        <f t="shared" si="11"/>
        <v>9.858452147686279</v>
      </c>
      <c r="N64" s="65">
        <f t="shared" si="22"/>
        <v>-65.21534282787708</v>
      </c>
      <c r="O64" s="64">
        <f t="shared" si="13"/>
        <v>88.523382143244319</v>
      </c>
      <c r="P64" s="64">
        <f t="shared" si="14"/>
        <v>1.4766178567556807</v>
      </c>
      <c r="Q64" s="65">
        <f t="shared" si="23"/>
        <v>-56.968608176445123</v>
      </c>
      <c r="R64" s="64">
        <f t="shared" si="16"/>
        <v>80.894128707124381</v>
      </c>
      <c r="S64" s="59">
        <f t="shared" si="17"/>
        <v>9.1058712928756194</v>
      </c>
      <c r="T64" s="58">
        <f t="shared" si="24"/>
        <v>-64.457245002923557</v>
      </c>
      <c r="U64" s="69"/>
      <c r="V64" s="53"/>
      <c r="X64" s="50"/>
      <c r="Y64" s="50"/>
      <c r="Z64" s="50"/>
      <c r="AA64" s="50"/>
      <c r="AB64" s="50"/>
      <c r="AC64" s="50"/>
    </row>
    <row r="65" spans="1:29" x14ac:dyDescent="0.2">
      <c r="A65" s="67">
        <v>-65</v>
      </c>
      <c r="B65" s="66">
        <f t="shared" si="0"/>
        <v>-1.1344640137963142</v>
      </c>
      <c r="C65" s="64">
        <f t="shared" si="1"/>
        <v>56.411670339050737</v>
      </c>
      <c r="D65" s="64">
        <f t="shared" si="2"/>
        <v>33.588329660949263</v>
      </c>
      <c r="E65" s="65">
        <f t="shared" si="19"/>
        <v>-93.529644261010446</v>
      </c>
      <c r="F65" s="64">
        <f t="shared" si="4"/>
        <v>63.465744735199195</v>
      </c>
      <c r="G65" s="64">
        <f t="shared" si="5"/>
        <v>26.534255264800805</v>
      </c>
      <c r="H65" s="65">
        <f t="shared" si="20"/>
        <v>-82.690593758836016</v>
      </c>
      <c r="I65" s="64">
        <f t="shared" si="7"/>
        <v>71.240235194654332</v>
      </c>
      <c r="J65" s="64">
        <f t="shared" si="8"/>
        <v>18.759764805345668</v>
      </c>
      <c r="K65" s="65">
        <f t="shared" si="21"/>
        <v>-73.167699101985633</v>
      </c>
      <c r="L65" s="64">
        <f t="shared" si="10"/>
        <v>79.452651790971046</v>
      </c>
      <c r="M65" s="64">
        <f t="shared" si="11"/>
        <v>10.547348209028954</v>
      </c>
      <c r="N65" s="65">
        <f t="shared" si="22"/>
        <v>-64.508367476409262</v>
      </c>
      <c r="O65" s="64">
        <f t="shared" si="13"/>
        <v>87.887811331838662</v>
      </c>
      <c r="P65" s="64">
        <f t="shared" si="14"/>
        <v>2.1121886681613375</v>
      </c>
      <c r="Q65" s="65">
        <f t="shared" si="23"/>
        <v>-56.306703853730937</v>
      </c>
      <c r="R65" s="64">
        <f t="shared" si="16"/>
        <v>80.209561560178471</v>
      </c>
      <c r="S65" s="59">
        <f t="shared" si="17"/>
        <v>9.7904384398215285</v>
      </c>
      <c r="T65" s="58">
        <f t="shared" si="24"/>
        <v>-63.753146505039844</v>
      </c>
      <c r="U65" s="69"/>
      <c r="V65" s="53"/>
      <c r="X65" s="50"/>
      <c r="Y65" s="50"/>
      <c r="Z65" s="50"/>
      <c r="AA65" s="50"/>
      <c r="AB65" s="50"/>
      <c r="AC65" s="50"/>
    </row>
    <row r="66" spans="1:29" x14ac:dyDescent="0.2">
      <c r="A66" s="67">
        <v>-64</v>
      </c>
      <c r="B66" s="66">
        <f t="shared" si="0"/>
        <v>-1.1170107212763709</v>
      </c>
      <c r="C66" s="64">
        <f t="shared" si="1"/>
        <v>55.651903056839686</v>
      </c>
      <c r="D66" s="64">
        <f t="shared" si="2"/>
        <v>34.348096943160314</v>
      </c>
      <c r="E66" s="65">
        <f t="shared" si="19"/>
        <v>-92.909644187470334</v>
      </c>
      <c r="F66" s="64">
        <f t="shared" si="4"/>
        <v>62.711565797522198</v>
      </c>
      <c r="G66" s="64">
        <f t="shared" si="5"/>
        <v>27.288434202477802</v>
      </c>
      <c r="H66" s="65">
        <f t="shared" si="20"/>
        <v>-81.990317254258656</v>
      </c>
      <c r="I66" s="64">
        <f t="shared" si="7"/>
        <v>70.513280600543183</v>
      </c>
      <c r="J66" s="64">
        <f t="shared" si="8"/>
        <v>19.486719399456817</v>
      </c>
      <c r="K66" s="65">
        <f t="shared" si="21"/>
        <v>-72.440899152715417</v>
      </c>
      <c r="L66" s="64">
        <f t="shared" si="10"/>
        <v>78.767813048358505</v>
      </c>
      <c r="M66" s="64">
        <f t="shared" si="11"/>
        <v>11.232186951641495</v>
      </c>
      <c r="N66" s="65">
        <f t="shared" si="22"/>
        <v>-63.795745338718902</v>
      </c>
      <c r="O66" s="64">
        <f t="shared" si="13"/>
        <v>87.25713556738404</v>
      </c>
      <c r="P66" s="64">
        <f t="shared" si="14"/>
        <v>2.7428644326159599</v>
      </c>
      <c r="Q66" s="65">
        <f t="shared" si="23"/>
        <v>-55.639857648003279</v>
      </c>
      <c r="R66" s="64">
        <f t="shared" si="16"/>
        <v>79.529146445007399</v>
      </c>
      <c r="S66" s="59">
        <f t="shared" si="17"/>
        <v>10.470853554992601</v>
      </c>
      <c r="T66" s="58">
        <f t="shared" si="24"/>
        <v>-63.043466861047094</v>
      </c>
      <c r="U66" s="69"/>
      <c r="V66" s="53"/>
      <c r="X66" s="50"/>
      <c r="Y66" s="50"/>
      <c r="Z66" s="50"/>
      <c r="AA66" s="50"/>
      <c r="AB66" s="50"/>
      <c r="AC66" s="50"/>
    </row>
    <row r="67" spans="1:29" x14ac:dyDescent="0.2">
      <c r="A67" s="67">
        <v>-63</v>
      </c>
      <c r="B67" s="66">
        <f t="shared" si="0"/>
        <v>-1.0995574287564276</v>
      </c>
      <c r="C67" s="64">
        <f t="shared" si="1"/>
        <v>54.891716333450901</v>
      </c>
      <c r="D67" s="64">
        <f t="shared" si="2"/>
        <v>35.108283666549099</v>
      </c>
      <c r="E67" s="65">
        <f t="shared" si="19"/>
        <v>-92.284752793497262</v>
      </c>
      <c r="F67" s="64">
        <f t="shared" si="4"/>
        <v>61.958689066815928</v>
      </c>
      <c r="G67" s="64">
        <f t="shared" si="5"/>
        <v>28.041310933184072</v>
      </c>
      <c r="H67" s="65">
        <f t="shared" si="20"/>
        <v>-81.283501087070206</v>
      </c>
      <c r="I67" s="64">
        <f t="shared" si="7"/>
        <v>69.789251439796615</v>
      </c>
      <c r="J67" s="64">
        <f t="shared" si="8"/>
        <v>20.210748560203385</v>
      </c>
      <c r="K67" s="65">
        <f t="shared" si="21"/>
        <v>-71.707556679869313</v>
      </c>
      <c r="L67" s="64">
        <f t="shared" si="10"/>
        <v>78.087170876232165</v>
      </c>
      <c r="M67" s="64">
        <f t="shared" si="11"/>
        <v>11.912829123767835</v>
      </c>
      <c r="N67" s="65">
        <f t="shared" si="22"/>
        <v>-63.077267777608625</v>
      </c>
      <c r="O67" s="64">
        <f t="shared" si="13"/>
        <v>86.631477493413215</v>
      </c>
      <c r="P67" s="64">
        <f t="shared" si="14"/>
        <v>3.3685225065867854</v>
      </c>
      <c r="Q67" s="65">
        <f t="shared" si="23"/>
        <v>-54.967940310547071</v>
      </c>
      <c r="R67" s="64">
        <f t="shared" si="16"/>
        <v>78.85302154969871</v>
      </c>
      <c r="S67" s="59">
        <f t="shared" si="17"/>
        <v>11.14697845030129</v>
      </c>
      <c r="T67" s="58">
        <f t="shared" si="24"/>
        <v>-62.328004983667462</v>
      </c>
      <c r="U67" s="69"/>
      <c r="V67" s="53"/>
      <c r="X67" s="50"/>
      <c r="Y67" s="50"/>
      <c r="Z67" s="50"/>
      <c r="AA67" s="50"/>
      <c r="AB67" s="50"/>
      <c r="AC67" s="50"/>
    </row>
    <row r="68" spans="1:29" x14ac:dyDescent="0.2">
      <c r="A68" s="67">
        <v>-62</v>
      </c>
      <c r="B68" s="66">
        <f t="shared" si="0"/>
        <v>-1.0821041362364843</v>
      </c>
      <c r="C68" s="64">
        <f t="shared" si="1"/>
        <v>54.131197563584635</v>
      </c>
      <c r="D68" s="64">
        <f t="shared" si="2"/>
        <v>35.868802436415365</v>
      </c>
      <c r="E68" s="65">
        <f t="shared" si="19"/>
        <v>-91.654607574068137</v>
      </c>
      <c r="F68" s="64">
        <f t="shared" si="4"/>
        <v>61.207242132589023</v>
      </c>
      <c r="G68" s="64">
        <f t="shared" si="5"/>
        <v>28.792757867410977</v>
      </c>
      <c r="H68" s="64">
        <f t="shared" si="20"/>
        <v>-80.569774366757642</v>
      </c>
      <c r="I68" s="72">
        <f t="shared" si="7"/>
        <v>69.068293693404257</v>
      </c>
      <c r="J68" s="64">
        <f t="shared" si="8"/>
        <v>20.931706306595743</v>
      </c>
      <c r="K68" s="65">
        <f t="shared" si="21"/>
        <v>-70.967373600209257</v>
      </c>
      <c r="L68" s="64">
        <f t="shared" si="10"/>
        <v>77.410867710273905</v>
      </c>
      <c r="M68" s="64">
        <f t="shared" si="11"/>
        <v>12.589132289726095</v>
      </c>
      <c r="N68" s="65">
        <f t="shared" si="22"/>
        <v>-62.352725886413772</v>
      </c>
      <c r="O68" s="64">
        <f t="shared" si="13"/>
        <v>86.010961979350725</v>
      </c>
      <c r="P68" s="64">
        <f t="shared" si="14"/>
        <v>3.989038020649275</v>
      </c>
      <c r="Q68" s="65">
        <f t="shared" si="23"/>
        <v>-54.290824322819688</v>
      </c>
      <c r="R68" s="64">
        <f t="shared" si="16"/>
        <v>78.181328163201243</v>
      </c>
      <c r="S68" s="59">
        <f t="shared" si="17"/>
        <v>11.818671836798757</v>
      </c>
      <c r="T68" s="58">
        <f t="shared" si="24"/>
        <v>-61.606559794440237</v>
      </c>
      <c r="U68" s="68"/>
      <c r="V68" s="53"/>
      <c r="X68" s="50"/>
      <c r="Y68" s="50"/>
      <c r="Z68" s="50"/>
      <c r="AA68" s="50"/>
      <c r="AB68" s="50"/>
      <c r="AC68" s="50"/>
    </row>
    <row r="69" spans="1:29" x14ac:dyDescent="0.2">
      <c r="A69" s="67">
        <v>-61</v>
      </c>
      <c r="B69" s="66">
        <f t="shared" si="0"/>
        <v>-1.064650843716541</v>
      </c>
      <c r="C69" s="64">
        <f t="shared" si="1"/>
        <v>53.370436278277054</v>
      </c>
      <c r="D69" s="64">
        <f t="shared" si="2"/>
        <v>36.629563721722946</v>
      </c>
      <c r="E69" s="65">
        <f t="shared" si="19"/>
        <v>-91.018829841617659</v>
      </c>
      <c r="F69" s="64">
        <f t="shared" si="4"/>
        <v>60.457356498156905</v>
      </c>
      <c r="G69" s="64">
        <f t="shared" si="5"/>
        <v>29.542643501843095</v>
      </c>
      <c r="H69" s="64">
        <f t="shared" si="20"/>
        <v>-79.84875446819693</v>
      </c>
      <c r="I69" s="72">
        <f t="shared" si="7"/>
        <v>68.350557415284612</v>
      </c>
      <c r="J69" s="64">
        <f t="shared" si="8"/>
        <v>21.649442584715388</v>
      </c>
      <c r="K69" s="65">
        <f t="shared" si="21"/>
        <v>-70.220046966040769</v>
      </c>
      <c r="L69" s="64">
        <f t="shared" si="10"/>
        <v>76.739049267738807</v>
      </c>
      <c r="M69" s="64">
        <f t="shared" si="11"/>
        <v>13.260950732261193</v>
      </c>
      <c r="N69" s="65">
        <f t="shared" si="22"/>
        <v>-61.621910580252461</v>
      </c>
      <c r="O69" s="64">
        <f t="shared" si="13"/>
        <v>85.395716143508054</v>
      </c>
      <c r="P69" s="64">
        <f t="shared" si="14"/>
        <v>4.6042838564919464</v>
      </c>
      <c r="Q69" s="65">
        <f t="shared" si="23"/>
        <v>-53.608384010508821</v>
      </c>
      <c r="R69" s="64">
        <f t="shared" si="16"/>
        <v>77.514210764866093</v>
      </c>
      <c r="S69" s="59">
        <f t="shared" si="17"/>
        <v>12.485789235133907</v>
      </c>
      <c r="T69" s="58">
        <f t="shared" si="24"/>
        <v>-60.878930321475195</v>
      </c>
      <c r="U69" s="66"/>
      <c r="V69" s="53"/>
      <c r="X69" s="50"/>
      <c r="Y69" s="50"/>
      <c r="Z69" s="50"/>
      <c r="AA69" s="50"/>
      <c r="AB69" s="50"/>
      <c r="AC69" s="50"/>
    </row>
    <row r="70" spans="1:29" s="54" customFormat="1" x14ac:dyDescent="0.2">
      <c r="A70" s="63">
        <v>-60</v>
      </c>
      <c r="B70" s="62">
        <f t="shared" si="0"/>
        <v>-1.0471975511965976</v>
      </c>
      <c r="C70" s="60">
        <f t="shared" si="1"/>
        <v>52.609524369849559</v>
      </c>
      <c r="D70" s="60">
        <f t="shared" si="2"/>
        <v>37.390475630150441</v>
      </c>
      <c r="E70" s="61">
        <f t="shared" si="19"/>
        <v>-90.377023583250988</v>
      </c>
      <c r="F70" s="60">
        <f t="shared" si="4"/>
        <v>59.709167858643625</v>
      </c>
      <c r="G70" s="60">
        <f t="shared" si="5"/>
        <v>30.290832141356375</v>
      </c>
      <c r="H70" s="60">
        <f t="shared" si="20"/>
        <v>-79.120046463905013</v>
      </c>
      <c r="I70" s="73">
        <f t="shared" si="7"/>
        <v>67.636196932467357</v>
      </c>
      <c r="J70" s="60">
        <f t="shared" si="8"/>
        <v>22.363803067532643</v>
      </c>
      <c r="K70" s="61">
        <f t="shared" si="21"/>
        <v>-69.465268890732489</v>
      </c>
      <c r="L70" s="60">
        <f t="shared" si="10"/>
        <v>76.071864643193535</v>
      </c>
      <c r="M70" s="60">
        <f t="shared" si="11"/>
        <v>13.928135356806465</v>
      </c>
      <c r="N70" s="61">
        <f t="shared" si="22"/>
        <v>-60.884612707352176</v>
      </c>
      <c r="O70" s="60">
        <f t="shared" si="13"/>
        <v>84.785869372432145</v>
      </c>
      <c r="P70" s="60">
        <f t="shared" si="14"/>
        <v>5.2141306275678545</v>
      </c>
      <c r="Q70" s="61">
        <f t="shared" si="23"/>
        <v>-52.92049566996748</v>
      </c>
      <c r="R70" s="60">
        <f t="shared" si="16"/>
        <v>76.85181711175774</v>
      </c>
      <c r="S70" s="59">
        <f t="shared" si="17"/>
        <v>13.14818288824226</v>
      </c>
      <c r="T70" s="58">
        <f t="shared" si="24"/>
        <v>-60.144915816739442</v>
      </c>
      <c r="U70" s="62"/>
      <c r="V70" s="56">
        <f>E70</f>
        <v>-90.377023583250988</v>
      </c>
      <c r="W70" s="55"/>
      <c r="X70" s="55"/>
      <c r="Y70" s="55"/>
      <c r="Z70" s="55"/>
      <c r="AA70" s="55">
        <f>D70</f>
        <v>37.390475630150441</v>
      </c>
      <c r="AB70" s="55"/>
      <c r="AC70" s="55"/>
    </row>
    <row r="71" spans="1:29" x14ac:dyDescent="0.2">
      <c r="A71" s="67">
        <v>-59</v>
      </c>
      <c r="B71" s="66">
        <f t="shared" si="0"/>
        <v>-1.0297442586766545</v>
      </c>
      <c r="C71" s="64">
        <f t="shared" si="1"/>
        <v>51.848556333390377</v>
      </c>
      <c r="D71" s="64">
        <f t="shared" si="2"/>
        <v>38.151443666609623</v>
      </c>
      <c r="E71" s="65">
        <f t="shared" si="19"/>
        <v>-89.728774232707508</v>
      </c>
      <c r="F71" s="64">
        <f t="shared" si="4"/>
        <v>58.962816393267886</v>
      </c>
      <c r="G71" s="64">
        <f t="shared" si="5"/>
        <v>31.037183606732114</v>
      </c>
      <c r="H71" s="64">
        <f t="shared" si="20"/>
        <v>-78.383242542797845</v>
      </c>
      <c r="I71" s="72">
        <f t="shared" si="7"/>
        <v>66.925371049501663</v>
      </c>
      <c r="J71" s="64">
        <f t="shared" si="8"/>
        <v>23.074628950498337</v>
      </c>
      <c r="K71" s="65">
        <f t="shared" si="21"/>
        <v>-68.702726494979316</v>
      </c>
      <c r="L71" s="64">
        <f t="shared" si="10"/>
        <v>75.409466401961041</v>
      </c>
      <c r="M71" s="64">
        <f t="shared" si="11"/>
        <v>14.590533598038959</v>
      </c>
      <c r="N71" s="65">
        <f t="shared" si="22"/>
        <v>-60.140623181636947</v>
      </c>
      <c r="O71" s="64">
        <f t="shared" si="13"/>
        <v>84.181553336314153</v>
      </c>
      <c r="P71" s="64">
        <f t="shared" si="14"/>
        <v>5.8184466636858474</v>
      </c>
      <c r="Q71" s="65">
        <f t="shared" si="23"/>
        <v>-52.227037707229478</v>
      </c>
      <c r="R71" s="64">
        <f t="shared" si="16"/>
        <v>76.194298323349486</v>
      </c>
      <c r="S71" s="59">
        <f t="shared" si="17"/>
        <v>13.805701676650514</v>
      </c>
      <c r="T71" s="58">
        <f t="shared" si="24"/>
        <v>-59.404315893944876</v>
      </c>
      <c r="U71" s="66"/>
      <c r="V71" s="53">
        <f>H70</f>
        <v>-79.120046463905013</v>
      </c>
      <c r="X71" s="50"/>
      <c r="Y71" s="50"/>
      <c r="Z71" s="50"/>
      <c r="AA71" s="50">
        <f>G70</f>
        <v>30.290832141356375</v>
      </c>
      <c r="AB71" s="50"/>
      <c r="AC71" s="50"/>
    </row>
    <row r="72" spans="1:29" x14ac:dyDescent="0.2">
      <c r="A72" s="67">
        <v>-58</v>
      </c>
      <c r="B72" s="66">
        <f t="shared" si="0"/>
        <v>-1.0122909661567112</v>
      </c>
      <c r="C72" s="64">
        <f t="shared" si="1"/>
        <v>51.087629526388518</v>
      </c>
      <c r="D72" s="64">
        <f t="shared" si="2"/>
        <v>38.912370473611482</v>
      </c>
      <c r="E72" s="65">
        <f t="shared" si="19"/>
        <v>-89.073647350170745</v>
      </c>
      <c r="F72" s="64">
        <f t="shared" si="4"/>
        <v>58.21844707274731</v>
      </c>
      <c r="G72" s="64">
        <f t="shared" si="5"/>
        <v>31.78155292725269</v>
      </c>
      <c r="H72" s="64">
        <f t="shared" si="20"/>
        <v>-77.637921416818216</v>
      </c>
      <c r="I72" s="72">
        <f t="shared" si="7"/>
        <v>66.218243256928574</v>
      </c>
      <c r="J72" s="64">
        <f t="shared" si="8"/>
        <v>23.781756743071426</v>
      </c>
      <c r="K72" s="65">
        <f t="shared" si="21"/>
        <v>-67.932101876469645</v>
      </c>
      <c r="L72" s="64">
        <f t="shared" si="10"/>
        <v>74.752010670842481</v>
      </c>
      <c r="M72" s="64">
        <f t="shared" si="11"/>
        <v>15.247989329157519</v>
      </c>
      <c r="N72" s="65">
        <f t="shared" si="22"/>
        <v>-59.389733137810367</v>
      </c>
      <c r="O72" s="64">
        <f t="shared" si="13"/>
        <v>83.582902000148451</v>
      </c>
      <c r="P72" s="64">
        <f t="shared" si="14"/>
        <v>6.4170979998515492</v>
      </c>
      <c r="Q72" s="65">
        <f t="shared" si="23"/>
        <v>-51.527890789793538</v>
      </c>
      <c r="R72" s="64">
        <f t="shared" si="16"/>
        <v>75.541808963176607</v>
      </c>
      <c r="S72" s="59">
        <f t="shared" si="17"/>
        <v>14.458191036823393</v>
      </c>
      <c r="T72" s="58">
        <f t="shared" si="24"/>
        <v>-58.656930688144904</v>
      </c>
      <c r="U72" s="66"/>
      <c r="V72" s="53">
        <f>K70</f>
        <v>-69.465268890732489</v>
      </c>
      <c r="X72" s="50"/>
      <c r="Y72" s="50"/>
      <c r="Z72" s="50"/>
      <c r="AA72" s="50">
        <f>J70</f>
        <v>22.363803067532643</v>
      </c>
      <c r="AB72" s="50"/>
      <c r="AC72" s="50"/>
    </row>
    <row r="73" spans="1:29" x14ac:dyDescent="0.2">
      <c r="A73" s="67">
        <v>-57</v>
      </c>
      <c r="B73" s="66">
        <f t="shared" si="0"/>
        <v>-0.99483767363676789</v>
      </c>
      <c r="C73" s="64">
        <f t="shared" si="1"/>
        <v>50.326844448307526</v>
      </c>
      <c r="D73" s="64">
        <f t="shared" si="2"/>
        <v>39.673155551692474</v>
      </c>
      <c r="E73" s="65">
        <f t="shared" si="19"/>
        <v>-88.411187202468184</v>
      </c>
      <c r="F73" s="64">
        <f t="shared" si="4"/>
        <v>57.476209982674881</v>
      </c>
      <c r="G73" s="64">
        <f t="shared" si="5"/>
        <v>32.523790017325119</v>
      </c>
      <c r="H73" s="64">
        <f t="shared" si="20"/>
        <v>-76.883647717186761</v>
      </c>
      <c r="I73" s="72">
        <f t="shared" si="7"/>
        <v>65.514981943593696</v>
      </c>
      <c r="J73" s="64">
        <f t="shared" si="8"/>
        <v>24.485018056406304</v>
      </c>
      <c r="K73" s="65">
        <f t="shared" si="21"/>
        <v>-67.153072105881947</v>
      </c>
      <c r="L73" s="64">
        <f t="shared" si="10"/>
        <v>74.09965722564138</v>
      </c>
      <c r="M73" s="64">
        <f t="shared" si="11"/>
        <v>15.90034277435862</v>
      </c>
      <c r="N73" s="65">
        <f t="shared" si="22"/>
        <v>-58.631734110216996</v>
      </c>
      <c r="O73" s="64">
        <f t="shared" si="13"/>
        <v>82.990051630316444</v>
      </c>
      <c r="P73" s="64">
        <f t="shared" si="14"/>
        <v>7.0099483696835563</v>
      </c>
      <c r="Q73" s="65">
        <f t="shared" si="23"/>
        <v>-50.822938011345904</v>
      </c>
      <c r="R73" s="64">
        <f t="shared" si="16"/>
        <v>74.894507116976584</v>
      </c>
      <c r="S73" s="59">
        <f t="shared" si="17"/>
        <v>15.105492883023416</v>
      </c>
      <c r="T73" s="58">
        <f t="shared" si="24"/>
        <v>-57.902561038183407</v>
      </c>
      <c r="U73" s="66"/>
      <c r="V73" s="53">
        <f>N70</f>
        <v>-60.884612707352176</v>
      </c>
      <c r="X73" s="50"/>
      <c r="Y73" s="50"/>
      <c r="Z73" s="50"/>
      <c r="AA73" s="50">
        <f>M70</f>
        <v>13.928135356806465</v>
      </c>
      <c r="AB73" s="50"/>
      <c r="AC73" s="50"/>
    </row>
    <row r="74" spans="1:29" x14ac:dyDescent="0.2">
      <c r="A74" s="67">
        <v>-56</v>
      </c>
      <c r="B74" s="66">
        <f t="shared" ref="B74:B137" si="25">RADIANS(A74)</f>
        <v>-0.97738438111682457</v>
      </c>
      <c r="C74" s="64">
        <f t="shared" ref="C74:C137" si="26">DEGREES(ACOS(SIN(C$5)*SIN($C$6)+COS(C$5)*COS($C$6)*COS($B74)))</f>
        <v>49.56630504207115</v>
      </c>
      <c r="D74" s="64">
        <f t="shared" ref="D74:D137" si="27">90-C74</f>
        <v>40.43369495792885</v>
      </c>
      <c r="E74" s="65">
        <f t="shared" ref="E74:E105" si="28">DEGREES(-ACOS((SIN(RADIANS(D74))*SIN($C$6)-SIN(C$5))/(COS(RADIANS(D74))*COS($C$6))))</f>
        <v>-87.740915235618701</v>
      </c>
      <c r="F74" s="64">
        <f t="shared" ref="F74:F137" si="29">DEGREES(ACOS(SIN(G$5)*SIN($C$6)+COS(G$5)*COS($C$6)*COS($B74)))</f>
        <v>56.736260663735614</v>
      </c>
      <c r="G74" s="64">
        <f t="shared" ref="G74:G137" si="30">90-F74</f>
        <v>33.263739336264386</v>
      </c>
      <c r="H74" s="64">
        <f t="shared" ref="H74:H105" si="31">DEGREES(-ACOS((SIN(RADIANS(G74))*SIN($C$6)-SIN(G$5))/(COS(RADIANS(G74))*COS($C$6))))</f>
        <v>-76.119971382483911</v>
      </c>
      <c r="I74" s="72">
        <f t="shared" ref="I74:I137" si="32">DEGREES(ACOS(SIN(J$5)*SIN($C$6)+COS(J$5)*COS($C$6)*COS($B74)))</f>
        <v>64.815760612504874</v>
      </c>
      <c r="J74" s="64">
        <f t="shared" ref="J74:J137" si="33">90-I74</f>
        <v>25.184239387495126</v>
      </c>
      <c r="K74" s="65">
        <f t="shared" ref="K74:K105" si="34">DEGREES(-ACOS((SIN(RADIANS(J74))*SIN($C$6)-SIN(J$5))/(COS(RADIANS(J74))*COS($C$6))))</f>
        <v>-66.365309252417248</v>
      </c>
      <c r="L74" s="64">
        <f t="shared" ref="L74:L137" si="35">DEGREES(ACOS(SIN(M$5)*SIN($C$6)+COS(M$5)*COS($C$6)*COS($B74)))</f>
        <v>73.452569574965295</v>
      </c>
      <c r="M74" s="64">
        <f t="shared" ref="M74:M137" si="36">90-L74</f>
        <v>16.547430425034705</v>
      </c>
      <c r="N74" s="65">
        <f t="shared" ref="N74:N105" si="37">DEGREES(-ACOS((SIN(RADIANS(M74))*SIN($C$6)-SIN(M$5))/(COS(RADIANS(M74))*COS($C$6))))</f>
        <v>-57.86641823680462</v>
      </c>
      <c r="O74" s="64">
        <f t="shared" ref="O74:O137" si="38">DEGREES(ACOS(SIN(P$5)*SIN($C$6)+COS(P$5)*COS($C$6)*COS($B74)))</f>
        <v>82.403140796253268</v>
      </c>
      <c r="P74" s="64">
        <f t="shared" ref="P74:P137" si="39">90-O74</f>
        <v>7.5968592037467317</v>
      </c>
      <c r="Q74" s="65">
        <f t="shared" ref="Q74:Q105" si="40">DEGREES(-ACOS((SIN(RADIANS(P74))*SIN($C$6)-SIN(P$5))/(COS(RADIANS(P74))*COS($C$6))))</f>
        <v>-50.112065069565197</v>
      </c>
      <c r="R74" s="64">
        <f t="shared" ref="R74:R137" si="41">DEGREES(ACOS(SIN(S$5)*SIN($C$6)+COS(S$5)*COS($C$6)*COS($B74)))</f>
        <v>74.252554466800163</v>
      </c>
      <c r="S74" s="59">
        <f t="shared" ref="S74:S137" si="42">90-R74</f>
        <v>15.747445533199837</v>
      </c>
      <c r="T74" s="58">
        <f t="shared" ref="T74:T105" si="43">DEGREES(-ACOS((SIN(RADIANS(S74))*SIN($C$6)-SIN(S$5))/(COS(RADIANS(S74))*COS($C$6))))</f>
        <v>-57.141008693167635</v>
      </c>
      <c r="U74" s="66"/>
      <c r="V74" s="53">
        <f>Q70</f>
        <v>-52.92049566996748</v>
      </c>
      <c r="X74" s="50"/>
      <c r="Y74" s="50"/>
      <c r="Z74" s="50"/>
      <c r="AA74" s="50">
        <f>P70</f>
        <v>5.2141306275678545</v>
      </c>
      <c r="AB74" s="50"/>
      <c r="AC74" s="50"/>
    </row>
    <row r="75" spans="1:29" x14ac:dyDescent="0.2">
      <c r="A75" s="67">
        <v>-55</v>
      </c>
      <c r="B75" s="66">
        <f t="shared" si="25"/>
        <v>-0.95993108859688125</v>
      </c>
      <c r="C75" s="64">
        <f t="shared" si="26"/>
        <v>48.806119019638231</v>
      </c>
      <c r="D75" s="64">
        <f t="shared" si="27"/>
        <v>41.193880980361769</v>
      </c>
      <c r="E75" s="65">
        <f t="shared" si="28"/>
        <v>-87.062328431072615</v>
      </c>
      <c r="F75" s="64">
        <f t="shared" si="29"/>
        <v>55.998760469639727</v>
      </c>
      <c r="G75" s="64">
        <f t="shared" si="30"/>
        <v>34.001239530360273</v>
      </c>
      <c r="H75" s="64">
        <f t="shared" si="31"/>
        <v>-75.346427041301126</v>
      </c>
      <c r="I75" s="72">
        <f t="shared" si="32"/>
        <v>64.120758099860794</v>
      </c>
      <c r="J75" s="64">
        <f t="shared" si="33"/>
        <v>25.879241900139206</v>
      </c>
      <c r="K75" s="65">
        <f t="shared" si="34"/>
        <v>-65.568480442373186</v>
      </c>
      <c r="L75" s="64">
        <f t="shared" si="35"/>
        <v>72.810915039729508</v>
      </c>
      <c r="M75" s="64">
        <f t="shared" si="36"/>
        <v>17.189084960270492</v>
      </c>
      <c r="N75" s="65">
        <f t="shared" si="37"/>
        <v>-57.09357848954371</v>
      </c>
      <c r="O75" s="64">
        <f t="shared" si="38"/>
        <v>81.822310366840696</v>
      </c>
      <c r="P75" s="64">
        <f t="shared" si="39"/>
        <v>8.1776896331593036</v>
      </c>
      <c r="Q75" s="65">
        <f t="shared" si="40"/>
        <v>-49.395160457122799</v>
      </c>
      <c r="R75" s="64">
        <f t="shared" si="41"/>
        <v>73.616116360530071</v>
      </c>
      <c r="S75" s="59">
        <f t="shared" si="42"/>
        <v>16.383883639469929</v>
      </c>
      <c r="T75" s="58">
        <f t="shared" si="43"/>
        <v>-56.372076544158723</v>
      </c>
      <c r="U75" s="66"/>
      <c r="V75" s="53"/>
      <c r="X75" s="50"/>
      <c r="Y75" s="50"/>
      <c r="Z75" s="50"/>
      <c r="AA75" s="50"/>
      <c r="AB75" s="50"/>
      <c r="AC75" s="50"/>
    </row>
    <row r="76" spans="1:29" x14ac:dyDescent="0.2">
      <c r="A76" s="67">
        <v>-54</v>
      </c>
      <c r="B76" s="66">
        <f t="shared" si="25"/>
        <v>-0.94247779607693793</v>
      </c>
      <c r="C76" s="64">
        <f t="shared" si="26"/>
        <v>48.046398214072568</v>
      </c>
      <c r="D76" s="64">
        <f t="shared" si="27"/>
        <v>41.953601785927432</v>
      </c>
      <c r="E76" s="65">
        <f t="shared" si="28"/>
        <v>-86.374897536349408</v>
      </c>
      <c r="F76" s="64">
        <f t="shared" si="29"/>
        <v>55.263876943648718</v>
      </c>
      <c r="G76" s="64">
        <f t="shared" si="30"/>
        <v>34.736123056351282</v>
      </c>
      <c r="H76" s="64">
        <f t="shared" si="31"/>
        <v>-74.56253339281615</v>
      </c>
      <c r="I76" s="72">
        <f t="shared" si="32"/>
        <v>63.430158796786031</v>
      </c>
      <c r="J76" s="64">
        <f t="shared" si="33"/>
        <v>26.569841203213969</v>
      </c>
      <c r="K76" s="65">
        <f t="shared" si="34"/>
        <v>-64.762247954579621</v>
      </c>
      <c r="L76" s="64">
        <f t="shared" si="35"/>
        <v>72.17486482773306</v>
      </c>
      <c r="M76" s="64">
        <f t="shared" si="36"/>
        <v>17.82513517226694</v>
      </c>
      <c r="N76" s="65">
        <f t="shared" si="37"/>
        <v>-56.313008932684987</v>
      </c>
      <c r="O76" s="64">
        <f t="shared" si="38"/>
        <v>81.247703501154916</v>
      </c>
      <c r="P76" s="64">
        <f t="shared" si="39"/>
        <v>8.7522964988450838</v>
      </c>
      <c r="Q76" s="65">
        <f t="shared" si="40"/>
        <v>-48.672115665955133</v>
      </c>
      <c r="R76" s="64">
        <f t="shared" si="41"/>
        <v>72.985361876194048</v>
      </c>
      <c r="S76" s="59">
        <f t="shared" si="42"/>
        <v>17.014638123805952</v>
      </c>
      <c r="T76" s="58">
        <f t="shared" si="43"/>
        <v>-55.595568882284219</v>
      </c>
      <c r="U76" s="66"/>
      <c r="V76" s="53"/>
      <c r="X76" s="50"/>
      <c r="Y76" s="50"/>
      <c r="Z76" s="50"/>
      <c r="AA76" s="50"/>
      <c r="AB76" s="50"/>
      <c r="AC76" s="50"/>
    </row>
    <row r="77" spans="1:29" x14ac:dyDescent="0.2">
      <c r="A77" s="67">
        <v>-53</v>
      </c>
      <c r="B77" s="66">
        <f t="shared" si="25"/>
        <v>-0.92502450355699462</v>
      </c>
      <c r="C77" s="64">
        <f t="shared" si="26"/>
        <v>47.287258960764127</v>
      </c>
      <c r="D77" s="64">
        <f t="shared" si="27"/>
        <v>42.712741039235873</v>
      </c>
      <c r="E77" s="65">
        <f t="shared" si="28"/>
        <v>-85.678065160117939</v>
      </c>
      <c r="F77" s="64">
        <f t="shared" si="29"/>
        <v>54.53178421455948</v>
      </c>
      <c r="G77" s="64">
        <f t="shared" si="30"/>
        <v>35.46821578544052</v>
      </c>
      <c r="H77" s="64">
        <f t="shared" si="31"/>
        <v>-73.767792589358109</v>
      </c>
      <c r="I77" s="72">
        <f t="shared" si="32"/>
        <v>62.744152873207746</v>
      </c>
      <c r="J77" s="64">
        <f t="shared" si="33"/>
        <v>27.255847126792254</v>
      </c>
      <c r="K77" s="65">
        <f t="shared" si="34"/>
        <v>-63.946269356844923</v>
      </c>
      <c r="L77" s="64">
        <f t="shared" si="35"/>
        <v>71.544594102621687</v>
      </c>
      <c r="M77" s="64">
        <f t="shared" si="36"/>
        <v>18.455405897378313</v>
      </c>
      <c r="N77" s="65">
        <f t="shared" si="37"/>
        <v>-55.524505010249449</v>
      </c>
      <c r="O77" s="64">
        <f t="shared" si="38"/>
        <v>80.679465633184378</v>
      </c>
      <c r="P77" s="64">
        <f t="shared" si="39"/>
        <v>9.3205343668156218</v>
      </c>
      <c r="Q77" s="65">
        <f t="shared" si="40"/>
        <v>-47.942825404839517</v>
      </c>
      <c r="R77" s="64">
        <f t="shared" si="41"/>
        <v>72.360463880408247</v>
      </c>
      <c r="S77" s="59">
        <f t="shared" si="42"/>
        <v>17.639536119591753</v>
      </c>
      <c r="T77" s="58">
        <f t="shared" si="43"/>
        <v>-54.811291684478974</v>
      </c>
      <c r="U77" s="66"/>
      <c r="V77" s="53"/>
      <c r="X77" s="50"/>
      <c r="Y77" s="50"/>
      <c r="Z77" s="50"/>
      <c r="AA77" s="50"/>
      <c r="AB77" s="50"/>
      <c r="AC77" s="50"/>
    </row>
    <row r="78" spans="1:29" x14ac:dyDescent="0.2">
      <c r="A78" s="67">
        <v>-52</v>
      </c>
      <c r="B78" s="66">
        <f t="shared" si="25"/>
        <v>-0.90757121103705141</v>
      </c>
      <c r="C78" s="64">
        <f t="shared" si="26"/>
        <v>46.528822510739239</v>
      </c>
      <c r="D78" s="64">
        <f t="shared" si="27"/>
        <v>43.471177489260761</v>
      </c>
      <c r="E78" s="65">
        <f t="shared" si="28"/>
        <v>-84.971243721094154</v>
      </c>
      <c r="F78" s="64">
        <f t="shared" si="29"/>
        <v>53.802663412989205</v>
      </c>
      <c r="G78" s="64">
        <f t="shared" si="30"/>
        <v>36.197336587010795</v>
      </c>
      <c r="H78" s="64">
        <f t="shared" si="31"/>
        <v>-72.961689625851491</v>
      </c>
      <c r="I78" s="72">
        <f t="shared" si="32"/>
        <v>62.062936503197619</v>
      </c>
      <c r="J78" s="64">
        <f t="shared" si="33"/>
        <v>27.937063496802381</v>
      </c>
      <c r="K78" s="65">
        <f t="shared" si="34"/>
        <v>-63.120197687905922</v>
      </c>
      <c r="L78" s="64">
        <f t="shared" si="35"/>
        <v>70.920282046494407</v>
      </c>
      <c r="M78" s="64">
        <f t="shared" si="36"/>
        <v>19.079717953505593</v>
      </c>
      <c r="N78" s="65">
        <f t="shared" si="37"/>
        <v>-54.727863864147388</v>
      </c>
      <c r="O78" s="64">
        <f t="shared" si="38"/>
        <v>80.117744450120654</v>
      </c>
      <c r="P78" s="64">
        <f t="shared" si="39"/>
        <v>9.8822555498793463</v>
      </c>
      <c r="Q78" s="65">
        <f t="shared" si="40"/>
        <v>-47.207187830255577</v>
      </c>
      <c r="R78" s="64">
        <f t="shared" si="41"/>
        <v>71.741599080234565</v>
      </c>
      <c r="S78" s="59">
        <f t="shared" si="42"/>
        <v>18.258400919765435</v>
      </c>
      <c r="T78" s="58">
        <f t="shared" si="43"/>
        <v>-54.019052928049192</v>
      </c>
      <c r="U78" s="66"/>
      <c r="V78" s="53"/>
      <c r="X78" s="50"/>
      <c r="Y78" s="50"/>
      <c r="Z78" s="50"/>
      <c r="AA78" s="50"/>
      <c r="AB78" s="50"/>
      <c r="AC78" s="50"/>
    </row>
    <row r="79" spans="1:29" x14ac:dyDescent="0.2">
      <c r="A79" s="67">
        <v>-51</v>
      </c>
      <c r="B79" s="66">
        <f t="shared" si="25"/>
        <v>-0.89011791851710809</v>
      </c>
      <c r="C79" s="64">
        <f t="shared" si="26"/>
        <v>45.771215479304971</v>
      </c>
      <c r="D79" s="64">
        <f t="shared" si="27"/>
        <v>44.228784520695029</v>
      </c>
      <c r="E79" s="65">
        <f t="shared" si="28"/>
        <v>-84.253813239459788</v>
      </c>
      <c r="F79" s="64">
        <f t="shared" si="29"/>
        <v>53.076703108764313</v>
      </c>
      <c r="G79" s="64">
        <f t="shared" si="30"/>
        <v>36.923296891235687</v>
      </c>
      <c r="H79" s="64">
        <f t="shared" si="31"/>
        <v>-72.143691741972219</v>
      </c>
      <c r="I79" s="72">
        <f t="shared" si="32"/>
        <v>61.386712090976907</v>
      </c>
      <c r="J79" s="64">
        <f t="shared" si="33"/>
        <v>28.613287909023093</v>
      </c>
      <c r="K79" s="65">
        <f t="shared" si="34"/>
        <v>-62.283681689726301</v>
      </c>
      <c r="L79" s="64">
        <f t="shared" si="35"/>
        <v>70.302111915350125</v>
      </c>
      <c r="M79" s="64">
        <f t="shared" si="36"/>
        <v>19.697888084649875</v>
      </c>
      <c r="N79" s="65">
        <f t="shared" si="37"/>
        <v>-53.922884684308528</v>
      </c>
      <c r="O79" s="64">
        <f t="shared" si="38"/>
        <v>79.562689863813887</v>
      </c>
      <c r="P79" s="64">
        <f t="shared" si="39"/>
        <v>10.437310136186113</v>
      </c>
      <c r="Q79" s="65">
        <f t="shared" si="40"/>
        <v>-46.465104790454376</v>
      </c>
      <c r="R79" s="64">
        <f t="shared" si="41"/>
        <v>71.128948067681222</v>
      </c>
      <c r="S79" s="59">
        <f t="shared" si="42"/>
        <v>18.871051932318778</v>
      </c>
      <c r="T79" s="58">
        <f t="shared" si="43"/>
        <v>-53.218662935227869</v>
      </c>
      <c r="U79" s="66"/>
      <c r="V79" s="53"/>
      <c r="X79" s="50"/>
      <c r="Y79" s="50"/>
      <c r="Z79" s="50"/>
      <c r="AA79" s="50"/>
      <c r="AB79" s="50"/>
      <c r="AC79" s="50"/>
    </row>
    <row r="80" spans="1:29" x14ac:dyDescent="0.2">
      <c r="A80" s="67">
        <v>-50</v>
      </c>
      <c r="B80" s="66">
        <f t="shared" si="25"/>
        <v>-0.87266462599716477</v>
      </c>
      <c r="C80" s="64">
        <f t="shared" si="26"/>
        <v>45.01457033361622</v>
      </c>
      <c r="D80" s="64">
        <f t="shared" si="27"/>
        <v>44.98542966638378</v>
      </c>
      <c r="E80" s="65">
        <f t="shared" si="28"/>
        <v>-83.52511895885236</v>
      </c>
      <c r="F80" s="64">
        <f t="shared" si="29"/>
        <v>52.354099770159138</v>
      </c>
      <c r="G80" s="64">
        <f t="shared" si="30"/>
        <v>37.645900229840862</v>
      </c>
      <c r="H80" s="64">
        <f t="shared" si="31"/>
        <v>-71.313247843932487</v>
      </c>
      <c r="I80" s="72">
        <f t="shared" si="32"/>
        <v>60.715688496645129</v>
      </c>
      <c r="J80" s="64">
        <f t="shared" si="33"/>
        <v>29.284311503354871</v>
      </c>
      <c r="K80" s="65">
        <f t="shared" si="34"/>
        <v>-61.436366095350223</v>
      </c>
      <c r="L80" s="64">
        <f t="shared" si="35"/>
        <v>69.69027108651062</v>
      </c>
      <c r="M80" s="64">
        <f t="shared" si="36"/>
        <v>20.30972891348938</v>
      </c>
      <c r="N80" s="65">
        <f t="shared" si="37"/>
        <v>-53.109369092176252</v>
      </c>
      <c r="O80" s="64">
        <f t="shared" si="38"/>
        <v>79.014453974976021</v>
      </c>
      <c r="P80" s="64">
        <f t="shared" si="39"/>
        <v>10.985546025023979</v>
      </c>
      <c r="Q80" s="65">
        <f t="shared" si="40"/>
        <v>-45.716482082593124</v>
      </c>
      <c r="R80" s="64">
        <f t="shared" si="41"/>
        <v>70.522695356022297</v>
      </c>
      <c r="S80" s="59">
        <f t="shared" si="42"/>
        <v>19.477304643977703</v>
      </c>
      <c r="T80" s="58">
        <f t="shared" si="43"/>
        <v>-52.40993474884894</v>
      </c>
      <c r="U80" s="66"/>
      <c r="V80" s="53"/>
      <c r="X80" s="50"/>
      <c r="Y80" s="50"/>
      <c r="Z80" s="50"/>
      <c r="AA80" s="50"/>
      <c r="AB80" s="50"/>
      <c r="AC80" s="50"/>
    </row>
    <row r="81" spans="1:29" x14ac:dyDescent="0.2">
      <c r="A81" s="67">
        <v>-49</v>
      </c>
      <c r="B81" s="66">
        <f t="shared" si="25"/>
        <v>-0.85521133347722145</v>
      </c>
      <c r="C81" s="64">
        <f t="shared" si="26"/>
        <v>44.259025923130331</v>
      </c>
      <c r="D81" s="64">
        <f t="shared" si="27"/>
        <v>45.740974076869669</v>
      </c>
      <c r="E81" s="65">
        <f t="shared" si="28"/>
        <v>-82.78446878636214</v>
      </c>
      <c r="F81" s="64">
        <f t="shared" si="29"/>
        <v>51.635058245649354</v>
      </c>
      <c r="G81" s="64">
        <f t="shared" si="30"/>
        <v>38.364941754350646</v>
      </c>
      <c r="H81" s="64">
        <f t="shared" si="31"/>
        <v>-70.469787954047163</v>
      </c>
      <c r="I81" s="72">
        <f t="shared" si="32"/>
        <v>60.050081260539812</v>
      </c>
      <c r="J81" s="64">
        <f t="shared" si="33"/>
        <v>29.949918739460188</v>
      </c>
      <c r="K81" s="65">
        <f t="shared" si="34"/>
        <v>-60.577891977881563</v>
      </c>
      <c r="L81" s="64">
        <f t="shared" si="35"/>
        <v>69.084951097093338</v>
      </c>
      <c r="M81" s="64">
        <f t="shared" si="36"/>
        <v>20.915048902906662</v>
      </c>
      <c r="N81" s="65">
        <f t="shared" si="37"/>
        <v>-52.2871215588684</v>
      </c>
      <c r="O81" s="64">
        <f t="shared" si="38"/>
        <v>78.473191029706385</v>
      </c>
      <c r="P81" s="64">
        <f t="shared" si="39"/>
        <v>11.526808970293615</v>
      </c>
      <c r="Q81" s="65">
        <f t="shared" si="40"/>
        <v>-44.961229722717434</v>
      </c>
      <c r="R81" s="64">
        <f t="shared" si="41"/>
        <v>69.923029407056049</v>
      </c>
      <c r="S81" s="59">
        <f t="shared" si="42"/>
        <v>20.076970592943951</v>
      </c>
      <c r="T81" s="58">
        <f t="shared" si="43"/>
        <v>-51.5926845402049</v>
      </c>
      <c r="U81" s="66"/>
      <c r="V81" s="53"/>
      <c r="X81" s="50"/>
      <c r="Y81" s="50"/>
      <c r="Z81" s="50"/>
      <c r="AA81" s="50"/>
      <c r="AB81" s="50"/>
      <c r="AC81" s="50"/>
    </row>
    <row r="82" spans="1:29" x14ac:dyDescent="0.2">
      <c r="A82" s="67">
        <v>-48</v>
      </c>
      <c r="B82" s="66">
        <f t="shared" si="25"/>
        <v>-0.83775804095727824</v>
      </c>
      <c r="C82" s="64">
        <f t="shared" si="26"/>
        <v>43.504728057331292</v>
      </c>
      <c r="D82" s="64">
        <f t="shared" si="27"/>
        <v>46.495271942668708</v>
      </c>
      <c r="E82" s="65">
        <f t="shared" si="28"/>
        <v>-82.031130537426307</v>
      </c>
      <c r="F82" s="64">
        <f t="shared" si="29"/>
        <v>50.919792268736963</v>
      </c>
      <c r="G82" s="64">
        <f t="shared" si="30"/>
        <v>39.080207731263037</v>
      </c>
      <c r="H82" s="64">
        <f t="shared" si="31"/>
        <v>-69.612722697643434</v>
      </c>
      <c r="I82" s="72">
        <f t="shared" si="32"/>
        <v>59.390112824966835</v>
      </c>
      <c r="J82" s="64">
        <f t="shared" si="33"/>
        <v>30.609887175033165</v>
      </c>
      <c r="K82" s="65">
        <f t="shared" si="34"/>
        <v>-59.707897166520169</v>
      </c>
      <c r="L82" s="64">
        <f t="shared" si="35"/>
        <v>68.486347672545236</v>
      </c>
      <c r="M82" s="64">
        <f t="shared" si="36"/>
        <v>21.513652327454764</v>
      </c>
      <c r="N82" s="65">
        <f t="shared" si="37"/>
        <v>-51.455949859235574</v>
      </c>
      <c r="O82" s="64">
        <f t="shared" si="38"/>
        <v>77.939057367910223</v>
      </c>
      <c r="P82" s="64">
        <f t="shared" si="39"/>
        <v>12.060942632089777</v>
      </c>
      <c r="Q82" s="65">
        <f t="shared" si="40"/>
        <v>-44.199262228292064</v>
      </c>
      <c r="R82" s="64">
        <f t="shared" si="41"/>
        <v>69.330142648368408</v>
      </c>
      <c r="S82" s="59">
        <f t="shared" si="42"/>
        <v>20.669857351631592</v>
      </c>
      <c r="T82" s="58">
        <f t="shared" si="43"/>
        <v>-50.766732050072108</v>
      </c>
      <c r="U82" s="66"/>
      <c r="V82" s="53"/>
      <c r="X82" s="50"/>
      <c r="Y82" s="50"/>
      <c r="Z82" s="50"/>
      <c r="AA82" s="50"/>
      <c r="AB82" s="50"/>
      <c r="AC82" s="50"/>
    </row>
    <row r="83" spans="1:29" x14ac:dyDescent="0.2">
      <c r="A83" s="67">
        <v>-47</v>
      </c>
      <c r="B83" s="66">
        <f t="shared" si="25"/>
        <v>-0.82030474843733492</v>
      </c>
      <c r="C83" s="64">
        <f t="shared" si="26"/>
        <v>42.751830135562635</v>
      </c>
      <c r="D83" s="64">
        <f t="shared" si="27"/>
        <v>47.248169864437365</v>
      </c>
      <c r="E83" s="65">
        <f t="shared" si="28"/>
        <v>-81.264328972071112</v>
      </c>
      <c r="F83" s="64">
        <f t="shared" si="29"/>
        <v>50.208524986262724</v>
      </c>
      <c r="G83" s="64">
        <f t="shared" si="30"/>
        <v>39.791475013737276</v>
      </c>
      <c r="H83" s="64">
        <f t="shared" si="31"/>
        <v>-68.741442838470093</v>
      </c>
      <c r="I83" s="72">
        <f t="shared" si="32"/>
        <v>58.736012751857828</v>
      </c>
      <c r="J83" s="64">
        <f t="shared" si="33"/>
        <v>31.263987248142172</v>
      </c>
      <c r="K83" s="65">
        <f t="shared" si="34"/>
        <v>-58.826016735940712</v>
      </c>
      <c r="L83" s="64">
        <f t="shared" si="35"/>
        <v>67.894660744187036</v>
      </c>
      <c r="M83" s="64">
        <f t="shared" si="36"/>
        <v>22.105339255812964</v>
      </c>
      <c r="N83" s="65">
        <f t="shared" si="37"/>
        <v>-50.615665562951605</v>
      </c>
      <c r="O83" s="64">
        <f t="shared" si="38"/>
        <v>77.412211363177818</v>
      </c>
      <c r="P83" s="64">
        <f t="shared" si="39"/>
        <v>12.587788636822182</v>
      </c>
      <c r="Q83" s="65">
        <f t="shared" si="40"/>
        <v>-43.430498912889846</v>
      </c>
      <c r="R83" s="64">
        <f t="shared" si="41"/>
        <v>68.744231479612921</v>
      </c>
      <c r="S83" s="59">
        <f t="shared" si="42"/>
        <v>21.255768520387079</v>
      </c>
      <c r="T83" s="58">
        <f t="shared" si="43"/>
        <v>-49.931901063781652</v>
      </c>
      <c r="U83" s="66"/>
      <c r="V83" s="53"/>
      <c r="X83" s="50"/>
      <c r="Y83" s="50"/>
      <c r="Z83" s="50"/>
      <c r="AA83" s="50"/>
      <c r="AB83" s="50"/>
      <c r="AC83" s="50"/>
    </row>
    <row r="84" spans="1:29" x14ac:dyDescent="0.2">
      <c r="A84" s="67">
        <v>-46</v>
      </c>
      <c r="B84" s="66">
        <f t="shared" si="25"/>
        <v>-0.8028514559173916</v>
      </c>
      <c r="C84" s="64">
        <f t="shared" si="26"/>
        <v>42.000493834310348</v>
      </c>
      <c r="D84" s="64">
        <f t="shared" si="27"/>
        <v>47.999506165689652</v>
      </c>
      <c r="E84" s="65">
        <f t="shared" si="28"/>
        <v>-80.48324260867372</v>
      </c>
      <c r="F84" s="64">
        <f t="shared" si="29"/>
        <v>49.501489510442546</v>
      </c>
      <c r="G84" s="64">
        <f t="shared" si="30"/>
        <v>40.498510489557454</v>
      </c>
      <c r="H84" s="64">
        <f t="shared" si="31"/>
        <v>-67.855318875567022</v>
      </c>
      <c r="I84" s="72">
        <f t="shared" si="32"/>
        <v>58.088017934710336</v>
      </c>
      <c r="J84" s="64">
        <f t="shared" si="33"/>
        <v>31.911982065289664</v>
      </c>
      <c r="K84" s="65">
        <f t="shared" si="34"/>
        <v>-57.931883575634238</v>
      </c>
      <c r="L84" s="64">
        <f t="shared" si="35"/>
        <v>67.310094454655243</v>
      </c>
      <c r="M84" s="64">
        <f t="shared" si="36"/>
        <v>22.689905545344757</v>
      </c>
      <c r="N84" s="65">
        <f t="shared" si="37"/>
        <v>-49.766084563645563</v>
      </c>
      <c r="O84" s="64">
        <f t="shared" si="38"/>
        <v>76.892813353691523</v>
      </c>
      <c r="P84" s="64">
        <f t="shared" si="39"/>
        <v>13.107186646308477</v>
      </c>
      <c r="Q84" s="65">
        <f t="shared" si="40"/>
        <v>-42.654864192548267</v>
      </c>
      <c r="R84" s="64">
        <f t="shared" si="41"/>
        <v>68.16549626676705</v>
      </c>
      <c r="S84" s="59">
        <f t="shared" si="42"/>
        <v>21.83450373323295</v>
      </c>
      <c r="T84" s="58">
        <f t="shared" si="43"/>
        <v>-49.088019921082811</v>
      </c>
      <c r="U84" s="66"/>
      <c r="V84" s="53"/>
      <c r="X84" s="50"/>
      <c r="Y84" s="50"/>
      <c r="Z84" s="50"/>
      <c r="AA84" s="50"/>
      <c r="AB84" s="50"/>
      <c r="AC84" s="50"/>
    </row>
    <row r="85" spans="1:29" s="54" customFormat="1" x14ac:dyDescent="0.2">
      <c r="A85" s="63">
        <v>-45</v>
      </c>
      <c r="B85" s="62">
        <f t="shared" si="25"/>
        <v>-0.78539816339744828</v>
      </c>
      <c r="C85" s="60">
        <f t="shared" si="26"/>
        <v>41.250889857826117</v>
      </c>
      <c r="D85" s="60">
        <f t="shared" si="27"/>
        <v>48.749110142173883</v>
      </c>
      <c r="E85" s="61">
        <f t="shared" si="28"/>
        <v>-79.687000301357344</v>
      </c>
      <c r="F85" s="60">
        <f t="shared" si="29"/>
        <v>48.79892949463926</v>
      </c>
      <c r="G85" s="60">
        <f t="shared" si="30"/>
        <v>41.20107050536074</v>
      </c>
      <c r="H85" s="60">
        <f t="shared" si="31"/>
        <v>-66.953700716581693</v>
      </c>
      <c r="I85" s="73">
        <f t="shared" si="32"/>
        <v>57.446372802950606</v>
      </c>
      <c r="J85" s="60">
        <f t="shared" si="33"/>
        <v>32.553627197049394</v>
      </c>
      <c r="K85" s="61">
        <f t="shared" si="34"/>
        <v>-57.025129046143419</v>
      </c>
      <c r="L85" s="60">
        <f t="shared" si="35"/>
        <v>66.732857150070672</v>
      </c>
      <c r="M85" s="60">
        <f t="shared" si="36"/>
        <v>23.267142849929328</v>
      </c>
      <c r="N85" s="61">
        <f t="shared" si="37"/>
        <v>-48.907027646930629</v>
      </c>
      <c r="O85" s="60">
        <f t="shared" si="38"/>
        <v>76.381025563733289</v>
      </c>
      <c r="P85" s="60">
        <f t="shared" si="39"/>
        <v>13.618974436266711</v>
      </c>
      <c r="Q85" s="61">
        <f t="shared" si="40"/>
        <v>-41.872287903197325</v>
      </c>
      <c r="R85" s="60">
        <f t="shared" si="41"/>
        <v>67.594141323274513</v>
      </c>
      <c r="S85" s="59">
        <f t="shared" si="42"/>
        <v>22.405858676725487</v>
      </c>
      <c r="T85" s="58">
        <f t="shared" si="43"/>
        <v>-48.234922061387287</v>
      </c>
      <c r="U85" s="62"/>
      <c r="V85" s="56">
        <f>E85</f>
        <v>-79.687000301357344</v>
      </c>
      <c r="W85" s="55"/>
      <c r="X85" s="55"/>
      <c r="Y85" s="55"/>
      <c r="Z85" s="55"/>
      <c r="AA85" s="55"/>
      <c r="AB85" s="55">
        <f>D85</f>
        <v>48.749110142173883</v>
      </c>
      <c r="AC85" s="55"/>
    </row>
    <row r="86" spans="1:29" x14ac:dyDescent="0.2">
      <c r="A86" s="67">
        <v>-44</v>
      </c>
      <c r="B86" s="66">
        <f t="shared" si="25"/>
        <v>-0.76794487087750496</v>
      </c>
      <c r="C86" s="64">
        <f t="shared" si="26"/>
        <v>40.503198758578158</v>
      </c>
      <c r="D86" s="64">
        <f t="shared" si="27"/>
        <v>49.496801241421842</v>
      </c>
      <c r="E86" s="65">
        <f t="shared" si="28"/>
        <v>-78.874677567385334</v>
      </c>
      <c r="F86" s="64">
        <f t="shared" si="29"/>
        <v>48.101099732602577</v>
      </c>
      <c r="G86" s="64">
        <f t="shared" si="30"/>
        <v>41.898900267397423</v>
      </c>
      <c r="H86" s="64">
        <f t="shared" si="31"/>
        <v>-66.035917444788055</v>
      </c>
      <c r="I86" s="72">
        <f t="shared" si="32"/>
        <v>56.811329516624106</v>
      </c>
      <c r="J86" s="64">
        <f t="shared" si="33"/>
        <v>33.188670483375894</v>
      </c>
      <c r="K86" s="65">
        <f t="shared" si="34"/>
        <v>-56.105383729391718</v>
      </c>
      <c r="L86" s="64">
        <f t="shared" si="35"/>
        <v>66.163161357704467</v>
      </c>
      <c r="M86" s="64">
        <f t="shared" si="36"/>
        <v>23.836838642295533</v>
      </c>
      <c r="N86" s="65">
        <f t="shared" si="37"/>
        <v>-48.038321097994611</v>
      </c>
      <c r="O86" s="64">
        <f t="shared" si="38"/>
        <v>75.877012015370241</v>
      </c>
      <c r="P86" s="64">
        <f t="shared" si="39"/>
        <v>14.122987984629759</v>
      </c>
      <c r="Q86" s="65">
        <f t="shared" si="40"/>
        <v>-41.08270562844271</v>
      </c>
      <c r="R86" s="64">
        <f t="shared" si="41"/>
        <v>67.030374876936463</v>
      </c>
      <c r="S86" s="59">
        <f t="shared" si="42"/>
        <v>22.969625123063537</v>
      </c>
      <c r="T86" s="58">
        <f t="shared" si="43"/>
        <v>-47.372446604790625</v>
      </c>
      <c r="U86" s="66"/>
      <c r="V86" s="53">
        <f>H85</f>
        <v>-66.953700716581693</v>
      </c>
      <c r="X86" s="50"/>
      <c r="Y86" s="50"/>
      <c r="Z86" s="50"/>
      <c r="AA86" s="50"/>
      <c r="AB86" s="50">
        <f>G85</f>
        <v>41.20107050536074</v>
      </c>
      <c r="AC86" s="50"/>
    </row>
    <row r="87" spans="1:29" x14ac:dyDescent="0.2">
      <c r="A87" s="67">
        <v>-43</v>
      </c>
      <c r="B87" s="66">
        <f t="shared" si="25"/>
        <v>-0.75049157835756175</v>
      </c>
      <c r="C87" s="64">
        <f t="shared" si="26"/>
        <v>39.757611834663933</v>
      </c>
      <c r="D87" s="64">
        <f t="shared" si="27"/>
        <v>50.242388165336067</v>
      </c>
      <c r="E87" s="65">
        <f t="shared" si="28"/>
        <v>-78.045292651586038</v>
      </c>
      <c r="F87" s="64">
        <f t="shared" si="29"/>
        <v>47.408266780569491</v>
      </c>
      <c r="G87" s="64">
        <f t="shared" si="30"/>
        <v>42.591733219430509</v>
      </c>
      <c r="H87" s="64">
        <f t="shared" si="31"/>
        <v>-65.101277199589376</v>
      </c>
      <c r="I87" s="72">
        <f t="shared" si="32"/>
        <v>56.183148149069773</v>
      </c>
      <c r="J87" s="64">
        <f t="shared" si="33"/>
        <v>33.816851850930227</v>
      </c>
      <c r="K87" s="65">
        <f t="shared" si="34"/>
        <v>-55.172278280527308</v>
      </c>
      <c r="L87" s="64">
        <f t="shared" si="35"/>
        <v>65.601223747861084</v>
      </c>
      <c r="M87" s="64">
        <f t="shared" si="36"/>
        <v>24.398776252138916</v>
      </c>
      <c r="N87" s="65">
        <f t="shared" si="37"/>
        <v>-47.159797349192267</v>
      </c>
      <c r="O87" s="64">
        <f t="shared" si="38"/>
        <v>75.380938429909023</v>
      </c>
      <c r="P87" s="64">
        <f t="shared" si="39"/>
        <v>14.619061570090977</v>
      </c>
      <c r="Q87" s="65">
        <f t="shared" si="40"/>
        <v>-40.286059036866874</v>
      </c>
      <c r="R87" s="64">
        <f t="shared" si="41"/>
        <v>66.474409021372509</v>
      </c>
      <c r="S87" s="59">
        <f t="shared" si="42"/>
        <v>23.525590978627491</v>
      </c>
      <c r="T87" s="58">
        <f t="shared" si="43"/>
        <v>-46.500438969044716</v>
      </c>
      <c r="U87" s="66"/>
      <c r="V87" s="53">
        <f>K85</f>
        <v>-57.025129046143419</v>
      </c>
      <c r="X87" s="50"/>
      <c r="Y87" s="50"/>
      <c r="Z87" s="50"/>
      <c r="AA87" s="50"/>
      <c r="AB87" s="50">
        <f>J85</f>
        <v>32.553627197049394</v>
      </c>
      <c r="AC87" s="50"/>
    </row>
    <row r="88" spans="1:29" x14ac:dyDescent="0.2">
      <c r="A88" s="67">
        <v>-42</v>
      </c>
      <c r="B88" s="66">
        <f t="shared" si="25"/>
        <v>-0.73303828583761843</v>
      </c>
      <c r="C88" s="64">
        <f t="shared" si="26"/>
        <v>39.014332112014444</v>
      </c>
      <c r="D88" s="64">
        <f t="shared" si="27"/>
        <v>50.985667887985556</v>
      </c>
      <c r="E88" s="65">
        <f t="shared" si="28"/>
        <v>-77.19780231606012</v>
      </c>
      <c r="F88" s="64">
        <f t="shared" si="29"/>
        <v>46.720709601205122</v>
      </c>
      <c r="G88" s="64">
        <f t="shared" si="30"/>
        <v>43.279290398794878</v>
      </c>
      <c r="H88" s="64">
        <f t="shared" si="31"/>
        <v>-64.149067193080484</v>
      </c>
      <c r="I88" s="72">
        <f t="shared" si="32"/>
        <v>55.56209685496713</v>
      </c>
      <c r="J88" s="64">
        <f t="shared" si="33"/>
        <v>34.43790314503287</v>
      </c>
      <c r="K88" s="65">
        <f t="shared" si="34"/>
        <v>-54.225444388853411</v>
      </c>
      <c r="L88" s="64">
        <f t="shared" si="35"/>
        <v>65.047265078649176</v>
      </c>
      <c r="M88" s="64">
        <f t="shared" si="36"/>
        <v>24.952734921350824</v>
      </c>
      <c r="N88" s="65">
        <f t="shared" si="37"/>
        <v>-46.271295667812829</v>
      </c>
      <c r="O88" s="64">
        <f t="shared" si="38"/>
        <v>74.892972118723975</v>
      </c>
      <c r="P88" s="64">
        <f t="shared" si="39"/>
        <v>15.107027881276025</v>
      </c>
      <c r="Q88" s="65">
        <f t="shared" si="40"/>
        <v>-39.482296227875871</v>
      </c>
      <c r="R88" s="64">
        <f t="shared" si="41"/>
        <v>65.926459650835525</v>
      </c>
      <c r="S88" s="59">
        <f t="shared" si="42"/>
        <v>24.073540349164475</v>
      </c>
      <c r="T88" s="58">
        <f t="shared" si="43"/>
        <v>-45.618751522395215</v>
      </c>
      <c r="U88" s="66"/>
      <c r="V88" s="53">
        <f>N85</f>
        <v>-48.907027646930629</v>
      </c>
      <c r="X88" s="50"/>
      <c r="Y88" s="50"/>
      <c r="Z88" s="50"/>
      <c r="AA88" s="50"/>
      <c r="AB88" s="50">
        <f>M85</f>
        <v>23.267142849929328</v>
      </c>
      <c r="AC88" s="50"/>
    </row>
    <row r="89" spans="1:29" x14ac:dyDescent="0.2">
      <c r="A89" s="67">
        <v>-41</v>
      </c>
      <c r="B89" s="66">
        <f t="shared" si="25"/>
        <v>-0.71558499331767511</v>
      </c>
      <c r="C89" s="64">
        <f t="shared" si="26"/>
        <v>38.273575419961574</v>
      </c>
      <c r="D89" s="64">
        <f t="shared" si="27"/>
        <v>51.726424580038426</v>
      </c>
      <c r="E89" s="65">
        <f t="shared" si="28"/>
        <v>-76.331097345368562</v>
      </c>
      <c r="F89" s="64">
        <f t="shared" si="29"/>
        <v>46.038720227868268</v>
      </c>
      <c r="G89" s="64">
        <f t="shared" si="30"/>
        <v>43.961279772131732</v>
      </c>
      <c r="H89" s="64">
        <f t="shared" si="31"/>
        <v>-63.178553888316685</v>
      </c>
      <c r="I89" s="72">
        <f t="shared" si="32"/>
        <v>54.948452020864273</v>
      </c>
      <c r="J89" s="64">
        <f t="shared" si="33"/>
        <v>35.051547979135727</v>
      </c>
      <c r="K89" s="65">
        <f t="shared" si="34"/>
        <v>-53.264515855481719</v>
      </c>
      <c r="L89" s="64">
        <f t="shared" si="35"/>
        <v>64.501510122271256</v>
      </c>
      <c r="M89" s="64">
        <f t="shared" si="36"/>
        <v>25.498489877728744</v>
      </c>
      <c r="N89" s="65">
        <f t="shared" si="37"/>
        <v>-45.372662883888161</v>
      </c>
      <c r="O89" s="64">
        <f t="shared" si="38"/>
        <v>74.413281863084478</v>
      </c>
      <c r="P89" s="64">
        <f t="shared" si="39"/>
        <v>15.586718136915522</v>
      </c>
      <c r="Q89" s="65">
        <f t="shared" si="40"/>
        <v>-38.671372084980504</v>
      </c>
      <c r="R89" s="64">
        <f t="shared" si="41"/>
        <v>65.38674637713487</v>
      </c>
      <c r="S89" s="59">
        <f t="shared" si="42"/>
        <v>24.61325362286513</v>
      </c>
      <c r="T89" s="58">
        <f t="shared" si="43"/>
        <v>-44.727244271900723</v>
      </c>
      <c r="U89" s="66"/>
      <c r="V89" s="53">
        <f>Q85</f>
        <v>-41.872287903197325</v>
      </c>
      <c r="X89" s="50"/>
      <c r="Y89" s="50"/>
      <c r="Z89" s="50"/>
      <c r="AA89" s="50"/>
      <c r="AB89" s="50">
        <f>P85</f>
        <v>13.618974436266711</v>
      </c>
      <c r="AC89" s="50"/>
    </row>
    <row r="90" spans="1:29" x14ac:dyDescent="0.2">
      <c r="A90" s="67">
        <v>-40</v>
      </c>
      <c r="B90" s="66">
        <f t="shared" si="25"/>
        <v>-0.69813170079773179</v>
      </c>
      <c r="C90" s="64">
        <f t="shared" si="26"/>
        <v>37.535571569521942</v>
      </c>
      <c r="D90" s="64">
        <f t="shared" si="27"/>
        <v>52.464428430478058</v>
      </c>
      <c r="E90" s="65">
        <f t="shared" si="28"/>
        <v>-75.443997760291168</v>
      </c>
      <c r="F90" s="64">
        <f t="shared" si="29"/>
        <v>45.362604447096345</v>
      </c>
      <c r="G90" s="64">
        <f t="shared" si="30"/>
        <v>44.637395552903655</v>
      </c>
      <c r="H90" s="64">
        <f t="shared" si="31"/>
        <v>-62.188983368286451</v>
      </c>
      <c r="I90" s="72">
        <f t="shared" si="32"/>
        <v>54.342498395001179</v>
      </c>
      <c r="J90" s="64">
        <f t="shared" si="33"/>
        <v>35.657501604998821</v>
      </c>
      <c r="K90" s="65">
        <f t="shared" si="34"/>
        <v>-52.289129795306422</v>
      </c>
      <c r="L90" s="64">
        <f t="shared" si="35"/>
        <v>63.964187571429974</v>
      </c>
      <c r="M90" s="64">
        <f t="shared" si="36"/>
        <v>26.035812428570026</v>
      </c>
      <c r="N90" s="65">
        <f t="shared" si="37"/>
        <v>-44.463754157552714</v>
      </c>
      <c r="O90" s="64">
        <f t="shared" si="38"/>
        <v>73.942037782632781</v>
      </c>
      <c r="P90" s="64">
        <f t="shared" si="39"/>
        <v>16.057962217367219</v>
      </c>
      <c r="Q90" s="65">
        <f t="shared" si="40"/>
        <v>-37.853248635254126</v>
      </c>
      <c r="R90" s="64">
        <f t="shared" si="41"/>
        <v>64.855492427400762</v>
      </c>
      <c r="S90" s="59">
        <f t="shared" si="42"/>
        <v>25.144507572599238</v>
      </c>
      <c r="T90" s="58">
        <f t="shared" si="43"/>
        <v>-43.825785586514058</v>
      </c>
      <c r="U90" s="66"/>
      <c r="V90" s="53"/>
      <c r="X90" s="50"/>
      <c r="Y90" s="50"/>
      <c r="Z90" s="50"/>
      <c r="AA90" s="50"/>
      <c r="AB90" s="50"/>
      <c r="AC90" s="50"/>
    </row>
    <row r="91" spans="1:29" x14ac:dyDescent="0.2">
      <c r="A91" s="67">
        <v>-39</v>
      </c>
      <c r="B91" s="66">
        <f t="shared" si="25"/>
        <v>-0.68067840827778847</v>
      </c>
      <c r="C91" s="64">
        <f t="shared" si="26"/>
        <v>36.80056564456445</v>
      </c>
      <c r="D91" s="64">
        <f t="shared" si="27"/>
        <v>53.19943435543555</v>
      </c>
      <c r="E91" s="65">
        <f t="shared" si="28"/>
        <v>-74.535247737357906</v>
      </c>
      <c r="F91" s="64">
        <f t="shared" si="29"/>
        <v>44.692682496507054</v>
      </c>
      <c r="G91" s="64">
        <f t="shared" si="30"/>
        <v>45.307317503492946</v>
      </c>
      <c r="H91" s="64">
        <f t="shared" si="31"/>
        <v>-61.179581928204243</v>
      </c>
      <c r="I91" s="72">
        <f t="shared" si="32"/>
        <v>53.744529192936803</v>
      </c>
      <c r="J91" s="64">
        <f t="shared" si="33"/>
        <v>36.255470807063197</v>
      </c>
      <c r="K91" s="65">
        <f t="shared" si="34"/>
        <v>-51.298927970723433</v>
      </c>
      <c r="L91" s="64">
        <f t="shared" si="35"/>
        <v>63.435529924426518</v>
      </c>
      <c r="M91" s="64">
        <f t="shared" si="36"/>
        <v>26.564470075573482</v>
      </c>
      <c r="N91" s="65">
        <f t="shared" si="37"/>
        <v>-43.544433785066474</v>
      </c>
      <c r="O91" s="64">
        <f t="shared" si="38"/>
        <v>73.479411192193197</v>
      </c>
      <c r="P91" s="64">
        <f t="shared" si="39"/>
        <v>16.520588807806803</v>
      </c>
      <c r="Q91" s="65">
        <f t="shared" si="40"/>
        <v>-37.027895413556443</v>
      </c>
      <c r="R91" s="64">
        <f t="shared" si="41"/>
        <v>64.33292452141113</v>
      </c>
      <c r="S91" s="59">
        <f t="shared" si="42"/>
        <v>25.66707547858887</v>
      </c>
      <c r="T91" s="58">
        <f t="shared" si="43"/>
        <v>-42.914252953827159</v>
      </c>
      <c r="U91" s="69"/>
      <c r="V91" s="53"/>
      <c r="X91" s="50"/>
      <c r="Y91" s="50"/>
      <c r="Z91" s="50"/>
      <c r="AA91" s="50"/>
      <c r="AB91" s="50"/>
      <c r="AC91" s="50"/>
    </row>
    <row r="92" spans="1:29" x14ac:dyDescent="0.2">
      <c r="A92" s="67">
        <v>-38</v>
      </c>
      <c r="B92" s="66">
        <f t="shared" si="25"/>
        <v>-0.66322511575784526</v>
      </c>
      <c r="C92" s="64">
        <f t="shared" si="26"/>
        <v>36.068819416857998</v>
      </c>
      <c r="D92" s="64">
        <f t="shared" si="27"/>
        <v>53.931180583142002</v>
      </c>
      <c r="E92" s="65">
        <f t="shared" si="28"/>
        <v>-73.603510237032765</v>
      </c>
      <c r="F92" s="64">
        <f t="shared" si="29"/>
        <v>44.029289774495901</v>
      </c>
      <c r="G92" s="64">
        <f t="shared" si="30"/>
        <v>45.970710225504099</v>
      </c>
      <c r="H92" s="64">
        <f t="shared" si="31"/>
        <v>-60.149556927609737</v>
      </c>
      <c r="I92" s="72">
        <f t="shared" si="32"/>
        <v>53.154846175177454</v>
      </c>
      <c r="J92" s="64">
        <f t="shared" si="33"/>
        <v>36.845153824822546</v>
      </c>
      <c r="K92" s="65">
        <f t="shared" si="34"/>
        <v>-50.293558264197195</v>
      </c>
      <c r="L92" s="64">
        <f t="shared" si="35"/>
        <v>62.915773347515774</v>
      </c>
      <c r="M92" s="64">
        <f t="shared" si="36"/>
        <v>27.084226652484226</v>
      </c>
      <c r="N92" s="65">
        <f t="shared" si="37"/>
        <v>-42.614576042161097</v>
      </c>
      <c r="O92" s="64">
        <f t="shared" si="38"/>
        <v>73.025574446631182</v>
      </c>
      <c r="P92" s="64">
        <f t="shared" si="39"/>
        <v>16.974425553368818</v>
      </c>
      <c r="Q92" s="65">
        <f t="shared" si="40"/>
        <v>-36.195289829956778</v>
      </c>
      <c r="R92" s="64">
        <f t="shared" si="41"/>
        <v>63.819272727202716</v>
      </c>
      <c r="S92" s="59">
        <f t="shared" si="42"/>
        <v>26.180727272797284</v>
      </c>
      <c r="T92" s="58">
        <f t="shared" si="43"/>
        <v>-41.992533768963625</v>
      </c>
      <c r="U92" s="69"/>
      <c r="V92" s="53"/>
      <c r="X92" s="50"/>
      <c r="Y92" s="50"/>
      <c r="Z92" s="50"/>
      <c r="AA92" s="50"/>
      <c r="AB92" s="50"/>
      <c r="AC92" s="50"/>
    </row>
    <row r="93" spans="1:29" x14ac:dyDescent="0.2">
      <c r="A93" s="67">
        <v>-37</v>
      </c>
      <c r="B93" s="66">
        <f t="shared" si="25"/>
        <v>-0.64577182323790194</v>
      </c>
      <c r="C93" s="64">
        <f t="shared" si="26"/>
        <v>35.340612896818854</v>
      </c>
      <c r="D93" s="64">
        <f t="shared" si="27"/>
        <v>54.659387103181146</v>
      </c>
      <c r="E93" s="65">
        <f t="shared" si="28"/>
        <v>-72.647361351095554</v>
      </c>
      <c r="F93" s="64">
        <f t="shared" si="29"/>
        <v>43.37277755715575</v>
      </c>
      <c r="G93" s="64">
        <f t="shared" si="30"/>
        <v>46.62722244284425</v>
      </c>
      <c r="H93" s="64">
        <f t="shared" si="31"/>
        <v>-59.098097942841612</v>
      </c>
      <c r="I93" s="72">
        <f t="shared" si="32"/>
        <v>52.573759692686998</v>
      </c>
      <c r="J93" s="64">
        <f t="shared" si="33"/>
        <v>37.426240307313002</v>
      </c>
      <c r="K93" s="65">
        <f t="shared" si="34"/>
        <v>-49.272676296266461</v>
      </c>
      <c r="L93" s="64">
        <f t="shared" si="35"/>
        <v>62.405157513085967</v>
      </c>
      <c r="M93" s="64">
        <f t="shared" si="36"/>
        <v>27.594842486914033</v>
      </c>
      <c r="N93" s="65">
        <f t="shared" si="37"/>
        <v>-41.674066062870615</v>
      </c>
      <c r="O93" s="64">
        <f t="shared" si="38"/>
        <v>72.580700773522025</v>
      </c>
      <c r="P93" s="64">
        <f t="shared" si="39"/>
        <v>17.419299226477975</v>
      </c>
      <c r="Q93" s="65">
        <f t="shared" si="40"/>
        <v>-35.355417538628167</v>
      </c>
      <c r="R93" s="64">
        <f t="shared" si="41"/>
        <v>63.314770293700448</v>
      </c>
      <c r="S93" s="59">
        <f t="shared" si="42"/>
        <v>26.685229706299552</v>
      </c>
      <c r="T93" s="58">
        <f t="shared" si="43"/>
        <v>-41.060526153638328</v>
      </c>
      <c r="U93" s="69"/>
      <c r="V93" s="53"/>
      <c r="X93" s="50"/>
      <c r="Y93" s="50"/>
      <c r="Z93" s="50"/>
      <c r="AA93" s="50"/>
      <c r="AB93" s="50"/>
      <c r="AC93" s="50"/>
    </row>
    <row r="94" spans="1:29" x14ac:dyDescent="0.2">
      <c r="A94" s="67">
        <v>-36</v>
      </c>
      <c r="B94" s="66">
        <f t="shared" si="25"/>
        <v>-0.62831853071795862</v>
      </c>
      <c r="C94" s="64">
        <f t="shared" si="26"/>
        <v>34.616246032562657</v>
      </c>
      <c r="D94" s="64">
        <f t="shared" si="27"/>
        <v>55.383753967437343</v>
      </c>
      <c r="E94" s="65">
        <f t="shared" si="28"/>
        <v>-71.665284389952888</v>
      </c>
      <c r="F94" s="64">
        <f t="shared" si="29"/>
        <v>42.723513716742247</v>
      </c>
      <c r="G94" s="64">
        <f t="shared" si="30"/>
        <v>47.276486283257753</v>
      </c>
      <c r="H94" s="64">
        <f t="shared" si="31"/>
        <v>-58.024378264693127</v>
      </c>
      <c r="I94" s="72">
        <f t="shared" si="32"/>
        <v>52.001588695847339</v>
      </c>
      <c r="J94" s="64">
        <f t="shared" si="33"/>
        <v>37.998411304152661</v>
      </c>
      <c r="K94" s="65">
        <f t="shared" si="34"/>
        <v>-48.235947194862078</v>
      </c>
      <c r="L94" s="64">
        <f t="shared" si="35"/>
        <v>61.903925412249407</v>
      </c>
      <c r="M94" s="64">
        <f t="shared" si="36"/>
        <v>28.096074587750593</v>
      </c>
      <c r="N94" s="65">
        <f t="shared" si="37"/>
        <v>-40.722800751457854</v>
      </c>
      <c r="O94" s="64">
        <f t="shared" si="38"/>
        <v>72.144964093438418</v>
      </c>
      <c r="P94" s="64">
        <f t="shared" si="39"/>
        <v>17.855035906561582</v>
      </c>
      <c r="Q94" s="65">
        <f t="shared" si="40"/>
        <v>-34.50827280632393</v>
      </c>
      <c r="R94" s="64">
        <f t="shared" si="41"/>
        <v>62.819653459128396</v>
      </c>
      <c r="S94" s="59">
        <f t="shared" si="42"/>
        <v>27.180346540871604</v>
      </c>
      <c r="T94" s="58">
        <f t="shared" si="43"/>
        <v>-40.118139802902661</v>
      </c>
      <c r="U94" s="69"/>
      <c r="V94" s="53"/>
      <c r="X94" s="50"/>
      <c r="Y94" s="50"/>
      <c r="Z94" s="50"/>
      <c r="AA94" s="50"/>
      <c r="AB94" s="50"/>
      <c r="AC94" s="50"/>
    </row>
    <row r="95" spans="1:29" x14ac:dyDescent="0.2">
      <c r="A95" s="67">
        <v>-35</v>
      </c>
      <c r="B95" s="66">
        <f t="shared" si="25"/>
        <v>-0.6108652381980153</v>
      </c>
      <c r="C95" s="64">
        <f t="shared" si="26"/>
        <v>33.896040570567436</v>
      </c>
      <c r="D95" s="64">
        <f t="shared" si="27"/>
        <v>56.103959429432564</v>
      </c>
      <c r="E95" s="65">
        <f t="shared" si="28"/>
        <v>-70.655663743959181</v>
      </c>
      <c r="F95" s="64">
        <f t="shared" si="29"/>
        <v>42.081883434744171</v>
      </c>
      <c r="G95" s="64">
        <f t="shared" si="30"/>
        <v>47.918116565255829</v>
      </c>
      <c r="H95" s="64">
        <f t="shared" si="31"/>
        <v>-56.927556790366715</v>
      </c>
      <c r="I95" s="72">
        <f t="shared" si="32"/>
        <v>51.438660702131685</v>
      </c>
      <c r="J95" s="64">
        <f t="shared" si="33"/>
        <v>38.561339297868315</v>
      </c>
      <c r="K95" s="65">
        <f t="shared" si="34"/>
        <v>-47.183047520843807</v>
      </c>
      <c r="L95" s="64">
        <f t="shared" si="35"/>
        <v>61.412323140467741</v>
      </c>
      <c r="M95" s="64">
        <f t="shared" si="36"/>
        <v>28.587676859532259</v>
      </c>
      <c r="N95" s="65">
        <f t="shared" si="37"/>
        <v>-39.760689724448433</v>
      </c>
      <c r="O95" s="64">
        <f t="shared" si="38"/>
        <v>71.718538827720906</v>
      </c>
      <c r="P95" s="64">
        <f t="shared" si="39"/>
        <v>18.281461172279094</v>
      </c>
      <c r="Q95" s="65">
        <f t="shared" si="40"/>
        <v>-33.653858878383978</v>
      </c>
      <c r="R95" s="64">
        <f t="shared" si="41"/>
        <v>62.334161234010132</v>
      </c>
      <c r="S95" s="59">
        <f t="shared" si="42"/>
        <v>27.665838765989868</v>
      </c>
      <c r="T95" s="58">
        <f t="shared" si="43"/>
        <v>-39.165296856548089</v>
      </c>
      <c r="U95" s="69"/>
      <c r="V95" s="53"/>
      <c r="X95" s="50"/>
      <c r="Y95" s="50"/>
      <c r="Z95" s="50"/>
      <c r="AA95" s="50"/>
      <c r="AB95" s="50"/>
      <c r="AC95" s="50"/>
    </row>
    <row r="96" spans="1:29" x14ac:dyDescent="0.2">
      <c r="A96" s="67">
        <v>-34</v>
      </c>
      <c r="B96" s="66">
        <f t="shared" si="25"/>
        <v>-0.59341194567807209</v>
      </c>
      <c r="C96" s="64">
        <f t="shared" si="26"/>
        <v>33.180342091811575</v>
      </c>
      <c r="D96" s="64">
        <f t="shared" si="27"/>
        <v>56.819657908188425</v>
      </c>
      <c r="E96" s="65">
        <f t="shared" si="28"/>
        <v>-69.61677857013305</v>
      </c>
      <c r="F96" s="64">
        <f t="shared" si="29"/>
        <v>41.448289901177446</v>
      </c>
      <c r="G96" s="64">
        <f t="shared" si="30"/>
        <v>48.551710098822554</v>
      </c>
      <c r="H96" s="64">
        <f t="shared" si="31"/>
        <v>-55.806780363114143</v>
      </c>
      <c r="I96" s="72">
        <f t="shared" si="32"/>
        <v>50.885311717465513</v>
      </c>
      <c r="J96" s="64">
        <f t="shared" si="33"/>
        <v>39.114688282534487</v>
      </c>
      <c r="K96" s="65">
        <f t="shared" si="34"/>
        <v>-46.113667353422798</v>
      </c>
      <c r="L96" s="64">
        <f t="shared" si="35"/>
        <v>60.930599654892866</v>
      </c>
      <c r="M96" s="64">
        <f t="shared" si="36"/>
        <v>29.069400345107134</v>
      </c>
      <c r="N96" s="65">
        <f t="shared" si="37"/>
        <v>-38.787656279139348</v>
      </c>
      <c r="O96" s="64">
        <f t="shared" si="38"/>
        <v>71.30159969365701</v>
      </c>
      <c r="P96" s="64">
        <f t="shared" si="39"/>
        <v>18.69840030634299</v>
      </c>
      <c r="Q96" s="65">
        <f t="shared" si="40"/>
        <v>-32.792188340060179</v>
      </c>
      <c r="R96" s="64">
        <f t="shared" si="41"/>
        <v>61.858535157630584</v>
      </c>
      <c r="S96" s="59">
        <f t="shared" si="42"/>
        <v>28.141464842369416</v>
      </c>
      <c r="T96" s="58">
        <f t="shared" si="43"/>
        <v>-38.201932791561028</v>
      </c>
      <c r="U96" s="69"/>
      <c r="V96" s="53"/>
      <c r="X96" s="50"/>
      <c r="Y96" s="50"/>
      <c r="Z96" s="50"/>
      <c r="AA96" s="50"/>
      <c r="AB96" s="50"/>
      <c r="AC96" s="50"/>
    </row>
    <row r="97" spans="1:29" x14ac:dyDescent="0.2">
      <c r="A97" s="67">
        <v>-33</v>
      </c>
      <c r="B97" s="66">
        <f t="shared" si="25"/>
        <v>-0.57595865315812877</v>
      </c>
      <c r="C97" s="64">
        <f t="shared" si="26"/>
        <v>32.469522237580215</v>
      </c>
      <c r="D97" s="64">
        <f t="shared" si="27"/>
        <v>57.530477762419785</v>
      </c>
      <c r="E97" s="65">
        <f t="shared" si="28"/>
        <v>-68.546796377868276</v>
      </c>
      <c r="F97" s="64">
        <f t="shared" si="29"/>
        <v>40.823154990095972</v>
      </c>
      <c r="G97" s="64">
        <f t="shared" si="30"/>
        <v>49.176845009904028</v>
      </c>
      <c r="H97" s="64">
        <f t="shared" si="31"/>
        <v>-54.661186617017584</v>
      </c>
      <c r="I97" s="72">
        <f t="shared" si="32"/>
        <v>50.341886105987399</v>
      </c>
      <c r="J97" s="64">
        <f t="shared" si="33"/>
        <v>39.658113894012601</v>
      </c>
      <c r="K97" s="65">
        <f t="shared" si="34"/>
        <v>-45.027512537588109</v>
      </c>
      <c r="L97" s="64">
        <f t="shared" si="35"/>
        <v>60.459006502183648</v>
      </c>
      <c r="M97" s="64">
        <f t="shared" si="36"/>
        <v>29.540993497816352</v>
      </c>
      <c r="N97" s="65">
        <f t="shared" si="37"/>
        <v>-37.803638384257589</v>
      </c>
      <c r="O97" s="64">
        <f t="shared" si="38"/>
        <v>70.894321487063081</v>
      </c>
      <c r="P97" s="64">
        <f t="shared" si="39"/>
        <v>19.105678512936919</v>
      </c>
      <c r="Q97" s="65">
        <f t="shared" si="40"/>
        <v>-31.923283470792565</v>
      </c>
      <c r="R97" s="64">
        <f t="shared" si="41"/>
        <v>61.393019026915944</v>
      </c>
      <c r="S97" s="59">
        <f t="shared" si="42"/>
        <v>28.606980973084056</v>
      </c>
      <c r="T97" s="58">
        <f t="shared" si="43"/>
        <v>-37.227997331404744</v>
      </c>
      <c r="U97" s="69"/>
      <c r="V97" s="53"/>
      <c r="X97" s="50"/>
    </row>
    <row r="98" spans="1:29" x14ac:dyDescent="0.2">
      <c r="A98" s="67">
        <v>-32</v>
      </c>
      <c r="B98" s="66">
        <f t="shared" si="25"/>
        <v>-0.55850536063818546</v>
      </c>
      <c r="C98" s="64">
        <f t="shared" si="26"/>
        <v>31.763981139123697</v>
      </c>
      <c r="D98" s="64">
        <f t="shared" si="27"/>
        <v>58.2360188608763</v>
      </c>
      <c r="E98" s="65">
        <f t="shared" si="28"/>
        <v>-67.443766615499143</v>
      </c>
      <c r="F98" s="64">
        <f t="shared" si="29"/>
        <v>40.206919899494416</v>
      </c>
      <c r="G98" s="64">
        <f t="shared" si="30"/>
        <v>49.793080100505584</v>
      </c>
      <c r="H98" s="64">
        <f t="shared" si="31"/>
        <v>-53.489907388040173</v>
      </c>
      <c r="I98" s="72">
        <f t="shared" si="32"/>
        <v>49.808736402695232</v>
      </c>
      <c r="J98" s="64">
        <f t="shared" si="33"/>
        <v>40.191263597304768</v>
      </c>
      <c r="K98" s="65">
        <f t="shared" si="34"/>
        <v>-43.92430709376525</v>
      </c>
      <c r="L98" s="64">
        <f t="shared" si="35"/>
        <v>59.997797515663308</v>
      </c>
      <c r="M98" s="64">
        <f t="shared" si="36"/>
        <v>30.002202484336692</v>
      </c>
      <c r="N98" s="65">
        <f t="shared" si="37"/>
        <v>-36.808589687717102</v>
      </c>
      <c r="O98" s="64">
        <f t="shared" si="38"/>
        <v>70.496878852338085</v>
      </c>
      <c r="P98" s="64">
        <f t="shared" si="39"/>
        <v>19.503121147661915</v>
      </c>
      <c r="Q98" s="65">
        <f t="shared" si="40"/>
        <v>-31.047176588920873</v>
      </c>
      <c r="R98" s="64">
        <f t="shared" si="41"/>
        <v>60.937858596795415</v>
      </c>
      <c r="S98" s="59">
        <f t="shared" si="42"/>
        <v>29.062141403204585</v>
      </c>
      <c r="T98" s="58">
        <f t="shared" si="43"/>
        <v>-36.243455367261774</v>
      </c>
      <c r="U98" s="69"/>
    </row>
    <row r="99" spans="1:29" x14ac:dyDescent="0.2">
      <c r="A99" s="67">
        <v>-31</v>
      </c>
      <c r="B99" s="66">
        <f t="shared" si="25"/>
        <v>-0.54105206811824214</v>
      </c>
      <c r="C99" s="64">
        <f t="shared" si="26"/>
        <v>31.064150064857603</v>
      </c>
      <c r="D99" s="64">
        <f t="shared" si="27"/>
        <v>58.9358499351424</v>
      </c>
      <c r="E99" s="65">
        <f t="shared" si="28"/>
        <v>-66.305614395240937</v>
      </c>
      <c r="F99" s="64">
        <f t="shared" si="29"/>
        <v>39.600045741766536</v>
      </c>
      <c r="G99" s="64">
        <f t="shared" si="30"/>
        <v>50.399954258233464</v>
      </c>
      <c r="H99" s="64">
        <f t="shared" si="31"/>
        <v>-52.292072755491759</v>
      </c>
      <c r="I99" s="72">
        <f t="shared" si="32"/>
        <v>49.286223063286798</v>
      </c>
      <c r="J99" s="64">
        <f t="shared" si="33"/>
        <v>40.713776936713202</v>
      </c>
      <c r="K99" s="65">
        <f t="shared" si="34"/>
        <v>-42.803795787680201</v>
      </c>
      <c r="L99" s="64">
        <f t="shared" si="35"/>
        <v>59.547228480812954</v>
      </c>
      <c r="M99" s="64">
        <f t="shared" si="36"/>
        <v>30.452771519187046</v>
      </c>
      <c r="N99" s="65">
        <f t="shared" si="37"/>
        <v>-35.802480535660493</v>
      </c>
      <c r="O99" s="64">
        <f t="shared" si="38"/>
        <v>70.109446040139773</v>
      </c>
      <c r="P99" s="64">
        <f t="shared" si="39"/>
        <v>19.890553959860227</v>
      </c>
      <c r="Q99" s="65">
        <f t="shared" si="40"/>
        <v>-30.163910384174883</v>
      </c>
      <c r="R99" s="64">
        <f t="shared" si="41"/>
        <v>60.493301251238456</v>
      </c>
      <c r="S99" s="59">
        <f t="shared" si="42"/>
        <v>29.506698748761544</v>
      </c>
      <c r="T99" s="58">
        <f t="shared" si="43"/>
        <v>-35.248287885699675</v>
      </c>
      <c r="U99" s="69"/>
    </row>
    <row r="100" spans="1:29" s="54" customFormat="1" x14ac:dyDescent="0.2">
      <c r="A100" s="63">
        <v>-30</v>
      </c>
      <c r="B100" s="62">
        <f t="shared" si="25"/>
        <v>-0.52359877559829882</v>
      </c>
      <c r="C100" s="60">
        <f t="shared" si="26"/>
        <v>30.370494297623459</v>
      </c>
      <c r="D100" s="60">
        <f t="shared" si="27"/>
        <v>59.629505702376541</v>
      </c>
      <c r="E100" s="61">
        <f t="shared" si="28"/>
        <v>-65.13013453864275</v>
      </c>
      <c r="F100" s="60">
        <f t="shared" si="29"/>
        <v>39.003014068682589</v>
      </c>
      <c r="G100" s="60">
        <f t="shared" si="30"/>
        <v>50.996985931317411</v>
      </c>
      <c r="H100" s="60">
        <f t="shared" si="31"/>
        <v>-51.066815780102715</v>
      </c>
      <c r="I100" s="73">
        <f t="shared" si="32"/>
        <v>48.774714145388209</v>
      </c>
      <c r="J100" s="60">
        <f t="shared" si="33"/>
        <v>41.225285854611791</v>
      </c>
      <c r="K100" s="61">
        <f t="shared" si="34"/>
        <v>-41.665746855752879</v>
      </c>
      <c r="L100" s="60">
        <f t="shared" si="35"/>
        <v>59.107556768256259</v>
      </c>
      <c r="M100" s="60">
        <f t="shared" si="36"/>
        <v>30.892443231743741</v>
      </c>
      <c r="N100" s="61">
        <f t="shared" si="37"/>
        <v>-34.785298996187692</v>
      </c>
      <c r="O100" s="60">
        <f t="shared" si="38"/>
        <v>69.732196652921516</v>
      </c>
      <c r="P100" s="60">
        <f t="shared" si="39"/>
        <v>20.267803347078484</v>
      </c>
      <c r="Q100" s="61">
        <f t="shared" si="40"/>
        <v>-29.273538235161276</v>
      </c>
      <c r="R100" s="60">
        <f t="shared" si="41"/>
        <v>60.059595644318833</v>
      </c>
      <c r="S100" s="59">
        <f t="shared" si="42"/>
        <v>29.940404355681167</v>
      </c>
      <c r="T100" s="58">
        <f t="shared" si="43"/>
        <v>-34.242492896546118</v>
      </c>
      <c r="U100" s="70"/>
      <c r="V100" s="56">
        <f>E100</f>
        <v>-65.13013453864275</v>
      </c>
      <c r="W100" s="55"/>
      <c r="X100" s="55"/>
      <c r="AC100" s="55">
        <f>D100</f>
        <v>59.629505702376541</v>
      </c>
    </row>
    <row r="101" spans="1:29" x14ac:dyDescent="0.2">
      <c r="A101" s="67">
        <v>-29</v>
      </c>
      <c r="B101" s="66">
        <f t="shared" si="25"/>
        <v>-0.50614548307835561</v>
      </c>
      <c r="C101" s="64">
        <f t="shared" si="26"/>
        <v>29.683516252437986</v>
      </c>
      <c r="D101" s="64">
        <f t="shared" si="27"/>
        <v>60.316483747562017</v>
      </c>
      <c r="E101" s="65">
        <f t="shared" si="28"/>
        <v>-63.914986180046505</v>
      </c>
      <c r="F101" s="64">
        <f t="shared" si="29"/>
        <v>38.416327312477584</v>
      </c>
      <c r="G101" s="64">
        <f t="shared" si="30"/>
        <v>51.583672687522416</v>
      </c>
      <c r="H101" s="64">
        <f t="shared" si="31"/>
        <v>-49.813278005591705</v>
      </c>
      <c r="I101" s="72">
        <f t="shared" si="32"/>
        <v>48.274584915326969</v>
      </c>
      <c r="J101" s="64">
        <f t="shared" si="33"/>
        <v>41.725415084673031</v>
      </c>
      <c r="K101" s="65">
        <f t="shared" si="34"/>
        <v>-40.509954878287154</v>
      </c>
      <c r="L101" s="64">
        <f t="shared" si="35"/>
        <v>58.679040933579202</v>
      </c>
      <c r="M101" s="64">
        <f t="shared" si="36"/>
        <v>31.320959066420798</v>
      </c>
      <c r="N101" s="65">
        <f t="shared" si="37"/>
        <v>-33.757051880375521</v>
      </c>
      <c r="O101" s="64">
        <f t="shared" si="38"/>
        <v>69.365303378661835</v>
      </c>
      <c r="P101" s="64">
        <f t="shared" si="39"/>
        <v>20.634696621338165</v>
      </c>
      <c r="Q101" s="65">
        <f t="shared" si="40"/>
        <v>-28.37612450895233</v>
      </c>
      <c r="R101" s="64">
        <f t="shared" si="41"/>
        <v>59.636991310838312</v>
      </c>
      <c r="S101" s="59">
        <f t="shared" si="42"/>
        <v>30.363008689161688</v>
      </c>
      <c r="T101" s="58">
        <f t="shared" si="43"/>
        <v>-33.226086354068826</v>
      </c>
      <c r="U101" s="69"/>
      <c r="V101" s="53">
        <f>H100</f>
        <v>-51.066815780102715</v>
      </c>
      <c r="AC101" s="50">
        <f>G100</f>
        <v>50.996985931317411</v>
      </c>
    </row>
    <row r="102" spans="1:29" x14ac:dyDescent="0.2">
      <c r="A102" s="67">
        <v>-28</v>
      </c>
      <c r="B102" s="66">
        <f t="shared" si="25"/>
        <v>-0.48869219055841229</v>
      </c>
      <c r="C102" s="64">
        <f t="shared" si="26"/>
        <v>29.003758841835285</v>
      </c>
      <c r="D102" s="64">
        <f t="shared" si="27"/>
        <v>60.996241158164715</v>
      </c>
      <c r="E102" s="65">
        <f t="shared" si="28"/>
        <v>-62.65768823360041</v>
      </c>
      <c r="F102" s="64">
        <f t="shared" si="29"/>
        <v>37.84050912212458</v>
      </c>
      <c r="G102" s="64">
        <f t="shared" si="30"/>
        <v>52.15949087787542</v>
      </c>
      <c r="H102" s="64">
        <f t="shared" si="31"/>
        <v>-48.530615789491399</v>
      </c>
      <c r="I102" s="72">
        <f t="shared" si="32"/>
        <v>47.786217374663998</v>
      </c>
      <c r="J102" s="64">
        <f t="shared" si="33"/>
        <v>42.213782625336002</v>
      </c>
      <c r="K102" s="65">
        <f t="shared" si="34"/>
        <v>-39.336243789250901</v>
      </c>
      <c r="L102" s="64">
        <f t="shared" si="35"/>
        <v>58.261940283550153</v>
      </c>
      <c r="M102" s="64">
        <f t="shared" si="36"/>
        <v>31.738059716449847</v>
      </c>
      <c r="N102" s="65">
        <f t="shared" si="37"/>
        <v>-32.717765752394257</v>
      </c>
      <c r="O102" s="64">
        <f t="shared" si="38"/>
        <v>69.008937713217293</v>
      </c>
      <c r="P102" s="64">
        <f t="shared" si="39"/>
        <v>20.991062286782707</v>
      </c>
      <c r="Q102" s="65">
        <f t="shared" si="40"/>
        <v>-27.471744839787981</v>
      </c>
      <c r="R102" s="64">
        <f t="shared" si="41"/>
        <v>59.225738246253073</v>
      </c>
      <c r="S102" s="59">
        <f t="shared" si="42"/>
        <v>30.774261753746927</v>
      </c>
      <c r="T102" s="58">
        <f t="shared" si="43"/>
        <v>-32.199103063878383</v>
      </c>
      <c r="U102" s="69"/>
      <c r="V102" s="53">
        <f>K100</f>
        <v>-41.665746855752879</v>
      </c>
      <c r="AC102" s="50">
        <f>J100</f>
        <v>41.225285854611791</v>
      </c>
    </row>
    <row r="103" spans="1:29" x14ac:dyDescent="0.2">
      <c r="A103" s="67">
        <v>-27</v>
      </c>
      <c r="B103" s="66">
        <f t="shared" si="25"/>
        <v>-0.47123889803846897</v>
      </c>
      <c r="C103" s="64">
        <f t="shared" si="26"/>
        <v>28.331809090956572</v>
      </c>
      <c r="D103" s="64">
        <f t="shared" si="27"/>
        <v>61.668190909043432</v>
      </c>
      <c r="E103" s="65">
        <f t="shared" si="28"/>
        <v>-61.355616112198412</v>
      </c>
      <c r="F103" s="64">
        <f t="shared" si="29"/>
        <v>37.276104571249626</v>
      </c>
      <c r="G103" s="64">
        <f t="shared" si="30"/>
        <v>52.723895428750374</v>
      </c>
      <c r="H103" s="64">
        <f t="shared" si="31"/>
        <v>-47.218007525531583</v>
      </c>
      <c r="I103" s="72">
        <f t="shared" si="32"/>
        <v>47.309999700867287</v>
      </c>
      <c r="J103" s="64">
        <f t="shared" si="33"/>
        <v>42.690000299132713</v>
      </c>
      <c r="K103" s="65">
        <f t="shared" si="34"/>
        <v>-38.144470007550417</v>
      </c>
      <c r="L103" s="64">
        <f t="shared" si="35"/>
        <v>57.856514408557388</v>
      </c>
      <c r="M103" s="64">
        <f t="shared" si="36"/>
        <v>32.143485591442612</v>
      </c>
      <c r="N103" s="65">
        <f t="shared" si="37"/>
        <v>-31.667487919741522</v>
      </c>
      <c r="O103" s="64">
        <f t="shared" si="38"/>
        <v>68.6632696718342</v>
      </c>
      <c r="P103" s="64">
        <f t="shared" si="39"/>
        <v>21.3367303281658</v>
      </c>
      <c r="Q103" s="65">
        <f t="shared" si="40"/>
        <v>-26.560486383833311</v>
      </c>
      <c r="R103" s="64">
        <f t="shared" si="41"/>
        <v>58.826086455884457</v>
      </c>
      <c r="S103" s="59">
        <f t="shared" si="42"/>
        <v>31.173913544115543</v>
      </c>
      <c r="T103" s="58">
        <f t="shared" si="43"/>
        <v>-31.161597567313578</v>
      </c>
      <c r="U103" s="69"/>
      <c r="V103" s="53">
        <f>N100</f>
        <v>-34.785298996187692</v>
      </c>
      <c r="X103" s="50"/>
      <c r="AC103" s="50">
        <f>M100</f>
        <v>30.892443231743741</v>
      </c>
    </row>
    <row r="104" spans="1:29" x14ac:dyDescent="0.2">
      <c r="A104" s="67">
        <v>-26</v>
      </c>
      <c r="B104" s="66">
        <f t="shared" si="25"/>
        <v>-0.4537856055185257</v>
      </c>
      <c r="C104" s="64">
        <f t="shared" si="26"/>
        <v>27.668301997483034</v>
      </c>
      <c r="D104" s="64">
        <f t="shared" si="27"/>
        <v>62.331698002516966</v>
      </c>
      <c r="E104" s="65">
        <f t="shared" si="28"/>
        <v>-60.006000186366123</v>
      </c>
      <c r="F104" s="64">
        <f t="shared" si="29"/>
        <v>36.723680211488691</v>
      </c>
      <c r="G104" s="64">
        <f t="shared" si="30"/>
        <v>53.276319788511309</v>
      </c>
      <c r="H104" s="64">
        <f t="shared" si="31"/>
        <v>-45.874661813467519</v>
      </c>
      <c r="I104" s="72">
        <f t="shared" si="32"/>
        <v>46.846325596808995</v>
      </c>
      <c r="J104" s="64">
        <f t="shared" si="33"/>
        <v>43.153674403191005</v>
      </c>
      <c r="K104" s="65">
        <f t="shared" si="34"/>
        <v>-36.934525670421507</v>
      </c>
      <c r="L104" s="64">
        <f t="shared" si="35"/>
        <v>57.463022681366724</v>
      </c>
      <c r="M104" s="64">
        <f t="shared" si="36"/>
        <v>32.536977318633276</v>
      </c>
      <c r="N104" s="65">
        <f t="shared" si="37"/>
        <v>-30.606287393860786</v>
      </c>
      <c r="O104" s="64">
        <f t="shared" si="38"/>
        <v>68.328467490461406</v>
      </c>
      <c r="P104" s="64">
        <f t="shared" si="39"/>
        <v>21.671532509538594</v>
      </c>
      <c r="Q104" s="65">
        <f t="shared" si="40"/>
        <v>-25.642448046884358</v>
      </c>
      <c r="R104" s="64">
        <f t="shared" si="41"/>
        <v>58.438285473660002</v>
      </c>
      <c r="S104" s="59">
        <f t="shared" si="42"/>
        <v>31.561714526339998</v>
      </c>
      <c r="T104" s="58">
        <f t="shared" si="43"/>
        <v>-30.113644994441199</v>
      </c>
      <c r="U104" s="69"/>
      <c r="V104" s="53">
        <f>Q100</f>
        <v>-29.273538235161276</v>
      </c>
      <c r="AC104" s="50">
        <f>P100</f>
        <v>20.267803347078484</v>
      </c>
    </row>
    <row r="105" spans="1:29" x14ac:dyDescent="0.2">
      <c r="A105" s="67">
        <v>-25</v>
      </c>
      <c r="B105" s="66">
        <f t="shared" si="25"/>
        <v>-0.43633231299858238</v>
      </c>
      <c r="C105" s="64">
        <f t="shared" si="26"/>
        <v>27.013924621747673</v>
      </c>
      <c r="D105" s="64">
        <f t="shared" si="27"/>
        <v>62.986075378252323</v>
      </c>
      <c r="E105" s="65">
        <f t="shared" si="28"/>
        <v>-58.605926589384609</v>
      </c>
      <c r="F105" s="64">
        <f t="shared" si="29"/>
        <v>36.183823942479272</v>
      </c>
      <c r="G105" s="64">
        <f t="shared" si="30"/>
        <v>53.816176057520728</v>
      </c>
      <c r="H105" s="64">
        <f t="shared" si="31"/>
        <v>-44.499826622222287</v>
      </c>
      <c r="I105" s="72">
        <f t="shared" si="32"/>
        <v>46.395593544213988</v>
      </c>
      <c r="J105" s="64">
        <f t="shared" si="33"/>
        <v>43.604406455786012</v>
      </c>
      <c r="K105" s="65">
        <f t="shared" si="34"/>
        <v>-35.706341944918158</v>
      </c>
      <c r="L105" s="64">
        <f t="shared" si="35"/>
        <v>57.081723722618591</v>
      </c>
      <c r="M105" s="64">
        <f t="shared" si="36"/>
        <v>32.918276277381409</v>
      </c>
      <c r="N105" s="65">
        <f t="shared" si="37"/>
        <v>-29.534255810706785</v>
      </c>
      <c r="O105" s="64">
        <f t="shared" si="38"/>
        <v>68.004697317618849</v>
      </c>
      <c r="P105" s="64">
        <f t="shared" si="39"/>
        <v>21.995302682381151</v>
      </c>
      <c r="Q105" s="65">
        <f t="shared" si="40"/>
        <v>-24.717740681899052</v>
      </c>
      <c r="R105" s="64">
        <f t="shared" si="41"/>
        <v>58.06258385092346</v>
      </c>
      <c r="S105" s="59">
        <f t="shared" si="42"/>
        <v>31.93741614907654</v>
      </c>
      <c r="T105" s="58">
        <f t="shared" si="43"/>
        <v>-29.055341876230536</v>
      </c>
      <c r="U105" s="69"/>
    </row>
    <row r="106" spans="1:29" x14ac:dyDescent="0.2">
      <c r="A106" s="67">
        <v>-24</v>
      </c>
      <c r="B106" s="66">
        <f t="shared" si="25"/>
        <v>-0.41887902047863912</v>
      </c>
      <c r="C106" s="64">
        <f t="shared" si="26"/>
        <v>26.369420379199632</v>
      </c>
      <c r="D106" s="64">
        <f t="shared" si="27"/>
        <v>63.630579620800368</v>
      </c>
      <c r="E106" s="65">
        <f t="shared" ref="E106:E130" si="44">DEGREES(-ACOS((SIN(RADIANS(D106))*SIN($C$6)-SIN(C$5))/(COS(RADIANS(D106))*COS($C$6))))</f>
        <v>-57.152341113033863</v>
      </c>
      <c r="F106" s="64">
        <f t="shared" si="29"/>
        <v>35.657144667232629</v>
      </c>
      <c r="G106" s="64">
        <f t="shared" si="30"/>
        <v>54.342855332767371</v>
      </c>
      <c r="H106" s="64">
        <f t="shared" ref="H106:H130" si="45">DEGREES(-ACOS((SIN(RADIANS(G106))*SIN($C$6)-SIN(G$5))/(COS(RADIANS(G106))*COS($C$6))))</f>
        <v>-43.092799477885585</v>
      </c>
      <c r="I106" s="72">
        <f t="shared" si="32"/>
        <v>45.958205956798757</v>
      </c>
      <c r="J106" s="64">
        <f t="shared" si="33"/>
        <v>44.041794043201243</v>
      </c>
      <c r="K106" s="65">
        <f t="shared" ref="K106:K130" si="46">DEGREES(-ACOS((SIN(RADIANS(J106))*SIN($C$6)-SIN(J$5))/(COS(RADIANS(J106))*COS($C$6))))</f>
        <v>-34.459892388536041</v>
      </c>
      <c r="L106" s="64">
        <f t="shared" si="35"/>
        <v>56.712874833831386</v>
      </c>
      <c r="M106" s="64">
        <f t="shared" si="36"/>
        <v>33.287125166168614</v>
      </c>
      <c r="N106" s="65">
        <f t="shared" ref="N106:N130" si="47">DEGREES(-ACOS((SIN(RADIANS(M106))*SIN($C$6)-SIN(M$5))/(COS(RADIANS(M106))*COS($C$6))))</f>
        <v>-28.451508300184653</v>
      </c>
      <c r="O106" s="64">
        <f t="shared" si="38"/>
        <v>67.692122897689245</v>
      </c>
      <c r="P106" s="64">
        <f t="shared" si="39"/>
        <v>22.307877102310755</v>
      </c>
      <c r="Q106" s="65">
        <f t="shared" ref="Q106:Q130" si="48">DEGREES(-ACOS((SIN(RADIANS(P106))*SIN($C$6)-SIN(P$5))/(COS(RADIANS(P106))*COS($C$6))))</f>
        <v>-23.786487253242122</v>
      </c>
      <c r="R106" s="64">
        <f t="shared" si="41"/>
        <v>57.699228616170743</v>
      </c>
      <c r="S106" s="59">
        <f t="shared" si="42"/>
        <v>32.300771383829257</v>
      </c>
      <c r="T106" s="58">
        <f t="shared" ref="T106:T130" si="49">DEGREES(-ACOS((SIN(RADIANS(S106))*SIN($C$6)-SIN(S$5))/(COS(RADIANS(S106))*COS($C$6))))</f>
        <v>-27.986806905957167</v>
      </c>
      <c r="U106" s="69"/>
      <c r="V106" s="53"/>
      <c r="X106" s="50"/>
    </row>
    <row r="107" spans="1:29" x14ac:dyDescent="0.2">
      <c r="A107" s="67">
        <v>-23</v>
      </c>
      <c r="B107" s="66">
        <f t="shared" si="25"/>
        <v>-0.4014257279586958</v>
      </c>
      <c r="C107" s="64">
        <f t="shared" si="26"/>
        <v>25.735593490015965</v>
      </c>
      <c r="D107" s="64">
        <f t="shared" si="27"/>
        <v>64.264406509984042</v>
      </c>
      <c r="E107" s="65">
        <f t="shared" si="44"/>
        <v>-55.642057096282635</v>
      </c>
      <c r="F107" s="64">
        <f t="shared" si="29"/>
        <v>35.144271699487604</v>
      </c>
      <c r="G107" s="64">
        <f t="shared" si="30"/>
        <v>54.855728300512396</v>
      </c>
      <c r="H107" s="64">
        <f t="shared" si="45"/>
        <v>-41.652938688764571</v>
      </c>
      <c r="I107" s="72">
        <f t="shared" si="32"/>
        <v>45.534568229632377</v>
      </c>
      <c r="J107" s="64">
        <f t="shared" si="33"/>
        <v>44.465431770367623</v>
      </c>
      <c r="K107" s="65">
        <f t="shared" si="46"/>
        <v>-33.195196324846698</v>
      </c>
      <c r="L107" s="64">
        <f t="shared" si="35"/>
        <v>56.356731399054659</v>
      </c>
      <c r="M107" s="64">
        <f t="shared" si="36"/>
        <v>33.643268600945341</v>
      </c>
      <c r="N107" s="65">
        <f t="shared" si="47"/>
        <v>-27.358184292847202</v>
      </c>
      <c r="O107" s="64">
        <f t="shared" si="38"/>
        <v>67.390905246614992</v>
      </c>
      <c r="P107" s="64">
        <f t="shared" si="39"/>
        <v>22.609094753385008</v>
      </c>
      <c r="Q107" s="65">
        <f t="shared" si="48"/>
        <v>-22.848822964579785</v>
      </c>
      <c r="R107" s="64">
        <f t="shared" si="41"/>
        <v>57.348464706909574</v>
      </c>
      <c r="S107" s="59">
        <f t="shared" si="42"/>
        <v>32.651535293090426</v>
      </c>
      <c r="T107" s="58">
        <f t="shared" si="49"/>
        <v>-26.908181639470914</v>
      </c>
      <c r="U107" s="69"/>
    </row>
    <row r="108" spans="1:29" x14ac:dyDescent="0.2">
      <c r="A108" s="67">
        <v>-22</v>
      </c>
      <c r="B108" s="66">
        <f t="shared" si="25"/>
        <v>-0.38397243543875248</v>
      </c>
      <c r="C108" s="64">
        <f t="shared" si="26"/>
        <v>25.11331351815317</v>
      </c>
      <c r="D108" s="64">
        <f t="shared" si="27"/>
        <v>64.886686481846823</v>
      </c>
      <c r="E108" s="65">
        <f t="shared" si="44"/>
        <v>-54.071768385162081</v>
      </c>
      <c r="F108" s="64">
        <f t="shared" si="29"/>
        <v>34.645853887981843</v>
      </c>
      <c r="G108" s="64">
        <f t="shared" si="30"/>
        <v>55.354146112018157</v>
      </c>
      <c r="H108" s="64">
        <f t="shared" si="45"/>
        <v>-40.179675594656885</v>
      </c>
      <c r="I108" s="72">
        <f t="shared" si="32"/>
        <v>45.125087682236604</v>
      </c>
      <c r="J108" s="64">
        <f t="shared" si="33"/>
        <v>44.874912317763396</v>
      </c>
      <c r="K108" s="65">
        <f t="shared" si="46"/>
        <v>-31.912322194741147</v>
      </c>
      <c r="L108" s="64">
        <f t="shared" si="35"/>
        <v>56.013546256717859</v>
      </c>
      <c r="M108" s="64">
        <f t="shared" si="36"/>
        <v>33.986453743282141</v>
      </c>
      <c r="N108" s="65">
        <f t="shared" si="47"/>
        <v>-26.254448251805723</v>
      </c>
      <c r="O108" s="64">
        <f t="shared" si="38"/>
        <v>67.101202321096508</v>
      </c>
      <c r="P108" s="64">
        <f t="shared" si="39"/>
        <v>22.898797678903492</v>
      </c>
      <c r="Q108" s="65">
        <f t="shared" si="48"/>
        <v>-21.904895347443631</v>
      </c>
      <c r="R108" s="64">
        <f t="shared" si="41"/>
        <v>57.010534375203527</v>
      </c>
      <c r="S108" s="59">
        <f t="shared" si="42"/>
        <v>32.989465624796473</v>
      </c>
      <c r="T108" s="58">
        <f t="shared" si="49"/>
        <v>-25.819631123653032</v>
      </c>
      <c r="U108" s="69"/>
    </row>
    <row r="109" spans="1:29" x14ac:dyDescent="0.2">
      <c r="A109" s="67">
        <v>-21</v>
      </c>
      <c r="B109" s="66">
        <f t="shared" si="25"/>
        <v>-0.36651914291880922</v>
      </c>
      <c r="C109" s="64">
        <f t="shared" si="26"/>
        <v>24.503519903541857</v>
      </c>
      <c r="D109" s="64">
        <f t="shared" si="27"/>
        <v>65.496480096458143</v>
      </c>
      <c r="E109" s="65">
        <f t="shared" si="44"/>
        <v>-52.438068631019092</v>
      </c>
      <c r="F109" s="64">
        <f t="shared" si="29"/>
        <v>34.162558421591285</v>
      </c>
      <c r="G109" s="64">
        <f t="shared" si="30"/>
        <v>55.837441578408715</v>
      </c>
      <c r="H109" s="64">
        <f t="shared" si="45"/>
        <v>-38.672527796233027</v>
      </c>
      <c r="I109" s="72">
        <f t="shared" si="32"/>
        <v>44.730172394132893</v>
      </c>
      <c r="J109" s="64">
        <f t="shared" si="33"/>
        <v>45.269827605867107</v>
      </c>
      <c r="K109" s="65">
        <f t="shared" si="46"/>
        <v>-30.61139083862939</v>
      </c>
      <c r="L109" s="64">
        <f t="shared" si="35"/>
        <v>55.683569043644766</v>
      </c>
      <c r="M109" s="64">
        <f t="shared" si="36"/>
        <v>34.316430956355234</v>
      </c>
      <c r="N109" s="65">
        <f t="shared" si="47"/>
        <v>-25.14049031751777</v>
      </c>
      <c r="O109" s="64">
        <f t="shared" si="38"/>
        <v>66.823168682500452</v>
      </c>
      <c r="P109" s="64">
        <f t="shared" si="39"/>
        <v>23.176831317499548</v>
      </c>
      <c r="Q109" s="65">
        <f t="shared" si="48"/>
        <v>-20.954864307605071</v>
      </c>
      <c r="R109" s="64">
        <f t="shared" si="41"/>
        <v>56.685676568839575</v>
      </c>
      <c r="S109" s="59">
        <f t="shared" si="42"/>
        <v>33.314323431160425</v>
      </c>
      <c r="T109" s="58">
        <f t="shared" si="49"/>
        <v>-24.721344442197758</v>
      </c>
      <c r="U109" s="69"/>
      <c r="V109" s="53"/>
      <c r="X109" s="50"/>
    </row>
    <row r="110" spans="1:29" x14ac:dyDescent="0.2">
      <c r="A110" s="67">
        <v>-20</v>
      </c>
      <c r="B110" s="66">
        <f t="shared" si="25"/>
        <v>-0.3490658503988659</v>
      </c>
      <c r="C110" s="64">
        <f t="shared" si="26"/>
        <v>23.907226355519718</v>
      </c>
      <c r="D110" s="64">
        <f t="shared" si="27"/>
        <v>66.092773644480275</v>
      </c>
      <c r="E110" s="65">
        <f t="shared" si="44"/>
        <v>-50.737478387006291</v>
      </c>
      <c r="F110" s="64">
        <f t="shared" si="29"/>
        <v>33.695069279227937</v>
      </c>
      <c r="G110" s="64">
        <f t="shared" si="30"/>
        <v>56.304930720772063</v>
      </c>
      <c r="H110" s="64">
        <f t="shared" si="45"/>
        <v>-37.131113282511883</v>
      </c>
      <c r="I110" s="72">
        <f t="shared" si="32"/>
        <v>44.350229932942618</v>
      </c>
      <c r="J110" s="64">
        <f t="shared" si="33"/>
        <v>45.649770067057382</v>
      </c>
      <c r="K110" s="65">
        <f t="shared" si="46"/>
        <v>-29.292578659872721</v>
      </c>
      <c r="L110" s="64">
        <f t="shared" si="35"/>
        <v>55.367045513645905</v>
      </c>
      <c r="M110" s="64">
        <f t="shared" si="36"/>
        <v>34.632954486354095</v>
      </c>
      <c r="N110" s="65">
        <f t="shared" si="47"/>
        <v>-24.016526852987489</v>
      </c>
      <c r="O110" s="64">
        <f t="shared" si="38"/>
        <v>66.55695515679632</v>
      </c>
      <c r="P110" s="64">
        <f t="shared" si="39"/>
        <v>23.44304484320368</v>
      </c>
      <c r="Q110" s="65">
        <f t="shared" si="48"/>
        <v>-19.998902126566726</v>
      </c>
      <c r="R110" s="64">
        <f t="shared" si="41"/>
        <v>56.37412629045145</v>
      </c>
      <c r="S110" s="59">
        <f t="shared" si="42"/>
        <v>33.62587370954855</v>
      </c>
      <c r="T110" s="58">
        <f t="shared" si="49"/>
        <v>-23.613535167816259</v>
      </c>
      <c r="U110" s="69"/>
    </row>
    <row r="111" spans="1:29" x14ac:dyDescent="0.2">
      <c r="A111" s="67">
        <v>-19</v>
      </c>
      <c r="B111" s="66">
        <f t="shared" si="25"/>
        <v>-0.33161255787892263</v>
      </c>
      <c r="C111" s="64">
        <f t="shared" si="26"/>
        <v>23.325524932189623</v>
      </c>
      <c r="D111" s="64">
        <f t="shared" si="27"/>
        <v>66.674475067810377</v>
      </c>
      <c r="E111" s="65">
        <f t="shared" si="44"/>
        <v>-48.966481643407519</v>
      </c>
      <c r="F111" s="64">
        <f t="shared" si="29"/>
        <v>33.244085289505399</v>
      </c>
      <c r="G111" s="64">
        <f t="shared" si="30"/>
        <v>56.755914710494601</v>
      </c>
      <c r="H111" s="64">
        <f t="shared" si="45"/>
        <v>-35.555165329783293</v>
      </c>
      <c r="I111" s="72">
        <f t="shared" si="32"/>
        <v>43.985665976752948</v>
      </c>
      <c r="J111" s="64">
        <f t="shared" si="33"/>
        <v>46.014334023247052</v>
      </c>
      <c r="K111" s="65">
        <f t="shared" si="46"/>
        <v>-27.95612061503272</v>
      </c>
      <c r="L111" s="64">
        <f t="shared" si="35"/>
        <v>55.0642168335538</v>
      </c>
      <c r="M111" s="64">
        <f t="shared" si="36"/>
        <v>34.9357831664462</v>
      </c>
      <c r="N111" s="65">
        <f t="shared" si="47"/>
        <v>-22.882800876966307</v>
      </c>
      <c r="O111" s="64">
        <f t="shared" si="38"/>
        <v>66.302708491942937</v>
      </c>
      <c r="P111" s="64">
        <f t="shared" si="39"/>
        <v>23.697291508057063</v>
      </c>
      <c r="Q111" s="65">
        <f t="shared" si="48"/>
        <v>-19.037193415676953</v>
      </c>
      <c r="R111" s="64">
        <f t="shared" si="41"/>
        <v>56.076113937328877</v>
      </c>
      <c r="S111" s="59">
        <f t="shared" si="42"/>
        <v>33.923886062671123</v>
      </c>
      <c r="T111" s="58">
        <f t="shared" si="49"/>
        <v>-22.49644171007678</v>
      </c>
      <c r="U111" s="69"/>
    </row>
    <row r="112" spans="1:29" x14ac:dyDescent="0.2">
      <c r="A112" s="67">
        <v>-18</v>
      </c>
      <c r="B112" s="66">
        <f t="shared" si="25"/>
        <v>-0.31415926535897931</v>
      </c>
      <c r="C112" s="64">
        <f t="shared" si="26"/>
        <v>22.759589578777138</v>
      </c>
      <c r="D112" s="64">
        <f t="shared" si="27"/>
        <v>67.240410421222862</v>
      </c>
      <c r="E112" s="65">
        <f t="shared" si="44"/>
        <v>-47.12157358728912</v>
      </c>
      <c r="F112" s="64">
        <f t="shared" si="29"/>
        <v>32.810317767763422</v>
      </c>
      <c r="G112" s="64">
        <f t="shared" si="30"/>
        <v>57.189682232236578</v>
      </c>
      <c r="H112" s="64">
        <f t="shared" si="45"/>
        <v>-33.94454799429527</v>
      </c>
      <c r="I112" s="72">
        <f t="shared" si="32"/>
        <v>43.636882834265712</v>
      </c>
      <c r="J112" s="64">
        <f t="shared" si="33"/>
        <v>46.363117165734288</v>
      </c>
      <c r="K112" s="65">
        <f t="shared" si="46"/>
        <v>-26.602312972414374</v>
      </c>
      <c r="L112" s="64">
        <f t="shared" si="35"/>
        <v>54.77531886002398</v>
      </c>
      <c r="M112" s="64">
        <f t="shared" si="36"/>
        <v>35.22468113997602</v>
      </c>
      <c r="N112" s="65">
        <f t="shared" si="47"/>
        <v>-21.739582373001991</v>
      </c>
      <c r="O112" s="64">
        <f t="shared" si="38"/>
        <v>66.060571014245738</v>
      </c>
      <c r="P112" s="64">
        <f t="shared" si="39"/>
        <v>23.939428985754262</v>
      </c>
      <c r="Q112" s="65">
        <f t="shared" si="48"/>
        <v>-18.069935020626488</v>
      </c>
      <c r="R112" s="64">
        <f t="shared" si="41"/>
        <v>55.791864625043935</v>
      </c>
      <c r="S112" s="59">
        <f t="shared" si="42"/>
        <v>34.208135374956065</v>
      </c>
      <c r="T112" s="58">
        <f t="shared" si="49"/>
        <v>-21.370327548396659</v>
      </c>
      <c r="U112" s="69"/>
      <c r="V112" s="53"/>
      <c r="X112" s="50"/>
    </row>
    <row r="113" spans="1:30" x14ac:dyDescent="0.2">
      <c r="A113" s="67">
        <v>-17</v>
      </c>
      <c r="B113" s="66">
        <f t="shared" si="25"/>
        <v>-0.29670597283903605</v>
      </c>
      <c r="C113" s="64">
        <f t="shared" si="26"/>
        <v>22.210678838494911</v>
      </c>
      <c r="D113" s="64">
        <f t="shared" si="27"/>
        <v>67.789321161505086</v>
      </c>
      <c r="E113" s="65">
        <f t="shared" si="44"/>
        <v>-45.199321446446717</v>
      </c>
      <c r="F113" s="64">
        <f t="shared" si="29"/>
        <v>32.394487702364472</v>
      </c>
      <c r="G113" s="64">
        <f t="shared" si="30"/>
        <v>57.605512297635528</v>
      </c>
      <c r="H113" s="65">
        <f t="shared" si="45"/>
        <v>-32.299271964406309</v>
      </c>
      <c r="I113" s="64">
        <f t="shared" si="32"/>
        <v>43.304277868233051</v>
      </c>
      <c r="J113" s="64">
        <f t="shared" si="33"/>
        <v>46.695722131766949</v>
      </c>
      <c r="K113" s="65">
        <f t="shared" si="46"/>
        <v>-25.231515777097272</v>
      </c>
      <c r="L113" s="64">
        <f t="shared" si="35"/>
        <v>54.500581400878573</v>
      </c>
      <c r="M113" s="64">
        <f t="shared" si="36"/>
        <v>35.499418599121427</v>
      </c>
      <c r="N113" s="65">
        <f t="shared" si="47"/>
        <v>-20.587168462661108</v>
      </c>
      <c r="O113" s="64">
        <f t="shared" si="38"/>
        <v>65.830680285294321</v>
      </c>
      <c r="P113" s="64">
        <f t="shared" si="39"/>
        <v>24.169319714705679</v>
      </c>
      <c r="Q113" s="65">
        <f t="shared" si="48"/>
        <v>-17.097335874369328</v>
      </c>
      <c r="R113" s="64">
        <f t="shared" si="41"/>
        <v>55.521597498419972</v>
      </c>
      <c r="S113" s="59">
        <f t="shared" si="42"/>
        <v>34.478402501580028</v>
      </c>
      <c r="T113" s="58">
        <f t="shared" si="49"/>
        <v>-20.235481340194031</v>
      </c>
      <c r="U113" s="68"/>
    </row>
    <row r="114" spans="1:30" x14ac:dyDescent="0.2">
      <c r="A114" s="67">
        <v>-16</v>
      </c>
      <c r="B114" s="66">
        <f t="shared" si="25"/>
        <v>-0.27925268031909273</v>
      </c>
      <c r="C114" s="64">
        <f t="shared" si="26"/>
        <v>21.680137383242329</v>
      </c>
      <c r="D114" s="64">
        <f t="shared" si="27"/>
        <v>68.319862616757675</v>
      </c>
      <c r="E114" s="65">
        <f t="shared" si="44"/>
        <v>-43.196440234664735</v>
      </c>
      <c r="F114" s="64">
        <f t="shared" si="29"/>
        <v>31.997322468498886</v>
      </c>
      <c r="G114" s="64">
        <f t="shared" si="30"/>
        <v>58.002677531501114</v>
      </c>
      <c r="H114" s="65">
        <f t="shared" si="45"/>
        <v>-30.619510477195615</v>
      </c>
      <c r="I114" s="64">
        <f t="shared" si="32"/>
        <v>42.988241829824773</v>
      </c>
      <c r="J114" s="64">
        <f t="shared" si="33"/>
        <v>47.011758170175227</v>
      </c>
      <c r="K114" s="65">
        <f t="shared" si="46"/>
        <v>-23.844154958431638</v>
      </c>
      <c r="L114" s="64">
        <f t="shared" si="35"/>
        <v>54.240227465211902</v>
      </c>
      <c r="M114" s="64">
        <f t="shared" si="36"/>
        <v>35.759772534788098</v>
      </c>
      <c r="N114" s="65">
        <f t="shared" si="47"/>
        <v>-19.425883431971748</v>
      </c>
      <c r="O114" s="64">
        <f t="shared" si="38"/>
        <v>65.613168761169888</v>
      </c>
      <c r="P114" s="64">
        <f t="shared" si="39"/>
        <v>24.386831238830112</v>
      </c>
      <c r="Q114" s="65">
        <f t="shared" si="48"/>
        <v>-16.119616796843101</v>
      </c>
      <c r="R114" s="64">
        <f t="shared" si="41"/>
        <v>55.265525033749412</v>
      </c>
      <c r="S114" s="59">
        <f t="shared" si="42"/>
        <v>34.734474966250588</v>
      </c>
      <c r="T114" s="58">
        <f t="shared" si="49"/>
        <v>-19.092216894900346</v>
      </c>
      <c r="U114" s="66"/>
    </row>
    <row r="115" spans="1:30" s="54" customFormat="1" x14ac:dyDescent="0.2">
      <c r="A115" s="63">
        <v>-15</v>
      </c>
      <c r="B115" s="62">
        <f t="shared" si="25"/>
        <v>-0.26179938779914941</v>
      </c>
      <c r="C115" s="60">
        <f t="shared" si="26"/>
        <v>21.169395941606819</v>
      </c>
      <c r="D115" s="60">
        <f t="shared" si="27"/>
        <v>68.830604058393178</v>
      </c>
      <c r="E115" s="61">
        <f t="shared" si="44"/>
        <v>-41.109884994402513</v>
      </c>
      <c r="F115" s="60">
        <f t="shared" si="29"/>
        <v>31.619552056275527</v>
      </c>
      <c r="G115" s="60">
        <f t="shared" si="30"/>
        <v>58.380447943724477</v>
      </c>
      <c r="H115" s="61">
        <f t="shared" si="45"/>
        <v>-28.90561494195439</v>
      </c>
      <c r="I115" s="60">
        <f t="shared" si="32"/>
        <v>42.689157113830106</v>
      </c>
      <c r="J115" s="60">
        <f t="shared" si="33"/>
        <v>47.310842886169894</v>
      </c>
      <c r="K115" s="61">
        <f t="shared" si="46"/>
        <v>-22.440724015068746</v>
      </c>
      <c r="L115" s="60">
        <f t="shared" si="35"/>
        <v>53.994472506897921</v>
      </c>
      <c r="M115" s="60">
        <f t="shared" si="36"/>
        <v>36.005527493102079</v>
      </c>
      <c r="N115" s="61">
        <f t="shared" si="47"/>
        <v>-18.256078601092888</v>
      </c>
      <c r="O115" s="60">
        <f t="shared" si="38"/>
        <v>65.408163455679912</v>
      </c>
      <c r="P115" s="60">
        <f t="shared" si="39"/>
        <v>24.591836544320088</v>
      </c>
      <c r="Q115" s="61">
        <f t="shared" si="48"/>
        <v>-15.137010240230827</v>
      </c>
      <c r="R115" s="60">
        <f t="shared" si="41"/>
        <v>55.023852336526303</v>
      </c>
      <c r="S115" s="59">
        <f t="shared" si="42"/>
        <v>34.976147663473697</v>
      </c>
      <c r="T115" s="58">
        <f t="shared" si="49"/>
        <v>-17.94087300543962</v>
      </c>
      <c r="U115" s="62"/>
      <c r="V115" s="56">
        <f>E115</f>
        <v>-41.109884994402513</v>
      </c>
      <c r="W115" s="55"/>
      <c r="AD115" s="55">
        <f>D115</f>
        <v>68.830604058393178</v>
      </c>
    </row>
    <row r="116" spans="1:30" x14ac:dyDescent="0.2">
      <c r="A116" s="67">
        <v>-14</v>
      </c>
      <c r="B116" s="66">
        <f t="shared" si="25"/>
        <v>-0.24434609527920614</v>
      </c>
      <c r="C116" s="64">
        <f t="shared" si="26"/>
        <v>20.679969133239457</v>
      </c>
      <c r="D116" s="64">
        <f t="shared" si="27"/>
        <v>69.320030866760547</v>
      </c>
      <c r="E116" s="65">
        <f t="shared" si="44"/>
        <v>-38.936960661463367</v>
      </c>
      <c r="F116" s="64">
        <f t="shared" si="29"/>
        <v>31.26190481077219</v>
      </c>
      <c r="G116" s="64">
        <f t="shared" si="30"/>
        <v>58.738095189227806</v>
      </c>
      <c r="H116" s="65">
        <f t="shared" si="45"/>
        <v>-27.158129851605167</v>
      </c>
      <c r="I116" s="64">
        <f t="shared" si="32"/>
        <v>42.407395946925206</v>
      </c>
      <c r="J116" s="64">
        <f t="shared" si="33"/>
        <v>47.592604053074794</v>
      </c>
      <c r="K116" s="65">
        <f t="shared" si="46"/>
        <v>-21.021785213241433</v>
      </c>
      <c r="L116" s="64">
        <f t="shared" si="35"/>
        <v>53.763523666529061</v>
      </c>
      <c r="M116" s="64">
        <f t="shared" si="36"/>
        <v>36.236476333470939</v>
      </c>
      <c r="N116" s="65">
        <f t="shared" si="47"/>
        <v>-17.078132028435672</v>
      </c>
      <c r="O116" s="64">
        <f t="shared" si="38"/>
        <v>65.215785609432146</v>
      </c>
      <c r="P116" s="64">
        <f t="shared" si="39"/>
        <v>24.784214390567854</v>
      </c>
      <c r="Q116" s="65">
        <f t="shared" si="48"/>
        <v>-14.149759978911742</v>
      </c>
      <c r="R116" s="64">
        <f t="shared" si="41"/>
        <v>54.796776439289197</v>
      </c>
      <c r="S116" s="59">
        <f t="shared" si="42"/>
        <v>35.203223560710803</v>
      </c>
      <c r="T116" s="58">
        <f t="shared" si="49"/>
        <v>-16.781813129898325</v>
      </c>
      <c r="U116" s="66"/>
      <c r="V116" s="53">
        <f>H115</f>
        <v>-28.90561494195439</v>
      </c>
      <c r="AD116" s="50">
        <f>G115</f>
        <v>58.380447943724477</v>
      </c>
    </row>
    <row r="117" spans="1:30" x14ac:dyDescent="0.2">
      <c r="A117" s="67">
        <v>-13</v>
      </c>
      <c r="B117" s="66">
        <f t="shared" si="25"/>
        <v>-0.22689280275926285</v>
      </c>
      <c r="C117" s="64">
        <f t="shared" si="26"/>
        <v>20.213450659727567</v>
      </c>
      <c r="D117" s="64">
        <f t="shared" si="27"/>
        <v>69.78654934027243</v>
      </c>
      <c r="E117" s="65">
        <f t="shared" si="44"/>
        <v>-36.675449873929125</v>
      </c>
      <c r="F117" s="64">
        <f t="shared" si="29"/>
        <v>30.925102695001964</v>
      </c>
      <c r="G117" s="64">
        <f t="shared" si="30"/>
        <v>59.074897304998032</v>
      </c>
      <c r="H117" s="65">
        <f t="shared" si="45"/>
        <v>-25.377806506797167</v>
      </c>
      <c r="I117" s="64">
        <f t="shared" si="32"/>
        <v>42.143318523576191</v>
      </c>
      <c r="J117" s="64">
        <f t="shared" si="33"/>
        <v>47.856681476423809</v>
      </c>
      <c r="K117" s="65">
        <f t="shared" si="46"/>
        <v>-19.587970236412133</v>
      </c>
      <c r="L117" s="64">
        <f t="shared" si="35"/>
        <v>53.5475790171635</v>
      </c>
      <c r="M117" s="64">
        <f t="shared" si="36"/>
        <v>36.4524209828365</v>
      </c>
      <c r="N117" s="65">
        <f t="shared" si="47"/>
        <v>-15.892448041921787</v>
      </c>
      <c r="O117" s="64">
        <f t="shared" si="38"/>
        <v>65.036150366600012</v>
      </c>
      <c r="P117" s="64">
        <f t="shared" si="39"/>
        <v>24.963849633399988</v>
      </c>
      <c r="Q117" s="65">
        <f t="shared" si="48"/>
        <v>-13.158120743689055</v>
      </c>
      <c r="R117" s="64">
        <f t="shared" si="41"/>
        <v>54.584485604460397</v>
      </c>
      <c r="S117" s="59">
        <f t="shared" si="42"/>
        <v>35.415514395539603</v>
      </c>
      <c r="T117" s="58">
        <f t="shared" si="49"/>
        <v>-15.61542491743015</v>
      </c>
      <c r="U117" s="66"/>
      <c r="V117" s="53">
        <f>K115</f>
        <v>-22.440724015068746</v>
      </c>
      <c r="AD117" s="50">
        <f>J115</f>
        <v>47.310842886169894</v>
      </c>
    </row>
    <row r="118" spans="1:30" x14ac:dyDescent="0.2">
      <c r="A118" s="67">
        <v>-12</v>
      </c>
      <c r="B118" s="66">
        <f t="shared" si="25"/>
        <v>-0.20943951023931956</v>
      </c>
      <c r="C118" s="64">
        <f t="shared" si="26"/>
        <v>19.771505263883917</v>
      </c>
      <c r="D118" s="64">
        <f t="shared" si="27"/>
        <v>70.22849473611609</v>
      </c>
      <c r="E118" s="65">
        <f t="shared" si="44"/>
        <v>-34.323757837776064</v>
      </c>
      <c r="F118" s="64">
        <f t="shared" si="29"/>
        <v>30.609856102296291</v>
      </c>
      <c r="G118" s="64">
        <f t="shared" si="30"/>
        <v>59.390143897703709</v>
      </c>
      <c r="H118" s="65">
        <f t="shared" si="45"/>
        <v>-23.565615030816673</v>
      </c>
      <c r="I118" s="64">
        <f t="shared" si="32"/>
        <v>41.897271106430985</v>
      </c>
      <c r="J118" s="64">
        <f t="shared" si="33"/>
        <v>48.102728893569015</v>
      </c>
      <c r="K118" s="65">
        <f t="shared" si="46"/>
        <v>-18.139980228747671</v>
      </c>
      <c r="L118" s="64">
        <f t="shared" si="35"/>
        <v>53.346826819554302</v>
      </c>
      <c r="M118" s="64">
        <f t="shared" si="36"/>
        <v>36.653173180445698</v>
      </c>
      <c r="N118" s="65">
        <f t="shared" si="47"/>
        <v>-14.699456591774208</v>
      </c>
      <c r="O118" s="64">
        <f t="shared" si="38"/>
        <v>64.869366461254415</v>
      </c>
      <c r="P118" s="64">
        <f t="shared" si="39"/>
        <v>25.130633538745585</v>
      </c>
      <c r="Q118" s="65">
        <f t="shared" si="48"/>
        <v>-12.162357800344591</v>
      </c>
      <c r="R118" s="64">
        <f t="shared" si="41"/>
        <v>54.387158637311764</v>
      </c>
      <c r="S118" s="59">
        <f t="shared" si="42"/>
        <v>35.612841362688236</v>
      </c>
      <c r="T118" s="58">
        <f t="shared" si="49"/>
        <v>-14.442119573967148</v>
      </c>
      <c r="U118" s="66"/>
      <c r="V118" s="53">
        <f>N115</f>
        <v>-18.256078601092888</v>
      </c>
      <c r="AD118" s="50">
        <f>M115</f>
        <v>36.005527493102079</v>
      </c>
    </row>
    <row r="119" spans="1:30" x14ac:dyDescent="0.2">
      <c r="A119" s="67">
        <v>-11</v>
      </c>
      <c r="B119" s="66">
        <f t="shared" si="25"/>
        <v>-0.19198621771937624</v>
      </c>
      <c r="C119" s="64">
        <f t="shared" si="26"/>
        <v>19.355856866654502</v>
      </c>
      <c r="D119" s="64">
        <f t="shared" si="27"/>
        <v>70.644143133345494</v>
      </c>
      <c r="E119" s="65">
        <f t="shared" si="44"/>
        <v>-31.881071688261308</v>
      </c>
      <c r="F119" s="64">
        <f t="shared" si="29"/>
        <v>30.316858262108827</v>
      </c>
      <c r="G119" s="64">
        <f t="shared" si="30"/>
        <v>59.683141737891177</v>
      </c>
      <c r="H119" s="65">
        <f t="shared" si="45"/>
        <v>-21.722754121706924</v>
      </c>
      <c r="I119" s="64">
        <f t="shared" si="32"/>
        <v>41.669584110203324</v>
      </c>
      <c r="J119" s="64">
        <f t="shared" si="33"/>
        <v>48.330415889796676</v>
      </c>
      <c r="K119" s="65">
        <f t="shared" si="46"/>
        <v>-16.678585181266207</v>
      </c>
      <c r="L119" s="64">
        <f t="shared" si="35"/>
        <v>53.161444792767703</v>
      </c>
      <c r="M119" s="64">
        <f t="shared" si="36"/>
        <v>36.838555207232297</v>
      </c>
      <c r="N119" s="65">
        <f t="shared" si="47"/>
        <v>-13.499612421159807</v>
      </c>
      <c r="O119" s="64">
        <f t="shared" si="38"/>
        <v>64.715535915143363</v>
      </c>
      <c r="P119" s="64">
        <f t="shared" si="39"/>
        <v>25.284464084856637</v>
      </c>
      <c r="Q119" s="65">
        <f t="shared" si="48"/>
        <v>-11.162746473064507</v>
      </c>
      <c r="R119" s="64">
        <f t="shared" si="41"/>
        <v>54.204964214374726</v>
      </c>
      <c r="S119" s="59">
        <f t="shared" si="42"/>
        <v>35.795035785625274</v>
      </c>
      <c r="T119" s="58">
        <f t="shared" si="49"/>
        <v>-13.262331065011283</v>
      </c>
      <c r="U119" s="66"/>
      <c r="V119" s="53">
        <f>Q115</f>
        <v>-15.137010240230827</v>
      </c>
      <c r="AD119" s="50">
        <f>P115</f>
        <v>24.591836544320088</v>
      </c>
    </row>
    <row r="120" spans="1:30" x14ac:dyDescent="0.2">
      <c r="A120" s="67">
        <v>-10</v>
      </c>
      <c r="B120" s="66">
        <f t="shared" si="25"/>
        <v>-0.17453292519943295</v>
      </c>
      <c r="C120" s="64">
        <f t="shared" si="26"/>
        <v>18.968272341218892</v>
      </c>
      <c r="D120" s="64">
        <f t="shared" si="27"/>
        <v>71.031727658781108</v>
      </c>
      <c r="E120" s="65">
        <f t="shared" si="44"/>
        <v>-29.347529640723778</v>
      </c>
      <c r="F120" s="64">
        <f t="shared" si="29"/>
        <v>30.046779302192224</v>
      </c>
      <c r="G120" s="64">
        <f t="shared" si="30"/>
        <v>59.95322069780778</v>
      </c>
      <c r="H120" s="65">
        <f t="shared" si="45"/>
        <v>-19.850657976505463</v>
      </c>
      <c r="I120" s="64">
        <f t="shared" si="32"/>
        <v>41.460570189990058</v>
      </c>
      <c r="J120" s="64">
        <f t="shared" si="33"/>
        <v>48.539429810009942</v>
      </c>
      <c r="K120" s="65">
        <f t="shared" si="46"/>
        <v>-15.20462261798572</v>
      </c>
      <c r="L120" s="64">
        <f t="shared" si="35"/>
        <v>52.991599406260782</v>
      </c>
      <c r="M120" s="64">
        <f t="shared" si="36"/>
        <v>37.008400593739218</v>
      </c>
      <c r="N120" s="65">
        <f t="shared" si="47"/>
        <v>-12.293394053136455</v>
      </c>
      <c r="O120" s="64">
        <f t="shared" si="38"/>
        <v>64.574753748788382</v>
      </c>
      <c r="P120" s="64">
        <f t="shared" si="39"/>
        <v>25.425246251211618</v>
      </c>
      <c r="Q120" s="65">
        <f t="shared" si="48"/>
        <v>-10.159571613785886</v>
      </c>
      <c r="R120" s="64">
        <f t="shared" si="41"/>
        <v>54.038060232737756</v>
      </c>
      <c r="S120" s="59">
        <f t="shared" si="42"/>
        <v>35.961939767262244</v>
      </c>
      <c r="T120" s="58">
        <f t="shared" si="49"/>
        <v>-12.076515154652014</v>
      </c>
      <c r="U120" s="66"/>
    </row>
    <row r="121" spans="1:30" x14ac:dyDescent="0.2">
      <c r="A121" s="67">
        <v>-9</v>
      </c>
      <c r="B121" s="66">
        <f t="shared" si="25"/>
        <v>-0.15707963267948966</v>
      </c>
      <c r="C121" s="64">
        <f t="shared" si="26"/>
        <v>18.610540506090125</v>
      </c>
      <c r="D121" s="64">
        <f t="shared" si="27"/>
        <v>71.389459493909868</v>
      </c>
      <c r="E121" s="65">
        <f t="shared" si="44"/>
        <v>-26.724392678511297</v>
      </c>
      <c r="F121" s="64">
        <f t="shared" si="29"/>
        <v>29.800260049753799</v>
      </c>
      <c r="G121" s="64">
        <f t="shared" si="30"/>
        <v>60.199739950246197</v>
      </c>
      <c r="H121" s="65">
        <f t="shared" si="45"/>
        <v>-17.950999836443017</v>
      </c>
      <c r="I121" s="64">
        <f t="shared" si="32"/>
        <v>41.270522356602925</v>
      </c>
      <c r="J121" s="64">
        <f t="shared" si="33"/>
        <v>48.729477643397075</v>
      </c>
      <c r="K121" s="65">
        <f t="shared" si="46"/>
        <v>-13.718995549944374</v>
      </c>
      <c r="L121" s="64">
        <f t="shared" si="35"/>
        <v>52.837445199572635</v>
      </c>
      <c r="M121" s="64">
        <f t="shared" si="36"/>
        <v>37.162554800427365</v>
      </c>
      <c r="N121" s="65">
        <f t="shared" si="47"/>
        <v>-11.081302594650388</v>
      </c>
      <c r="O121" s="64">
        <f t="shared" si="38"/>
        <v>64.447107707734219</v>
      </c>
      <c r="P121" s="64">
        <f t="shared" si="39"/>
        <v>25.552892292265781</v>
      </c>
      <c r="Q121" s="65">
        <f t="shared" si="48"/>
        <v>-9.153127019028803</v>
      </c>
      <c r="R121" s="64">
        <f t="shared" si="41"/>
        <v>53.88659318572892</v>
      </c>
      <c r="S121" s="59">
        <f t="shared" si="42"/>
        <v>36.11340681427108</v>
      </c>
      <c r="T121" s="58">
        <f t="shared" si="49"/>
        <v>-10.885148281954375</v>
      </c>
      <c r="U121" s="66"/>
    </row>
    <row r="122" spans="1:30" x14ac:dyDescent="0.2">
      <c r="A122" s="67">
        <v>-8</v>
      </c>
      <c r="B122" s="66">
        <f t="shared" si="25"/>
        <v>-0.13962634015954636</v>
      </c>
      <c r="C122" s="64">
        <f t="shared" si="26"/>
        <v>18.284446129952979</v>
      </c>
      <c r="D122" s="64">
        <f t="shared" si="27"/>
        <v>71.715553870047017</v>
      </c>
      <c r="E122" s="65">
        <f t="shared" si="44"/>
        <v>-24.01420876635963</v>
      </c>
      <c r="F122" s="64">
        <f t="shared" si="29"/>
        <v>29.577905673604274</v>
      </c>
      <c r="G122" s="64">
        <f t="shared" si="30"/>
        <v>60.422094326395722</v>
      </c>
      <c r="H122" s="65">
        <f t="shared" si="45"/>
        <v>-16.025691645688113</v>
      </c>
      <c r="I122" s="64">
        <f t="shared" si="32"/>
        <v>41.099712142755578</v>
      </c>
      <c r="J122" s="64">
        <f t="shared" si="33"/>
        <v>48.900287857244422</v>
      </c>
      <c r="K122" s="65">
        <f t="shared" si="46"/>
        <v>-12.222669677417878</v>
      </c>
      <c r="L122" s="64">
        <f t="shared" si="35"/>
        <v>52.699124135779655</v>
      </c>
      <c r="M122" s="64">
        <f t="shared" si="36"/>
        <v>37.300875864220345</v>
      </c>
      <c r="N122" s="65">
        <f t="shared" si="47"/>
        <v>-9.8638603607619402</v>
      </c>
      <c r="O122" s="64">
        <f t="shared" si="38"/>
        <v>64.332678005737776</v>
      </c>
      <c r="P122" s="64">
        <f t="shared" si="39"/>
        <v>25.667321994262224</v>
      </c>
      <c r="Q122" s="65">
        <f t="shared" si="48"/>
        <v>-8.1437147963056979</v>
      </c>
      <c r="R122" s="64">
        <f t="shared" si="41"/>
        <v>53.750697570461121</v>
      </c>
      <c r="S122" s="59">
        <f t="shared" si="42"/>
        <v>36.249302429538879</v>
      </c>
      <c r="T122" s="58">
        <f t="shared" si="49"/>
        <v>-9.6887262779695966</v>
      </c>
      <c r="U122" s="66"/>
    </row>
    <row r="123" spans="1:30" x14ac:dyDescent="0.2">
      <c r="A123" s="67">
        <v>-7</v>
      </c>
      <c r="B123" s="66">
        <f t="shared" si="25"/>
        <v>-0.12217304763960307</v>
      </c>
      <c r="C123" s="64">
        <f t="shared" si="26"/>
        <v>17.99173905080373</v>
      </c>
      <c r="D123" s="64">
        <f t="shared" si="27"/>
        <v>72.00826094919627</v>
      </c>
      <c r="E123" s="65">
        <f t="shared" si="44"/>
        <v>-21.220956933774321</v>
      </c>
      <c r="F123" s="64">
        <f t="shared" si="29"/>
        <v>29.380279287334734</v>
      </c>
      <c r="G123" s="64">
        <f t="shared" si="30"/>
        <v>60.61972071266527</v>
      </c>
      <c r="H123" s="65">
        <f t="shared" si="45"/>
        <v>-14.076879392710099</v>
      </c>
      <c r="I123" s="64">
        <f t="shared" si="32"/>
        <v>40.948387844749433</v>
      </c>
      <c r="J123" s="64">
        <f t="shared" si="33"/>
        <v>49.051612155250567</v>
      </c>
      <c r="K123" s="65">
        <f t="shared" si="46"/>
        <v>-10.716669834794835</v>
      </c>
      <c r="L123" s="64">
        <f t="shared" si="35"/>
        <v>52.57676499477062</v>
      </c>
      <c r="M123" s="64">
        <f t="shared" si="36"/>
        <v>37.42323500522938</v>
      </c>
      <c r="N123" s="65">
        <f t="shared" si="47"/>
        <v>-8.641609324784552</v>
      </c>
      <c r="O123" s="64">
        <f t="shared" si="38"/>
        <v>64.231537086609649</v>
      </c>
      <c r="P123" s="64">
        <f t="shared" si="39"/>
        <v>25.768462913390351</v>
      </c>
      <c r="Q123" s="65">
        <f t="shared" si="48"/>
        <v>-7.1316446827073863</v>
      </c>
      <c r="R123" s="64">
        <f t="shared" si="41"/>
        <v>53.630495332616221</v>
      </c>
      <c r="S123" s="59">
        <f t="shared" si="42"/>
        <v>36.369504667383779</v>
      </c>
      <c r="T123" s="58">
        <f t="shared" si="49"/>
        <v>-8.4877629287769771</v>
      </c>
      <c r="U123" s="66"/>
    </row>
    <row r="124" spans="1:30" x14ac:dyDescent="0.2">
      <c r="A124" s="67">
        <v>-6</v>
      </c>
      <c r="B124" s="66">
        <f t="shared" si="25"/>
        <v>-0.10471975511965978</v>
      </c>
      <c r="C124" s="64">
        <f t="shared" si="26"/>
        <v>17.734098918336628</v>
      </c>
      <c r="D124" s="64">
        <f t="shared" si="27"/>
        <v>72.265901081663372</v>
      </c>
      <c r="E124" s="65">
        <f t="shared" si="44"/>
        <v>-18.350156518646141</v>
      </c>
      <c r="F124" s="64">
        <f t="shared" si="29"/>
        <v>29.207895648929856</v>
      </c>
      <c r="G124" s="64">
        <f t="shared" si="30"/>
        <v>60.792104351070144</v>
      </c>
      <c r="H124" s="65">
        <f t="shared" si="45"/>
        <v>-12.106933813455912</v>
      </c>
      <c r="I124" s="64">
        <f t="shared" si="32"/>
        <v>40.816772864578972</v>
      </c>
      <c r="J124" s="64">
        <f t="shared" si="33"/>
        <v>49.183227135421028</v>
      </c>
      <c r="K124" s="65">
        <f t="shared" si="46"/>
        <v>-9.2020756880470653</v>
      </c>
      <c r="L124" s="64">
        <f t="shared" si="35"/>
        <v>52.470482812206306</v>
      </c>
      <c r="M124" s="64">
        <f t="shared" si="36"/>
        <v>37.529517187793694</v>
      </c>
      <c r="N124" s="65">
        <f t="shared" si="47"/>
        <v>-7.4151094025643536</v>
      </c>
      <c r="O124" s="64">
        <f t="shared" si="38"/>
        <v>64.143749406331239</v>
      </c>
      <c r="P124" s="64">
        <f t="shared" si="39"/>
        <v>25.856250593668761</v>
      </c>
      <c r="Q124" s="65">
        <f t="shared" si="48"/>
        <v>-6.1172333187750887</v>
      </c>
      <c r="R124" s="64">
        <f t="shared" si="41"/>
        <v>53.5260953536622</v>
      </c>
      <c r="S124" s="59">
        <f t="shared" si="42"/>
        <v>36.4739046463378</v>
      </c>
      <c r="T124" s="58">
        <f t="shared" si="49"/>
        <v>-7.2827883921549104</v>
      </c>
      <c r="U124" s="66"/>
    </row>
    <row r="125" spans="1:30" x14ac:dyDescent="0.2">
      <c r="A125" s="67">
        <v>-5</v>
      </c>
      <c r="B125" s="66">
        <f t="shared" si="25"/>
        <v>-8.7266462599716474E-2</v>
      </c>
      <c r="C125" s="64">
        <f t="shared" si="26"/>
        <v>17.513096550567354</v>
      </c>
      <c r="D125" s="64">
        <f t="shared" si="27"/>
        <v>72.486903449432646</v>
      </c>
      <c r="E125" s="65">
        <f t="shared" si="44"/>
        <v>-15.40892597593769</v>
      </c>
      <c r="F125" s="64">
        <f t="shared" si="29"/>
        <v>29.061215103648497</v>
      </c>
      <c r="G125" s="64">
        <f t="shared" si="30"/>
        <v>60.938784896351507</v>
      </c>
      <c r="H125" s="65">
        <f t="shared" si="45"/>
        <v>-10.118436277573247</v>
      </c>
      <c r="I125" s="64">
        <f t="shared" si="32"/>
        <v>40.705064177075627</v>
      </c>
      <c r="J125" s="64">
        <f t="shared" si="33"/>
        <v>49.294935822924373</v>
      </c>
      <c r="K125" s="65">
        <f t="shared" si="46"/>
        <v>-7.6800167111045026</v>
      </c>
      <c r="L125" s="64">
        <f t="shared" si="35"/>
        <v>52.380378369741031</v>
      </c>
      <c r="M125" s="64">
        <f t="shared" si="36"/>
        <v>37.619621630258969</v>
      </c>
      <c r="N125" s="65">
        <f t="shared" si="47"/>
        <v>-6.1849365816495974</v>
      </c>
      <c r="O125" s="64">
        <f t="shared" si="38"/>
        <v>64.069371236959654</v>
      </c>
      <c r="P125" s="64">
        <f t="shared" si="39"/>
        <v>25.930628763040346</v>
      </c>
      <c r="Q125" s="65">
        <f t="shared" si="48"/>
        <v>-5.1008034812478664</v>
      </c>
      <c r="R125" s="64">
        <f t="shared" si="41"/>
        <v>53.437592985430442</v>
      </c>
      <c r="S125" s="59">
        <f t="shared" si="42"/>
        <v>36.562407014569558</v>
      </c>
      <c r="T125" s="58">
        <f t="shared" si="49"/>
        <v>-6.0743474776270938</v>
      </c>
      <c r="U125" s="66"/>
    </row>
    <row r="126" spans="1:30" x14ac:dyDescent="0.2">
      <c r="A126" s="67">
        <v>-4</v>
      </c>
      <c r="B126" s="66">
        <f t="shared" si="25"/>
        <v>-6.9813170079773182E-2</v>
      </c>
      <c r="C126" s="64">
        <f t="shared" si="26"/>
        <v>17.330153409734471</v>
      </c>
      <c r="D126" s="64">
        <f t="shared" si="27"/>
        <v>72.669846590265536</v>
      </c>
      <c r="E126" s="65">
        <f t="shared" si="44"/>
        <v>-12.40597653030861</v>
      </c>
      <c r="F126" s="64">
        <f t="shared" si="29"/>
        <v>28.940637923251419</v>
      </c>
      <c r="G126" s="64">
        <f t="shared" si="30"/>
        <v>61.059362076748585</v>
      </c>
      <c r="H126" s="65">
        <f t="shared" si="45"/>
        <v>-8.1141598481488728</v>
      </c>
      <c r="I126" s="64">
        <f t="shared" si="32"/>
        <v>40.613430945794221</v>
      </c>
      <c r="J126" s="64">
        <f t="shared" si="33"/>
        <v>49.386569054205779</v>
      </c>
      <c r="K126" s="65">
        <f t="shared" si="46"/>
        <v>-6.1516664841947666</v>
      </c>
      <c r="L126" s="64">
        <f t="shared" si="35"/>
        <v>52.306537741699707</v>
      </c>
      <c r="M126" s="64">
        <f t="shared" si="36"/>
        <v>37.693462258300293</v>
      </c>
      <c r="N126" s="65">
        <f t="shared" si="47"/>
        <v>-4.9516809085330387</v>
      </c>
      <c r="O126" s="64">
        <f t="shared" si="38"/>
        <v>64.008450493703691</v>
      </c>
      <c r="P126" s="64">
        <f t="shared" si="39"/>
        <v>25.991549506296309</v>
      </c>
      <c r="Q126" s="65">
        <f t="shared" si="48"/>
        <v>-4.0826832787299825</v>
      </c>
      <c r="R126" s="64">
        <f t="shared" si="41"/>
        <v>53.365069636632562</v>
      </c>
      <c r="S126" s="59">
        <f t="shared" si="42"/>
        <v>36.634930363367438</v>
      </c>
      <c r="T126" s="58">
        <f t="shared" si="49"/>
        <v>-4.862997801707186</v>
      </c>
      <c r="U126" s="66"/>
    </row>
    <row r="127" spans="1:30" x14ac:dyDescent="0.2">
      <c r="A127" s="67">
        <v>-3</v>
      </c>
      <c r="B127" s="66">
        <f t="shared" si="25"/>
        <v>-5.235987755982989E-2</v>
      </c>
      <c r="C127" s="64">
        <f t="shared" si="26"/>
        <v>17.186501182213718</v>
      </c>
      <c r="D127" s="64">
        <f t="shared" si="27"/>
        <v>72.813498817786282</v>
      </c>
      <c r="E127" s="65">
        <f t="shared" si="44"/>
        <v>-9.3515290370814697</v>
      </c>
      <c r="F127" s="64">
        <f t="shared" si="29"/>
        <v>28.846499194707995</v>
      </c>
      <c r="G127" s="64">
        <f t="shared" si="30"/>
        <v>61.153500805292005</v>
      </c>
      <c r="H127" s="65">
        <f t="shared" si="45"/>
        <v>-6.0970456941544278</v>
      </c>
      <c r="I127" s="64">
        <f t="shared" si="32"/>
        <v>40.542013309804204</v>
      </c>
      <c r="J127" s="64">
        <f t="shared" si="33"/>
        <v>49.457986690195796</v>
      </c>
      <c r="K127" s="65">
        <f t="shared" si="46"/>
        <v>-4.6182363737591707</v>
      </c>
      <c r="L127" s="64">
        <f t="shared" si="35"/>
        <v>52.249031902928266</v>
      </c>
      <c r="M127" s="64">
        <f t="shared" si="36"/>
        <v>37.750968097071734</v>
      </c>
      <c r="N127" s="65">
        <f t="shared" si="47"/>
        <v>-3.7159443494472151</v>
      </c>
      <c r="O127" s="64">
        <f t="shared" si="38"/>
        <v>63.961026586408053</v>
      </c>
      <c r="P127" s="64">
        <f t="shared" si="39"/>
        <v>26.038973413591947</v>
      </c>
      <c r="Q127" s="65">
        <f t="shared" si="48"/>
        <v>-3.063205314733775</v>
      </c>
      <c r="R127" s="64">
        <f t="shared" si="41"/>
        <v>53.308592415468887</v>
      </c>
      <c r="S127" s="59">
        <f t="shared" si="42"/>
        <v>36.691407584531113</v>
      </c>
      <c r="T127" s="58">
        <f t="shared" si="49"/>
        <v>-3.64930783211544</v>
      </c>
      <c r="U127" s="66"/>
    </row>
    <row r="128" spans="1:30" x14ac:dyDescent="0.2">
      <c r="A128" s="67">
        <v>-2</v>
      </c>
      <c r="B128" s="66">
        <f t="shared" si="25"/>
        <v>-3.4906585039886591E-2</v>
      </c>
      <c r="C128" s="64">
        <f t="shared" si="26"/>
        <v>17.083143810107636</v>
      </c>
      <c r="D128" s="64">
        <f t="shared" si="27"/>
        <v>72.916856189892371</v>
      </c>
      <c r="E128" s="65">
        <f t="shared" si="44"/>
        <v>-6.257147848211539</v>
      </c>
      <c r="F128" s="64">
        <f t="shared" si="29"/>
        <v>28.779064404673733</v>
      </c>
      <c r="G128" s="64">
        <f t="shared" si="30"/>
        <v>61.220935595326267</v>
      </c>
      <c r="H128" s="65">
        <f t="shared" si="45"/>
        <v>-4.0701752325224332</v>
      </c>
      <c r="I128" s="64">
        <f t="shared" si="32"/>
        <v>40.490921361390882</v>
      </c>
      <c r="J128" s="64">
        <f t="shared" si="33"/>
        <v>49.509078638609118</v>
      </c>
      <c r="K128" s="65">
        <f t="shared" si="46"/>
        <v>-3.0809686692833047</v>
      </c>
      <c r="L128" s="64">
        <f t="shared" si="35"/>
        <v>52.207916401973279</v>
      </c>
      <c r="M128" s="64">
        <f t="shared" si="36"/>
        <v>37.792083598026721</v>
      </c>
      <c r="N128" s="65">
        <f t="shared" si="47"/>
        <v>-2.4783385422886233</v>
      </c>
      <c r="O128" s="64">
        <f t="shared" si="38"/>
        <v>63.92713029652154</v>
      </c>
      <c r="P128" s="64">
        <f t="shared" si="39"/>
        <v>26.07286970347846</v>
      </c>
      <c r="Q128" s="65">
        <f t="shared" si="48"/>
        <v>-2.0427058229372999</v>
      </c>
      <c r="R128" s="64">
        <f t="shared" si="41"/>
        <v>53.26821383198066</v>
      </c>
      <c r="S128" s="59">
        <f t="shared" si="42"/>
        <v>36.73178616801934</v>
      </c>
      <c r="T128" s="58">
        <f t="shared" si="49"/>
        <v>-2.4338548365214643</v>
      </c>
      <c r="U128" s="66"/>
    </row>
    <row r="129" spans="1:31" x14ac:dyDescent="0.2">
      <c r="A129" s="67">
        <v>-1</v>
      </c>
      <c r="B129" s="66">
        <f t="shared" si="25"/>
        <v>-1.7453292519943295E-2</v>
      </c>
      <c r="C129" s="64">
        <f t="shared" si="26"/>
        <v>17.020824483946761</v>
      </c>
      <c r="D129" s="64">
        <f t="shared" si="27"/>
        <v>72.979175516053232</v>
      </c>
      <c r="E129" s="65">
        <f t="shared" si="44"/>
        <v>-3.13549292226784</v>
      </c>
      <c r="F129" s="64">
        <f t="shared" si="29"/>
        <v>28.738525852042393</v>
      </c>
      <c r="G129" s="64">
        <f t="shared" si="30"/>
        <v>61.261474147957607</v>
      </c>
      <c r="H129" s="65">
        <f t="shared" si="45"/>
        <v>-2.0367385709851633</v>
      </c>
      <c r="I129" s="64">
        <f t="shared" si="32"/>
        <v>40.460234331936441</v>
      </c>
      <c r="J129" s="64">
        <f t="shared" si="33"/>
        <v>49.539765668063559</v>
      </c>
      <c r="K129" s="65">
        <f t="shared" si="46"/>
        <v>-1.5411292666668182</v>
      </c>
      <c r="L129" s="64">
        <f t="shared" si="35"/>
        <v>52.183231103106124</v>
      </c>
      <c r="M129" s="64">
        <f t="shared" si="36"/>
        <v>37.816768896893876</v>
      </c>
      <c r="N129" s="65">
        <f t="shared" si="47"/>
        <v>-1.2394824590905875</v>
      </c>
      <c r="O129" s="64">
        <f t="shared" si="38"/>
        <v>63.906783680449045</v>
      </c>
      <c r="P129" s="64">
        <f t="shared" si="39"/>
        <v>26.093216319550955</v>
      </c>
      <c r="Q129" s="65">
        <f t="shared" si="48"/>
        <v>-1.0215237798052461</v>
      </c>
      <c r="R129" s="64">
        <f t="shared" si="41"/>
        <v>53.243971563231142</v>
      </c>
      <c r="S129" s="59">
        <f t="shared" si="42"/>
        <v>36.756028436768858</v>
      </c>
      <c r="T129" s="58">
        <f t="shared" si="49"/>
        <v>-1.2172227529110393</v>
      </c>
      <c r="U129" s="66"/>
    </row>
    <row r="130" spans="1:31" s="54" customFormat="1" x14ac:dyDescent="0.2">
      <c r="A130" s="63">
        <v>-1E-3</v>
      </c>
      <c r="B130" s="62">
        <f t="shared" si="25"/>
        <v>-1.7453292519943296E-5</v>
      </c>
      <c r="C130" s="60">
        <f t="shared" si="26"/>
        <v>17.000000020837401</v>
      </c>
      <c r="D130" s="60">
        <f t="shared" si="27"/>
        <v>72.999999979162595</v>
      </c>
      <c r="E130" s="61">
        <f t="shared" si="44"/>
        <v>-3.1378138733201516E-3</v>
      </c>
      <c r="F130" s="60">
        <f t="shared" si="29"/>
        <v>28.725000013529119</v>
      </c>
      <c r="G130" s="60">
        <f t="shared" si="30"/>
        <v>61.274999986470881</v>
      </c>
      <c r="H130" s="61">
        <f t="shared" si="45"/>
        <v>-2.0372914124334421E-3</v>
      </c>
      <c r="I130" s="60">
        <f t="shared" si="32"/>
        <v>40.450000010235662</v>
      </c>
      <c r="J130" s="60">
        <f t="shared" si="33"/>
        <v>49.549999989764338</v>
      </c>
      <c r="K130" s="61">
        <f t="shared" si="46"/>
        <v>-1.5413447353594351E-3</v>
      </c>
      <c r="L130" s="60">
        <f t="shared" si="35"/>
        <v>52.17500000823177</v>
      </c>
      <c r="M130" s="60">
        <f t="shared" si="36"/>
        <v>37.82499999176823</v>
      </c>
      <c r="N130" s="61">
        <f t="shared" si="47"/>
        <v>-1.2395870151954635E-3</v>
      </c>
      <c r="O130" s="60">
        <f t="shared" si="38"/>
        <v>63.900000006784055</v>
      </c>
      <c r="P130" s="60">
        <f t="shared" si="39"/>
        <v>26.099999993215945</v>
      </c>
      <c r="Q130" s="61">
        <f t="shared" si="48"/>
        <v>-1.0215814641510717E-3</v>
      </c>
      <c r="R130" s="60">
        <f t="shared" si="41"/>
        <v>53.235888291862167</v>
      </c>
      <c r="S130" s="59">
        <f t="shared" si="42"/>
        <v>36.764111708137833</v>
      </c>
      <c r="T130" s="58">
        <f t="shared" si="49"/>
        <v>-1.2173213510347086E-3</v>
      </c>
      <c r="U130" s="62"/>
      <c r="V130" s="56">
        <f>E130</f>
        <v>-3.1378138733201516E-3</v>
      </c>
      <c r="W130" s="55"/>
      <c r="AE130" s="55">
        <f>D130</f>
        <v>72.999999979162595</v>
      </c>
    </row>
    <row r="131" spans="1:31" s="54" customFormat="1" x14ac:dyDescent="0.2">
      <c r="A131" s="63">
        <v>1E-3</v>
      </c>
      <c r="B131" s="62">
        <f t="shared" si="25"/>
        <v>1.7453292519943296E-5</v>
      </c>
      <c r="C131" s="60">
        <f t="shared" si="26"/>
        <v>17.000000020837401</v>
      </c>
      <c r="D131" s="60">
        <f t="shared" si="27"/>
        <v>72.999999979162595</v>
      </c>
      <c r="E131" s="61">
        <f t="shared" ref="E131:E162" si="50">DEGREES(ACOS((SIN(RADIANS(D131))*SIN($C$6)-SIN(C$5))/(COS(RADIANS(D131))*COS($C$6))))</f>
        <v>3.1378138733201516E-3</v>
      </c>
      <c r="F131" s="60">
        <f t="shared" si="29"/>
        <v>28.725000013529119</v>
      </c>
      <c r="G131" s="60">
        <f t="shared" si="30"/>
        <v>61.274999986470881</v>
      </c>
      <c r="H131" s="61">
        <f t="shared" ref="H131:H162" si="51">DEGREES(ACOS((SIN(RADIANS(G131))*SIN($C$6)-SIN(G$5))/(COS(RADIANS(G131))*COS($C$6))))</f>
        <v>2.0372914124334421E-3</v>
      </c>
      <c r="I131" s="60">
        <f t="shared" si="32"/>
        <v>40.450000010235662</v>
      </c>
      <c r="J131" s="60">
        <f t="shared" si="33"/>
        <v>49.549999989764338</v>
      </c>
      <c r="K131" s="61">
        <f t="shared" ref="K131:K162" si="52">DEGREES(ACOS((SIN(RADIANS(J131))*SIN($C$6)-SIN(J$5))/(COS(RADIANS(J131))*COS($C$6))))</f>
        <v>1.5413447353594351E-3</v>
      </c>
      <c r="L131" s="60">
        <f t="shared" si="35"/>
        <v>52.17500000823177</v>
      </c>
      <c r="M131" s="60">
        <f t="shared" si="36"/>
        <v>37.82499999176823</v>
      </c>
      <c r="N131" s="61">
        <f t="shared" ref="N131:N162" si="53">DEGREES(ACOS((SIN(RADIANS(M131))*SIN($C$6)-SIN(M$5))/(COS(RADIANS(M131))*COS($C$6))))</f>
        <v>1.2395870151954635E-3</v>
      </c>
      <c r="O131" s="60">
        <f t="shared" si="38"/>
        <v>63.900000006784055</v>
      </c>
      <c r="P131" s="60">
        <f t="shared" si="39"/>
        <v>26.099999993215945</v>
      </c>
      <c r="Q131" s="61">
        <f t="shared" ref="Q131:Q162" si="54">DEGREES(ACOS((SIN(RADIANS(P131))*SIN($C$6)-SIN(P$5))/(COS(RADIANS(P131))*COS($C$6))))</f>
        <v>1.0215814641510717E-3</v>
      </c>
      <c r="R131" s="60">
        <f t="shared" si="41"/>
        <v>53.235888291862167</v>
      </c>
      <c r="S131" s="59">
        <f t="shared" si="42"/>
        <v>36.764111708137833</v>
      </c>
      <c r="T131" s="58">
        <f t="shared" ref="T131:T162" si="55">DEGREES(ACOS((SIN(RADIANS(S131))*SIN($C$6)-SIN(S$5))/(COS(RADIANS(S131))*COS($C$6))))</f>
        <v>1.2173213510347086E-3</v>
      </c>
      <c r="U131" s="62"/>
      <c r="V131" s="71">
        <f>IF($B$6&gt;=0,0,180)</f>
        <v>0</v>
      </c>
      <c r="W131" s="55"/>
      <c r="AE131" s="55">
        <f>D131</f>
        <v>72.999999979162595</v>
      </c>
    </row>
    <row r="132" spans="1:31" x14ac:dyDescent="0.2">
      <c r="A132" s="67">
        <v>1</v>
      </c>
      <c r="B132" s="66">
        <f t="shared" si="25"/>
        <v>1.7453292519943295E-2</v>
      </c>
      <c r="C132" s="64">
        <f t="shared" si="26"/>
        <v>17.020824483946761</v>
      </c>
      <c r="D132" s="64">
        <f t="shared" si="27"/>
        <v>72.979175516053232</v>
      </c>
      <c r="E132" s="65">
        <f t="shared" si="50"/>
        <v>3.13549292226784</v>
      </c>
      <c r="F132" s="64">
        <f t="shared" si="29"/>
        <v>28.738525852042393</v>
      </c>
      <c r="G132" s="64">
        <f t="shared" si="30"/>
        <v>61.261474147957607</v>
      </c>
      <c r="H132" s="65">
        <f t="shared" si="51"/>
        <v>2.0367385709851633</v>
      </c>
      <c r="I132" s="64">
        <f t="shared" si="32"/>
        <v>40.460234331936441</v>
      </c>
      <c r="J132" s="64">
        <f t="shared" si="33"/>
        <v>49.539765668063559</v>
      </c>
      <c r="K132" s="65">
        <f t="shared" si="52"/>
        <v>1.5411292666668182</v>
      </c>
      <c r="L132" s="64">
        <f t="shared" si="35"/>
        <v>52.183231103106124</v>
      </c>
      <c r="M132" s="64">
        <f t="shared" si="36"/>
        <v>37.816768896893876</v>
      </c>
      <c r="N132" s="65">
        <f t="shared" si="53"/>
        <v>1.2394824590905875</v>
      </c>
      <c r="O132" s="64">
        <f t="shared" si="38"/>
        <v>63.906783680449045</v>
      </c>
      <c r="P132" s="64">
        <f t="shared" si="39"/>
        <v>26.093216319550955</v>
      </c>
      <c r="Q132" s="65">
        <f t="shared" si="54"/>
        <v>1.0215237798052461</v>
      </c>
      <c r="R132" s="64">
        <f t="shared" si="41"/>
        <v>53.243971563231142</v>
      </c>
      <c r="S132" s="59">
        <f t="shared" si="42"/>
        <v>36.756028436768858</v>
      </c>
      <c r="T132" s="58">
        <f t="shared" si="55"/>
        <v>1.2172227529110393</v>
      </c>
      <c r="U132" s="66"/>
      <c r="V132" s="53">
        <f>IF($B$6&gt;=0,0,180)</f>
        <v>0</v>
      </c>
      <c r="AE132" s="50">
        <f>G131</f>
        <v>61.274999986470881</v>
      </c>
    </row>
    <row r="133" spans="1:31" x14ac:dyDescent="0.2">
      <c r="A133" s="67">
        <v>2</v>
      </c>
      <c r="B133" s="66">
        <f t="shared" si="25"/>
        <v>3.4906585039886591E-2</v>
      </c>
      <c r="C133" s="64">
        <f t="shared" si="26"/>
        <v>17.083143810107636</v>
      </c>
      <c r="D133" s="64">
        <f t="shared" si="27"/>
        <v>72.916856189892371</v>
      </c>
      <c r="E133" s="65">
        <f t="shared" si="50"/>
        <v>6.257147848211539</v>
      </c>
      <c r="F133" s="64">
        <f t="shared" si="29"/>
        <v>28.779064404673733</v>
      </c>
      <c r="G133" s="64">
        <f t="shared" si="30"/>
        <v>61.220935595326267</v>
      </c>
      <c r="H133" s="65">
        <f t="shared" si="51"/>
        <v>4.0701752325224332</v>
      </c>
      <c r="I133" s="64">
        <f t="shared" si="32"/>
        <v>40.490921361390882</v>
      </c>
      <c r="J133" s="64">
        <f t="shared" si="33"/>
        <v>49.509078638609118</v>
      </c>
      <c r="K133" s="65">
        <f t="shared" si="52"/>
        <v>3.0809686692833047</v>
      </c>
      <c r="L133" s="64">
        <f t="shared" si="35"/>
        <v>52.207916401973279</v>
      </c>
      <c r="M133" s="64">
        <f t="shared" si="36"/>
        <v>37.792083598026721</v>
      </c>
      <c r="N133" s="65">
        <f t="shared" si="53"/>
        <v>2.4783385422886233</v>
      </c>
      <c r="O133" s="64">
        <f t="shared" si="38"/>
        <v>63.92713029652154</v>
      </c>
      <c r="P133" s="64">
        <f t="shared" si="39"/>
        <v>26.07286970347846</v>
      </c>
      <c r="Q133" s="65">
        <f t="shared" si="54"/>
        <v>2.0427058229372999</v>
      </c>
      <c r="R133" s="64">
        <f t="shared" si="41"/>
        <v>53.26821383198066</v>
      </c>
      <c r="S133" s="59">
        <f t="shared" si="42"/>
        <v>36.73178616801934</v>
      </c>
      <c r="T133" s="58">
        <f t="shared" si="55"/>
        <v>2.4338548365214643</v>
      </c>
      <c r="U133" s="66"/>
      <c r="V133" s="53">
        <f>IF($B$6&gt;=0,0,180)</f>
        <v>0</v>
      </c>
      <c r="AE133" s="50">
        <f>J131</f>
        <v>49.549999989764338</v>
      </c>
    </row>
    <row r="134" spans="1:31" x14ac:dyDescent="0.2">
      <c r="A134" s="67">
        <v>3</v>
      </c>
      <c r="B134" s="66">
        <f t="shared" si="25"/>
        <v>5.235987755982989E-2</v>
      </c>
      <c r="C134" s="64">
        <f t="shared" si="26"/>
        <v>17.186501182213718</v>
      </c>
      <c r="D134" s="64">
        <f t="shared" si="27"/>
        <v>72.813498817786282</v>
      </c>
      <c r="E134" s="65">
        <f t="shared" si="50"/>
        <v>9.3515290370814697</v>
      </c>
      <c r="F134" s="64">
        <f t="shared" si="29"/>
        <v>28.846499194707995</v>
      </c>
      <c r="G134" s="64">
        <f t="shared" si="30"/>
        <v>61.153500805292005</v>
      </c>
      <c r="H134" s="65">
        <f t="shared" si="51"/>
        <v>6.0970456941544278</v>
      </c>
      <c r="I134" s="64">
        <f t="shared" si="32"/>
        <v>40.542013309804204</v>
      </c>
      <c r="J134" s="64">
        <f t="shared" si="33"/>
        <v>49.457986690195796</v>
      </c>
      <c r="K134" s="65">
        <f t="shared" si="52"/>
        <v>4.6182363737591707</v>
      </c>
      <c r="L134" s="64">
        <f t="shared" si="35"/>
        <v>52.249031902928266</v>
      </c>
      <c r="M134" s="64">
        <f t="shared" si="36"/>
        <v>37.750968097071734</v>
      </c>
      <c r="N134" s="65">
        <f t="shared" si="53"/>
        <v>3.7159443494472151</v>
      </c>
      <c r="O134" s="64">
        <f t="shared" si="38"/>
        <v>63.961026586408053</v>
      </c>
      <c r="P134" s="64">
        <f t="shared" si="39"/>
        <v>26.038973413591947</v>
      </c>
      <c r="Q134" s="65">
        <f t="shared" si="54"/>
        <v>3.063205314733775</v>
      </c>
      <c r="R134" s="64">
        <f t="shared" si="41"/>
        <v>53.308592415468887</v>
      </c>
      <c r="S134" s="59">
        <f t="shared" si="42"/>
        <v>36.691407584531113</v>
      </c>
      <c r="T134" s="58">
        <f t="shared" si="55"/>
        <v>3.64930783211544</v>
      </c>
      <c r="U134" s="66"/>
      <c r="V134" s="53">
        <f>IF($B$6&gt;=0,0,180)</f>
        <v>0</v>
      </c>
      <c r="AE134" s="50">
        <f>M131</f>
        <v>37.82499999176823</v>
      </c>
    </row>
    <row r="135" spans="1:31" x14ac:dyDescent="0.2">
      <c r="A135" s="67">
        <v>4</v>
      </c>
      <c r="B135" s="66">
        <f t="shared" si="25"/>
        <v>6.9813170079773182E-2</v>
      </c>
      <c r="C135" s="64">
        <f t="shared" si="26"/>
        <v>17.330153409734471</v>
      </c>
      <c r="D135" s="64">
        <f t="shared" si="27"/>
        <v>72.669846590265536</v>
      </c>
      <c r="E135" s="65">
        <f t="shared" si="50"/>
        <v>12.40597653030861</v>
      </c>
      <c r="F135" s="64">
        <f t="shared" si="29"/>
        <v>28.940637923251419</v>
      </c>
      <c r="G135" s="64">
        <f t="shared" si="30"/>
        <v>61.059362076748585</v>
      </c>
      <c r="H135" s="65">
        <f t="shared" si="51"/>
        <v>8.1141598481488728</v>
      </c>
      <c r="I135" s="64">
        <f t="shared" si="32"/>
        <v>40.613430945794221</v>
      </c>
      <c r="J135" s="64">
        <f t="shared" si="33"/>
        <v>49.386569054205779</v>
      </c>
      <c r="K135" s="65">
        <f t="shared" si="52"/>
        <v>6.1516664841947666</v>
      </c>
      <c r="L135" s="64">
        <f t="shared" si="35"/>
        <v>52.306537741699707</v>
      </c>
      <c r="M135" s="64">
        <f t="shared" si="36"/>
        <v>37.693462258300293</v>
      </c>
      <c r="N135" s="65">
        <f t="shared" si="53"/>
        <v>4.9516809085330387</v>
      </c>
      <c r="O135" s="64">
        <f t="shared" si="38"/>
        <v>64.008450493703691</v>
      </c>
      <c r="P135" s="64">
        <f t="shared" si="39"/>
        <v>25.991549506296309</v>
      </c>
      <c r="Q135" s="65">
        <f t="shared" si="54"/>
        <v>4.0826832787299825</v>
      </c>
      <c r="R135" s="64">
        <f t="shared" si="41"/>
        <v>53.365069636632562</v>
      </c>
      <c r="S135" s="59">
        <f t="shared" si="42"/>
        <v>36.634930363367438</v>
      </c>
      <c r="T135" s="58">
        <f t="shared" si="55"/>
        <v>4.862997801707186</v>
      </c>
      <c r="U135" s="66"/>
      <c r="V135" s="53">
        <f>IF($B$6&gt;=0,0,180)</f>
        <v>0</v>
      </c>
      <c r="AE135" s="50">
        <f>P131</f>
        <v>26.099999993215945</v>
      </c>
    </row>
    <row r="136" spans="1:31" x14ac:dyDescent="0.2">
      <c r="A136" s="67">
        <v>5</v>
      </c>
      <c r="B136" s="66">
        <f t="shared" si="25"/>
        <v>8.7266462599716474E-2</v>
      </c>
      <c r="C136" s="64">
        <f t="shared" si="26"/>
        <v>17.513096550567354</v>
      </c>
      <c r="D136" s="64">
        <f t="shared" si="27"/>
        <v>72.486903449432646</v>
      </c>
      <c r="E136" s="65">
        <f t="shared" si="50"/>
        <v>15.40892597593769</v>
      </c>
      <c r="F136" s="64">
        <f t="shared" si="29"/>
        <v>29.061215103648497</v>
      </c>
      <c r="G136" s="64">
        <f t="shared" si="30"/>
        <v>60.938784896351507</v>
      </c>
      <c r="H136" s="65">
        <f t="shared" si="51"/>
        <v>10.118436277573247</v>
      </c>
      <c r="I136" s="64">
        <f t="shared" si="32"/>
        <v>40.705064177075627</v>
      </c>
      <c r="J136" s="64">
        <f t="shared" si="33"/>
        <v>49.294935822924373</v>
      </c>
      <c r="K136" s="65">
        <f t="shared" si="52"/>
        <v>7.6800167111045026</v>
      </c>
      <c r="L136" s="64">
        <f t="shared" si="35"/>
        <v>52.380378369741031</v>
      </c>
      <c r="M136" s="64">
        <f t="shared" si="36"/>
        <v>37.619621630258969</v>
      </c>
      <c r="N136" s="65">
        <f t="shared" si="53"/>
        <v>6.1849365816495974</v>
      </c>
      <c r="O136" s="64">
        <f t="shared" si="38"/>
        <v>64.069371236959654</v>
      </c>
      <c r="P136" s="64">
        <f t="shared" si="39"/>
        <v>25.930628763040346</v>
      </c>
      <c r="Q136" s="65">
        <f t="shared" si="54"/>
        <v>5.1008034812478664</v>
      </c>
      <c r="R136" s="64">
        <f t="shared" si="41"/>
        <v>53.437592985430442</v>
      </c>
      <c r="S136" s="59">
        <f t="shared" si="42"/>
        <v>36.562407014569558</v>
      </c>
      <c r="T136" s="58">
        <f t="shared" si="55"/>
        <v>6.0743474776270938</v>
      </c>
      <c r="U136" s="66"/>
    </row>
    <row r="137" spans="1:31" x14ac:dyDescent="0.2">
      <c r="A137" s="67">
        <v>6</v>
      </c>
      <c r="B137" s="66">
        <f t="shared" si="25"/>
        <v>0.10471975511965978</v>
      </c>
      <c r="C137" s="64">
        <f t="shared" si="26"/>
        <v>17.734098918336628</v>
      </c>
      <c r="D137" s="64">
        <f t="shared" si="27"/>
        <v>72.265901081663372</v>
      </c>
      <c r="E137" s="65">
        <f t="shared" si="50"/>
        <v>18.350156518646141</v>
      </c>
      <c r="F137" s="64">
        <f t="shared" si="29"/>
        <v>29.207895648929856</v>
      </c>
      <c r="G137" s="64">
        <f t="shared" si="30"/>
        <v>60.792104351070144</v>
      </c>
      <c r="H137" s="65">
        <f t="shared" si="51"/>
        <v>12.106933813455912</v>
      </c>
      <c r="I137" s="64">
        <f t="shared" si="32"/>
        <v>40.816772864578972</v>
      </c>
      <c r="J137" s="64">
        <f t="shared" si="33"/>
        <v>49.183227135421028</v>
      </c>
      <c r="K137" s="65">
        <f t="shared" si="52"/>
        <v>9.2020756880470653</v>
      </c>
      <c r="L137" s="64">
        <f t="shared" si="35"/>
        <v>52.470482812206306</v>
      </c>
      <c r="M137" s="64">
        <f t="shared" si="36"/>
        <v>37.529517187793694</v>
      </c>
      <c r="N137" s="65">
        <f t="shared" si="53"/>
        <v>7.4151094025643536</v>
      </c>
      <c r="O137" s="64">
        <f t="shared" si="38"/>
        <v>64.143749406331239</v>
      </c>
      <c r="P137" s="64">
        <f t="shared" si="39"/>
        <v>25.856250593668761</v>
      </c>
      <c r="Q137" s="65">
        <f t="shared" si="54"/>
        <v>6.1172333187750887</v>
      </c>
      <c r="R137" s="64">
        <f t="shared" si="41"/>
        <v>53.5260953536622</v>
      </c>
      <c r="S137" s="59">
        <f t="shared" si="42"/>
        <v>36.4739046463378</v>
      </c>
      <c r="T137" s="58">
        <f t="shared" si="55"/>
        <v>7.2827883921549104</v>
      </c>
      <c r="U137" s="69"/>
    </row>
    <row r="138" spans="1:31" x14ac:dyDescent="0.2">
      <c r="A138" s="67">
        <v>7</v>
      </c>
      <c r="B138" s="66">
        <f t="shared" ref="B138:B201" si="56">RADIANS(A138)</f>
        <v>0.12217304763960307</v>
      </c>
      <c r="C138" s="64">
        <f t="shared" ref="C138:C201" si="57">DEGREES(ACOS(SIN(C$5)*SIN($C$6)+COS(C$5)*COS($C$6)*COS($B138)))</f>
        <v>17.99173905080373</v>
      </c>
      <c r="D138" s="64">
        <f t="shared" ref="D138:D201" si="58">90-C138</f>
        <v>72.00826094919627</v>
      </c>
      <c r="E138" s="65">
        <f t="shared" si="50"/>
        <v>21.220956933774321</v>
      </c>
      <c r="F138" s="64">
        <f t="shared" ref="F138:F201" si="59">DEGREES(ACOS(SIN(G$5)*SIN($C$6)+COS(G$5)*COS($C$6)*COS($B138)))</f>
        <v>29.380279287334734</v>
      </c>
      <c r="G138" s="64">
        <f t="shared" ref="G138:G201" si="60">90-F138</f>
        <v>60.61972071266527</v>
      </c>
      <c r="H138" s="65">
        <f t="shared" si="51"/>
        <v>14.076879392710099</v>
      </c>
      <c r="I138" s="64">
        <f t="shared" ref="I138:I201" si="61">DEGREES(ACOS(SIN(J$5)*SIN($C$6)+COS(J$5)*COS($C$6)*COS($B138)))</f>
        <v>40.948387844749433</v>
      </c>
      <c r="J138" s="64">
        <f t="shared" ref="J138:J201" si="62">90-I138</f>
        <v>49.051612155250567</v>
      </c>
      <c r="K138" s="65">
        <f t="shared" si="52"/>
        <v>10.716669834794835</v>
      </c>
      <c r="L138" s="64">
        <f t="shared" ref="L138:L201" si="63">DEGREES(ACOS(SIN(M$5)*SIN($C$6)+COS(M$5)*COS($C$6)*COS($B138)))</f>
        <v>52.57676499477062</v>
      </c>
      <c r="M138" s="64">
        <f t="shared" ref="M138:M201" si="64">90-L138</f>
        <v>37.42323500522938</v>
      </c>
      <c r="N138" s="65">
        <f t="shared" si="53"/>
        <v>8.641609324784552</v>
      </c>
      <c r="O138" s="64">
        <f t="shared" ref="O138:O201" si="65">DEGREES(ACOS(SIN(P$5)*SIN($C$6)+COS(P$5)*COS($C$6)*COS($B138)))</f>
        <v>64.231537086609649</v>
      </c>
      <c r="P138" s="64">
        <f t="shared" ref="P138:P201" si="66">90-O138</f>
        <v>25.768462913390351</v>
      </c>
      <c r="Q138" s="65">
        <f t="shared" si="54"/>
        <v>7.1316446827073863</v>
      </c>
      <c r="R138" s="64">
        <f t="shared" ref="R138:R201" si="67">DEGREES(ACOS(SIN(S$5)*SIN($C$6)+COS(S$5)*COS($C$6)*COS($B138)))</f>
        <v>53.630495332616221</v>
      </c>
      <c r="S138" s="59">
        <f t="shared" ref="S138:S201" si="68">90-R138</f>
        <v>36.369504667383779</v>
      </c>
      <c r="T138" s="58">
        <f t="shared" si="55"/>
        <v>8.4877629287769771</v>
      </c>
      <c r="U138" s="69"/>
    </row>
    <row r="139" spans="1:31" x14ac:dyDescent="0.2">
      <c r="A139" s="67">
        <v>8</v>
      </c>
      <c r="B139" s="66">
        <f t="shared" si="56"/>
        <v>0.13962634015954636</v>
      </c>
      <c r="C139" s="64">
        <f t="shared" si="57"/>
        <v>18.284446129952979</v>
      </c>
      <c r="D139" s="64">
        <f t="shared" si="58"/>
        <v>71.715553870047017</v>
      </c>
      <c r="E139" s="65">
        <f t="shared" si="50"/>
        <v>24.01420876635963</v>
      </c>
      <c r="F139" s="64">
        <f t="shared" si="59"/>
        <v>29.577905673604274</v>
      </c>
      <c r="G139" s="64">
        <f t="shared" si="60"/>
        <v>60.422094326395722</v>
      </c>
      <c r="H139" s="65">
        <f t="shared" si="51"/>
        <v>16.025691645688113</v>
      </c>
      <c r="I139" s="64">
        <f t="shared" si="61"/>
        <v>41.099712142755578</v>
      </c>
      <c r="J139" s="64">
        <f t="shared" si="62"/>
        <v>48.900287857244422</v>
      </c>
      <c r="K139" s="65">
        <f t="shared" si="52"/>
        <v>12.222669677417878</v>
      </c>
      <c r="L139" s="64">
        <f t="shared" si="63"/>
        <v>52.699124135779655</v>
      </c>
      <c r="M139" s="64">
        <f t="shared" si="64"/>
        <v>37.300875864220345</v>
      </c>
      <c r="N139" s="65">
        <f t="shared" si="53"/>
        <v>9.8638603607619402</v>
      </c>
      <c r="O139" s="64">
        <f t="shared" si="65"/>
        <v>64.332678005737776</v>
      </c>
      <c r="P139" s="64">
        <f t="shared" si="66"/>
        <v>25.667321994262224</v>
      </c>
      <c r="Q139" s="65">
        <f t="shared" si="54"/>
        <v>8.1437147963056979</v>
      </c>
      <c r="R139" s="64">
        <f t="shared" si="67"/>
        <v>53.750697570461121</v>
      </c>
      <c r="S139" s="59">
        <f t="shared" si="68"/>
        <v>36.249302429538879</v>
      </c>
      <c r="T139" s="58">
        <f t="shared" si="55"/>
        <v>9.6887262779695966</v>
      </c>
      <c r="U139" s="69"/>
    </row>
    <row r="140" spans="1:31" x14ac:dyDescent="0.2">
      <c r="A140" s="67">
        <v>9</v>
      </c>
      <c r="B140" s="66">
        <f t="shared" si="56"/>
        <v>0.15707963267948966</v>
      </c>
      <c r="C140" s="64">
        <f t="shared" si="57"/>
        <v>18.610540506090125</v>
      </c>
      <c r="D140" s="64">
        <f t="shared" si="58"/>
        <v>71.389459493909868</v>
      </c>
      <c r="E140" s="65">
        <f t="shared" si="50"/>
        <v>26.724392678511297</v>
      </c>
      <c r="F140" s="64">
        <f t="shared" si="59"/>
        <v>29.800260049753799</v>
      </c>
      <c r="G140" s="64">
        <f t="shared" si="60"/>
        <v>60.199739950246197</v>
      </c>
      <c r="H140" s="65">
        <f t="shared" si="51"/>
        <v>17.950999836443017</v>
      </c>
      <c r="I140" s="64">
        <f t="shared" si="61"/>
        <v>41.270522356602925</v>
      </c>
      <c r="J140" s="64">
        <f t="shared" si="62"/>
        <v>48.729477643397075</v>
      </c>
      <c r="K140" s="65">
        <f t="shared" si="52"/>
        <v>13.718995549944374</v>
      </c>
      <c r="L140" s="64">
        <f t="shared" si="63"/>
        <v>52.837445199572635</v>
      </c>
      <c r="M140" s="64">
        <f t="shared" si="64"/>
        <v>37.162554800427365</v>
      </c>
      <c r="N140" s="65">
        <f t="shared" si="53"/>
        <v>11.081302594650388</v>
      </c>
      <c r="O140" s="64">
        <f t="shared" si="65"/>
        <v>64.447107707734219</v>
      </c>
      <c r="P140" s="64">
        <f t="shared" si="66"/>
        <v>25.552892292265781</v>
      </c>
      <c r="Q140" s="65">
        <f t="shared" si="54"/>
        <v>9.153127019028803</v>
      </c>
      <c r="R140" s="64">
        <f t="shared" si="67"/>
        <v>53.88659318572892</v>
      </c>
      <c r="S140" s="59">
        <f t="shared" si="68"/>
        <v>36.11340681427108</v>
      </c>
      <c r="T140" s="58">
        <f t="shared" si="55"/>
        <v>10.885148281954375</v>
      </c>
      <c r="U140" s="69"/>
    </row>
    <row r="141" spans="1:31" x14ac:dyDescent="0.2">
      <c r="A141" s="67">
        <v>10</v>
      </c>
      <c r="B141" s="66">
        <f t="shared" si="56"/>
        <v>0.17453292519943295</v>
      </c>
      <c r="C141" s="64">
        <f t="shared" si="57"/>
        <v>18.968272341218892</v>
      </c>
      <c r="D141" s="64">
        <f t="shared" si="58"/>
        <v>71.031727658781108</v>
      </c>
      <c r="E141" s="65">
        <f t="shared" si="50"/>
        <v>29.347529640723778</v>
      </c>
      <c r="F141" s="64">
        <f t="shared" si="59"/>
        <v>30.046779302192224</v>
      </c>
      <c r="G141" s="64">
        <f t="shared" si="60"/>
        <v>59.95322069780778</v>
      </c>
      <c r="H141" s="65">
        <f t="shared" si="51"/>
        <v>19.850657976505463</v>
      </c>
      <c r="I141" s="64">
        <f t="shared" si="61"/>
        <v>41.460570189990058</v>
      </c>
      <c r="J141" s="64">
        <f t="shared" si="62"/>
        <v>48.539429810009942</v>
      </c>
      <c r="K141" s="65">
        <f t="shared" si="52"/>
        <v>15.20462261798572</v>
      </c>
      <c r="L141" s="64">
        <f t="shared" si="63"/>
        <v>52.991599406260782</v>
      </c>
      <c r="M141" s="64">
        <f t="shared" si="64"/>
        <v>37.008400593739218</v>
      </c>
      <c r="N141" s="65">
        <f t="shared" si="53"/>
        <v>12.293394053136455</v>
      </c>
      <c r="O141" s="64">
        <f t="shared" si="65"/>
        <v>64.574753748788382</v>
      </c>
      <c r="P141" s="64">
        <f t="shared" si="66"/>
        <v>25.425246251211618</v>
      </c>
      <c r="Q141" s="65">
        <f t="shared" si="54"/>
        <v>10.159571613785886</v>
      </c>
      <c r="R141" s="64">
        <f t="shared" si="67"/>
        <v>54.038060232737756</v>
      </c>
      <c r="S141" s="59">
        <f t="shared" si="68"/>
        <v>35.961939767262244</v>
      </c>
      <c r="T141" s="58">
        <f t="shared" si="55"/>
        <v>12.076515154652014</v>
      </c>
      <c r="U141" s="69"/>
    </row>
    <row r="142" spans="1:31" x14ac:dyDescent="0.2">
      <c r="A142" s="67">
        <v>11</v>
      </c>
      <c r="B142" s="66">
        <f t="shared" si="56"/>
        <v>0.19198621771937624</v>
      </c>
      <c r="C142" s="64">
        <f t="shared" si="57"/>
        <v>19.355856866654502</v>
      </c>
      <c r="D142" s="64">
        <f t="shared" si="58"/>
        <v>70.644143133345494</v>
      </c>
      <c r="E142" s="65">
        <f t="shared" si="50"/>
        <v>31.881071688261308</v>
      </c>
      <c r="F142" s="64">
        <f t="shared" si="59"/>
        <v>30.316858262108827</v>
      </c>
      <c r="G142" s="64">
        <f t="shared" si="60"/>
        <v>59.683141737891177</v>
      </c>
      <c r="H142" s="65">
        <f t="shared" si="51"/>
        <v>21.722754121706924</v>
      </c>
      <c r="I142" s="64">
        <f t="shared" si="61"/>
        <v>41.669584110203324</v>
      </c>
      <c r="J142" s="64">
        <f t="shared" si="62"/>
        <v>48.330415889796676</v>
      </c>
      <c r="K142" s="65">
        <f t="shared" si="52"/>
        <v>16.678585181266207</v>
      </c>
      <c r="L142" s="64">
        <f t="shared" si="63"/>
        <v>53.161444792767703</v>
      </c>
      <c r="M142" s="64">
        <f t="shared" si="64"/>
        <v>36.838555207232297</v>
      </c>
      <c r="N142" s="65">
        <f t="shared" si="53"/>
        <v>13.499612421159807</v>
      </c>
      <c r="O142" s="64">
        <f t="shared" si="65"/>
        <v>64.715535915143363</v>
      </c>
      <c r="P142" s="64">
        <f t="shared" si="66"/>
        <v>25.284464084856637</v>
      </c>
      <c r="Q142" s="65">
        <f t="shared" si="54"/>
        <v>11.162746473064507</v>
      </c>
      <c r="R142" s="64">
        <f t="shared" si="67"/>
        <v>54.204964214374726</v>
      </c>
      <c r="S142" s="59">
        <f t="shared" si="68"/>
        <v>35.795035785625274</v>
      </c>
      <c r="T142" s="58">
        <f t="shared" si="55"/>
        <v>13.262331065011283</v>
      </c>
      <c r="U142" s="69"/>
    </row>
    <row r="143" spans="1:31" x14ac:dyDescent="0.2">
      <c r="A143" s="67">
        <v>12</v>
      </c>
      <c r="B143" s="66">
        <f t="shared" si="56"/>
        <v>0.20943951023931956</v>
      </c>
      <c r="C143" s="64">
        <f t="shared" si="57"/>
        <v>19.771505263883917</v>
      </c>
      <c r="D143" s="64">
        <f t="shared" si="58"/>
        <v>70.22849473611609</v>
      </c>
      <c r="E143" s="65">
        <f t="shared" si="50"/>
        <v>34.323757837776064</v>
      </c>
      <c r="F143" s="64">
        <f t="shared" si="59"/>
        <v>30.609856102296291</v>
      </c>
      <c r="G143" s="64">
        <f t="shared" si="60"/>
        <v>59.390143897703709</v>
      </c>
      <c r="H143" s="65">
        <f t="shared" si="51"/>
        <v>23.565615030816673</v>
      </c>
      <c r="I143" s="64">
        <f t="shared" si="61"/>
        <v>41.897271106430985</v>
      </c>
      <c r="J143" s="64">
        <f t="shared" si="62"/>
        <v>48.102728893569015</v>
      </c>
      <c r="K143" s="65">
        <f t="shared" si="52"/>
        <v>18.139980228747671</v>
      </c>
      <c r="L143" s="64">
        <f t="shared" si="63"/>
        <v>53.346826819554302</v>
      </c>
      <c r="M143" s="64">
        <f t="shared" si="64"/>
        <v>36.653173180445698</v>
      </c>
      <c r="N143" s="65">
        <f t="shared" si="53"/>
        <v>14.699456591774208</v>
      </c>
      <c r="O143" s="64">
        <f t="shared" si="65"/>
        <v>64.869366461254415</v>
      </c>
      <c r="P143" s="64">
        <f t="shared" si="66"/>
        <v>25.130633538745585</v>
      </c>
      <c r="Q143" s="65">
        <f t="shared" si="54"/>
        <v>12.162357800344591</v>
      </c>
      <c r="R143" s="64">
        <f t="shared" si="67"/>
        <v>54.387158637311764</v>
      </c>
      <c r="S143" s="59">
        <f t="shared" si="68"/>
        <v>35.612841362688236</v>
      </c>
      <c r="T143" s="58">
        <f t="shared" si="55"/>
        <v>14.442119573967148</v>
      </c>
      <c r="U143" s="69"/>
    </row>
    <row r="144" spans="1:31" x14ac:dyDescent="0.2">
      <c r="A144" s="67">
        <v>13</v>
      </c>
      <c r="B144" s="66">
        <f t="shared" si="56"/>
        <v>0.22689280275926285</v>
      </c>
      <c r="C144" s="64">
        <f t="shared" si="57"/>
        <v>20.213450659727567</v>
      </c>
      <c r="D144" s="64">
        <f t="shared" si="58"/>
        <v>69.78654934027243</v>
      </c>
      <c r="E144" s="65">
        <f t="shared" si="50"/>
        <v>36.675449873929125</v>
      </c>
      <c r="F144" s="64">
        <f t="shared" si="59"/>
        <v>30.925102695001964</v>
      </c>
      <c r="G144" s="64">
        <f t="shared" si="60"/>
        <v>59.074897304998032</v>
      </c>
      <c r="H144" s="65">
        <f t="shared" si="51"/>
        <v>25.377806506797167</v>
      </c>
      <c r="I144" s="64">
        <f t="shared" si="61"/>
        <v>42.143318523576191</v>
      </c>
      <c r="J144" s="64">
        <f t="shared" si="62"/>
        <v>47.856681476423809</v>
      </c>
      <c r="K144" s="65">
        <f t="shared" si="52"/>
        <v>19.587970236412133</v>
      </c>
      <c r="L144" s="64">
        <f t="shared" si="63"/>
        <v>53.5475790171635</v>
      </c>
      <c r="M144" s="64">
        <f t="shared" si="64"/>
        <v>36.4524209828365</v>
      </c>
      <c r="N144" s="65">
        <f t="shared" si="53"/>
        <v>15.892448041921787</v>
      </c>
      <c r="O144" s="64">
        <f t="shared" si="65"/>
        <v>65.036150366600012</v>
      </c>
      <c r="P144" s="64">
        <f t="shared" si="66"/>
        <v>24.963849633399988</v>
      </c>
      <c r="Q144" s="65">
        <f t="shared" si="54"/>
        <v>13.158120743689055</v>
      </c>
      <c r="R144" s="64">
        <f t="shared" si="67"/>
        <v>54.584485604460397</v>
      </c>
      <c r="S144" s="59">
        <f t="shared" si="68"/>
        <v>35.415514395539603</v>
      </c>
      <c r="T144" s="58">
        <f t="shared" si="55"/>
        <v>15.61542491743015</v>
      </c>
      <c r="U144" s="69"/>
    </row>
    <row r="145" spans="1:32" x14ac:dyDescent="0.2">
      <c r="A145" s="67">
        <v>14</v>
      </c>
      <c r="B145" s="66">
        <f t="shared" si="56"/>
        <v>0.24434609527920614</v>
      </c>
      <c r="C145" s="64">
        <f t="shared" si="57"/>
        <v>20.679969133239457</v>
      </c>
      <c r="D145" s="64">
        <f t="shared" si="58"/>
        <v>69.320030866760547</v>
      </c>
      <c r="E145" s="65">
        <f t="shared" si="50"/>
        <v>38.936960661463367</v>
      </c>
      <c r="F145" s="64">
        <f t="shared" si="59"/>
        <v>31.26190481077219</v>
      </c>
      <c r="G145" s="64">
        <f t="shared" si="60"/>
        <v>58.738095189227806</v>
      </c>
      <c r="H145" s="65">
        <f t="shared" si="51"/>
        <v>27.158129851605167</v>
      </c>
      <c r="I145" s="64">
        <f t="shared" si="61"/>
        <v>42.407395946925206</v>
      </c>
      <c r="J145" s="64">
        <f t="shared" si="62"/>
        <v>47.592604053074794</v>
      </c>
      <c r="K145" s="65">
        <f t="shared" si="52"/>
        <v>21.021785213241433</v>
      </c>
      <c r="L145" s="64">
        <f t="shared" si="63"/>
        <v>53.763523666529061</v>
      </c>
      <c r="M145" s="64">
        <f t="shared" si="64"/>
        <v>36.236476333470939</v>
      </c>
      <c r="N145" s="65">
        <f t="shared" si="53"/>
        <v>17.078132028435672</v>
      </c>
      <c r="O145" s="64">
        <f t="shared" si="65"/>
        <v>65.215785609432146</v>
      </c>
      <c r="P145" s="64">
        <f t="shared" si="66"/>
        <v>24.784214390567854</v>
      </c>
      <c r="Q145" s="65">
        <f t="shared" si="54"/>
        <v>14.149759978911742</v>
      </c>
      <c r="R145" s="64">
        <f t="shared" si="67"/>
        <v>54.796776439289197</v>
      </c>
      <c r="S145" s="59">
        <f t="shared" si="68"/>
        <v>35.203223560710803</v>
      </c>
      <c r="T145" s="58">
        <f t="shared" si="55"/>
        <v>16.781813129898325</v>
      </c>
      <c r="U145" s="69"/>
    </row>
    <row r="146" spans="1:32" s="54" customFormat="1" x14ac:dyDescent="0.2">
      <c r="A146" s="63">
        <v>15</v>
      </c>
      <c r="B146" s="62">
        <f t="shared" si="56"/>
        <v>0.26179938779914941</v>
      </c>
      <c r="C146" s="60">
        <f t="shared" si="57"/>
        <v>21.169395941606819</v>
      </c>
      <c r="D146" s="60">
        <f t="shared" si="58"/>
        <v>68.830604058393178</v>
      </c>
      <c r="E146" s="61">
        <f t="shared" si="50"/>
        <v>41.109884994402513</v>
      </c>
      <c r="F146" s="60">
        <f t="shared" si="59"/>
        <v>31.619552056275527</v>
      </c>
      <c r="G146" s="60">
        <f t="shared" si="60"/>
        <v>58.380447943724477</v>
      </c>
      <c r="H146" s="61">
        <f t="shared" si="51"/>
        <v>28.90561494195439</v>
      </c>
      <c r="I146" s="60">
        <f t="shared" si="61"/>
        <v>42.689157113830106</v>
      </c>
      <c r="J146" s="60">
        <f t="shared" si="62"/>
        <v>47.310842886169894</v>
      </c>
      <c r="K146" s="61">
        <f t="shared" si="52"/>
        <v>22.440724015068746</v>
      </c>
      <c r="L146" s="60">
        <f t="shared" si="63"/>
        <v>53.994472506897921</v>
      </c>
      <c r="M146" s="60">
        <f t="shared" si="64"/>
        <v>36.005527493102079</v>
      </c>
      <c r="N146" s="61">
        <f t="shared" si="53"/>
        <v>18.256078601092888</v>
      </c>
      <c r="O146" s="60">
        <f t="shared" si="65"/>
        <v>65.408163455679912</v>
      </c>
      <c r="P146" s="60">
        <f t="shared" si="66"/>
        <v>24.591836544320088</v>
      </c>
      <c r="Q146" s="61">
        <f t="shared" si="54"/>
        <v>15.137010240230827</v>
      </c>
      <c r="R146" s="60">
        <f t="shared" si="67"/>
        <v>55.023852336526303</v>
      </c>
      <c r="S146" s="59">
        <f t="shared" si="68"/>
        <v>34.976147663473697</v>
      </c>
      <c r="T146" s="58">
        <f t="shared" si="55"/>
        <v>17.94087300543962</v>
      </c>
      <c r="U146" s="70"/>
      <c r="V146" s="56">
        <f>E146</f>
        <v>41.109884994402513</v>
      </c>
      <c r="W146" s="55"/>
      <c r="AF146" s="55">
        <f>D146</f>
        <v>68.830604058393178</v>
      </c>
    </row>
    <row r="147" spans="1:32" x14ac:dyDescent="0.2">
      <c r="A147" s="67">
        <v>16</v>
      </c>
      <c r="B147" s="66">
        <f t="shared" si="56"/>
        <v>0.27925268031909273</v>
      </c>
      <c r="C147" s="64">
        <f t="shared" si="57"/>
        <v>21.680137383242329</v>
      </c>
      <c r="D147" s="64">
        <f t="shared" si="58"/>
        <v>68.319862616757675</v>
      </c>
      <c r="E147" s="65">
        <f t="shared" si="50"/>
        <v>43.196440234664735</v>
      </c>
      <c r="F147" s="64">
        <f t="shared" si="59"/>
        <v>31.997322468498886</v>
      </c>
      <c r="G147" s="64">
        <f t="shared" si="60"/>
        <v>58.002677531501114</v>
      </c>
      <c r="H147" s="65">
        <f t="shared" si="51"/>
        <v>30.619510477195615</v>
      </c>
      <c r="I147" s="64">
        <f t="shared" si="61"/>
        <v>42.988241829824773</v>
      </c>
      <c r="J147" s="64">
        <f t="shared" si="62"/>
        <v>47.011758170175227</v>
      </c>
      <c r="K147" s="65">
        <f t="shared" si="52"/>
        <v>23.844154958431638</v>
      </c>
      <c r="L147" s="64">
        <f t="shared" si="63"/>
        <v>54.240227465211902</v>
      </c>
      <c r="M147" s="64">
        <f t="shared" si="64"/>
        <v>35.759772534788098</v>
      </c>
      <c r="N147" s="65">
        <f t="shared" si="53"/>
        <v>19.425883431971748</v>
      </c>
      <c r="O147" s="64">
        <f t="shared" si="65"/>
        <v>65.613168761169888</v>
      </c>
      <c r="P147" s="64">
        <f t="shared" si="66"/>
        <v>24.386831238830112</v>
      </c>
      <c r="Q147" s="65">
        <f t="shared" si="54"/>
        <v>16.119616796843101</v>
      </c>
      <c r="R147" s="64">
        <f t="shared" si="67"/>
        <v>55.265525033749412</v>
      </c>
      <c r="S147" s="59">
        <f t="shared" si="68"/>
        <v>34.734474966250588</v>
      </c>
      <c r="T147" s="58">
        <f t="shared" si="55"/>
        <v>19.092216894900346</v>
      </c>
      <c r="U147" s="69"/>
      <c r="V147" s="53">
        <f>H146</f>
        <v>28.90561494195439</v>
      </c>
      <c r="AF147" s="50">
        <f>G146</f>
        <v>58.380447943724477</v>
      </c>
    </row>
    <row r="148" spans="1:32" x14ac:dyDescent="0.2">
      <c r="A148" s="67">
        <v>17</v>
      </c>
      <c r="B148" s="66">
        <f t="shared" si="56"/>
        <v>0.29670597283903605</v>
      </c>
      <c r="C148" s="64">
        <f t="shared" si="57"/>
        <v>22.210678838494911</v>
      </c>
      <c r="D148" s="64">
        <f t="shared" si="58"/>
        <v>67.789321161505086</v>
      </c>
      <c r="E148" s="65">
        <f t="shared" si="50"/>
        <v>45.199321446446717</v>
      </c>
      <c r="F148" s="64">
        <f t="shared" si="59"/>
        <v>32.394487702364472</v>
      </c>
      <c r="G148" s="64">
        <f t="shared" si="60"/>
        <v>57.605512297635528</v>
      </c>
      <c r="H148" s="65">
        <f t="shared" si="51"/>
        <v>32.299271964406309</v>
      </c>
      <c r="I148" s="64">
        <f t="shared" si="61"/>
        <v>43.304277868233051</v>
      </c>
      <c r="J148" s="64">
        <f t="shared" si="62"/>
        <v>46.695722131766949</v>
      </c>
      <c r="K148" s="65">
        <f t="shared" si="52"/>
        <v>25.231515777097272</v>
      </c>
      <c r="L148" s="64">
        <f t="shared" si="63"/>
        <v>54.500581400878573</v>
      </c>
      <c r="M148" s="64">
        <f t="shared" si="64"/>
        <v>35.499418599121427</v>
      </c>
      <c r="N148" s="65">
        <f t="shared" si="53"/>
        <v>20.587168462661108</v>
      </c>
      <c r="O148" s="64">
        <f t="shared" si="65"/>
        <v>65.830680285294321</v>
      </c>
      <c r="P148" s="64">
        <f t="shared" si="66"/>
        <v>24.169319714705679</v>
      </c>
      <c r="Q148" s="65">
        <f t="shared" si="54"/>
        <v>17.097335874369328</v>
      </c>
      <c r="R148" s="64">
        <f t="shared" si="67"/>
        <v>55.521597498419972</v>
      </c>
      <c r="S148" s="59">
        <f t="shared" si="68"/>
        <v>34.478402501580028</v>
      </c>
      <c r="T148" s="58">
        <f t="shared" si="55"/>
        <v>20.235481340194031</v>
      </c>
      <c r="U148" s="69"/>
      <c r="V148" s="53">
        <f>K146</f>
        <v>22.440724015068746</v>
      </c>
      <c r="AF148" s="50">
        <f>J146</f>
        <v>47.310842886169894</v>
      </c>
    </row>
    <row r="149" spans="1:32" x14ac:dyDescent="0.2">
      <c r="A149" s="67">
        <v>18</v>
      </c>
      <c r="B149" s="66">
        <f t="shared" si="56"/>
        <v>0.31415926535897931</v>
      </c>
      <c r="C149" s="64">
        <f t="shared" si="57"/>
        <v>22.759589578777138</v>
      </c>
      <c r="D149" s="64">
        <f t="shared" si="58"/>
        <v>67.240410421222862</v>
      </c>
      <c r="E149" s="65">
        <f t="shared" si="50"/>
        <v>47.12157358728912</v>
      </c>
      <c r="F149" s="64">
        <f t="shared" si="59"/>
        <v>32.810317767763422</v>
      </c>
      <c r="G149" s="64">
        <f t="shared" si="60"/>
        <v>57.189682232236578</v>
      </c>
      <c r="H149" s="65">
        <f t="shared" si="51"/>
        <v>33.94454799429527</v>
      </c>
      <c r="I149" s="64">
        <f t="shared" si="61"/>
        <v>43.636882834265712</v>
      </c>
      <c r="J149" s="64">
        <f t="shared" si="62"/>
        <v>46.363117165734288</v>
      </c>
      <c r="K149" s="65">
        <f t="shared" si="52"/>
        <v>26.602312972414374</v>
      </c>
      <c r="L149" s="64">
        <f t="shared" si="63"/>
        <v>54.77531886002398</v>
      </c>
      <c r="M149" s="64">
        <f t="shared" si="64"/>
        <v>35.22468113997602</v>
      </c>
      <c r="N149" s="65">
        <f t="shared" si="53"/>
        <v>21.739582373001991</v>
      </c>
      <c r="O149" s="64">
        <f t="shared" si="65"/>
        <v>66.060571014245738</v>
      </c>
      <c r="P149" s="64">
        <f t="shared" si="66"/>
        <v>23.939428985754262</v>
      </c>
      <c r="Q149" s="65">
        <f t="shared" si="54"/>
        <v>18.069935020626488</v>
      </c>
      <c r="R149" s="64">
        <f t="shared" si="67"/>
        <v>55.791864625043935</v>
      </c>
      <c r="S149" s="59">
        <f t="shared" si="68"/>
        <v>34.208135374956065</v>
      </c>
      <c r="T149" s="58">
        <f t="shared" si="55"/>
        <v>21.370327548396659</v>
      </c>
      <c r="U149" s="69"/>
      <c r="V149" s="53">
        <f>N146</f>
        <v>18.256078601092888</v>
      </c>
      <c r="AF149" s="50">
        <f>M146</f>
        <v>36.005527493102079</v>
      </c>
    </row>
    <row r="150" spans="1:32" x14ac:dyDescent="0.2">
      <c r="A150" s="67">
        <v>19</v>
      </c>
      <c r="B150" s="66">
        <f t="shared" si="56"/>
        <v>0.33161255787892263</v>
      </c>
      <c r="C150" s="64">
        <f t="shared" si="57"/>
        <v>23.325524932189623</v>
      </c>
      <c r="D150" s="64">
        <f t="shared" si="58"/>
        <v>66.674475067810377</v>
      </c>
      <c r="E150" s="65">
        <f t="shared" si="50"/>
        <v>48.966481643407519</v>
      </c>
      <c r="F150" s="64">
        <f t="shared" si="59"/>
        <v>33.244085289505399</v>
      </c>
      <c r="G150" s="64">
        <f t="shared" si="60"/>
        <v>56.755914710494601</v>
      </c>
      <c r="H150" s="65">
        <f t="shared" si="51"/>
        <v>35.555165329783293</v>
      </c>
      <c r="I150" s="64">
        <f t="shared" si="61"/>
        <v>43.985665976752948</v>
      </c>
      <c r="J150" s="64">
        <f t="shared" si="62"/>
        <v>46.014334023247052</v>
      </c>
      <c r="K150" s="65">
        <f t="shared" si="52"/>
        <v>27.95612061503272</v>
      </c>
      <c r="L150" s="64">
        <f t="shared" si="63"/>
        <v>55.0642168335538</v>
      </c>
      <c r="M150" s="64">
        <f t="shared" si="64"/>
        <v>34.9357831664462</v>
      </c>
      <c r="N150" s="65">
        <f t="shared" si="53"/>
        <v>22.882800876966307</v>
      </c>
      <c r="O150" s="64">
        <f t="shared" si="65"/>
        <v>66.302708491942937</v>
      </c>
      <c r="P150" s="64">
        <f t="shared" si="66"/>
        <v>23.697291508057063</v>
      </c>
      <c r="Q150" s="65">
        <f t="shared" si="54"/>
        <v>19.037193415676953</v>
      </c>
      <c r="R150" s="64">
        <f t="shared" si="67"/>
        <v>56.076113937328877</v>
      </c>
      <c r="S150" s="59">
        <f t="shared" si="68"/>
        <v>33.923886062671123</v>
      </c>
      <c r="T150" s="58">
        <f t="shared" si="55"/>
        <v>22.49644171007678</v>
      </c>
      <c r="U150" s="69"/>
      <c r="V150" s="53">
        <f>Q146</f>
        <v>15.137010240230827</v>
      </c>
      <c r="AF150" s="50">
        <f>P146</f>
        <v>24.591836544320088</v>
      </c>
    </row>
    <row r="151" spans="1:32" x14ac:dyDescent="0.2">
      <c r="A151" s="67">
        <v>20</v>
      </c>
      <c r="B151" s="66">
        <f t="shared" si="56"/>
        <v>0.3490658503988659</v>
      </c>
      <c r="C151" s="64">
        <f t="shared" si="57"/>
        <v>23.907226355519718</v>
      </c>
      <c r="D151" s="64">
        <f t="shared" si="58"/>
        <v>66.092773644480275</v>
      </c>
      <c r="E151" s="65">
        <f t="shared" si="50"/>
        <v>50.737478387006291</v>
      </c>
      <c r="F151" s="64">
        <f t="shared" si="59"/>
        <v>33.695069279227937</v>
      </c>
      <c r="G151" s="64">
        <f t="shared" si="60"/>
        <v>56.304930720772063</v>
      </c>
      <c r="H151" s="65">
        <f t="shared" si="51"/>
        <v>37.131113282511883</v>
      </c>
      <c r="I151" s="64">
        <f t="shared" si="61"/>
        <v>44.350229932942618</v>
      </c>
      <c r="J151" s="64">
        <f t="shared" si="62"/>
        <v>45.649770067057382</v>
      </c>
      <c r="K151" s="65">
        <f t="shared" si="52"/>
        <v>29.292578659872721</v>
      </c>
      <c r="L151" s="64">
        <f t="shared" si="63"/>
        <v>55.367045513645905</v>
      </c>
      <c r="M151" s="64">
        <f t="shared" si="64"/>
        <v>34.632954486354095</v>
      </c>
      <c r="N151" s="65">
        <f t="shared" si="53"/>
        <v>24.016526852987489</v>
      </c>
      <c r="O151" s="64">
        <f t="shared" si="65"/>
        <v>66.55695515679632</v>
      </c>
      <c r="P151" s="64">
        <f t="shared" si="66"/>
        <v>23.44304484320368</v>
      </c>
      <c r="Q151" s="65">
        <f t="shared" si="54"/>
        <v>19.998902126566726</v>
      </c>
      <c r="R151" s="64">
        <f t="shared" si="67"/>
        <v>56.37412629045145</v>
      </c>
      <c r="S151" s="59">
        <f t="shared" si="68"/>
        <v>33.62587370954855</v>
      </c>
      <c r="T151" s="58">
        <f t="shared" si="55"/>
        <v>23.613535167816259</v>
      </c>
      <c r="U151" s="69"/>
    </row>
    <row r="152" spans="1:32" x14ac:dyDescent="0.2">
      <c r="A152" s="67">
        <v>21</v>
      </c>
      <c r="B152" s="66">
        <f t="shared" si="56"/>
        <v>0.36651914291880922</v>
      </c>
      <c r="C152" s="64">
        <f t="shared" si="57"/>
        <v>24.503519903541857</v>
      </c>
      <c r="D152" s="64">
        <f t="shared" si="58"/>
        <v>65.496480096458143</v>
      </c>
      <c r="E152" s="65">
        <f t="shared" si="50"/>
        <v>52.438068631019092</v>
      </c>
      <c r="F152" s="64">
        <f t="shared" si="59"/>
        <v>34.162558421591285</v>
      </c>
      <c r="G152" s="64">
        <f t="shared" si="60"/>
        <v>55.837441578408715</v>
      </c>
      <c r="H152" s="65">
        <f t="shared" si="51"/>
        <v>38.672527796233027</v>
      </c>
      <c r="I152" s="64">
        <f t="shared" si="61"/>
        <v>44.730172394132893</v>
      </c>
      <c r="J152" s="64">
        <f t="shared" si="62"/>
        <v>45.269827605867107</v>
      </c>
      <c r="K152" s="65">
        <f t="shared" si="52"/>
        <v>30.61139083862939</v>
      </c>
      <c r="L152" s="64">
        <f t="shared" si="63"/>
        <v>55.683569043644766</v>
      </c>
      <c r="M152" s="64">
        <f t="shared" si="64"/>
        <v>34.316430956355234</v>
      </c>
      <c r="N152" s="65">
        <f t="shared" si="53"/>
        <v>25.14049031751777</v>
      </c>
      <c r="O152" s="64">
        <f t="shared" si="65"/>
        <v>66.823168682500452</v>
      </c>
      <c r="P152" s="64">
        <f t="shared" si="66"/>
        <v>23.176831317499548</v>
      </c>
      <c r="Q152" s="65">
        <f t="shared" si="54"/>
        <v>20.954864307605071</v>
      </c>
      <c r="R152" s="64">
        <f t="shared" si="67"/>
        <v>56.685676568839575</v>
      </c>
      <c r="S152" s="59">
        <f t="shared" si="68"/>
        <v>33.314323431160425</v>
      </c>
      <c r="T152" s="58">
        <f t="shared" si="55"/>
        <v>24.721344442197758</v>
      </c>
      <c r="U152" s="69"/>
    </row>
    <row r="153" spans="1:32" x14ac:dyDescent="0.2">
      <c r="A153" s="67">
        <v>22</v>
      </c>
      <c r="B153" s="66">
        <f t="shared" si="56"/>
        <v>0.38397243543875248</v>
      </c>
      <c r="C153" s="64">
        <f t="shared" si="57"/>
        <v>25.11331351815317</v>
      </c>
      <c r="D153" s="64">
        <f t="shared" si="58"/>
        <v>64.886686481846823</v>
      </c>
      <c r="E153" s="65">
        <f t="shared" si="50"/>
        <v>54.071768385162081</v>
      </c>
      <c r="F153" s="64">
        <f t="shared" si="59"/>
        <v>34.645853887981843</v>
      </c>
      <c r="G153" s="64">
        <f t="shared" si="60"/>
        <v>55.354146112018157</v>
      </c>
      <c r="H153" s="65">
        <f t="shared" si="51"/>
        <v>40.179675594656885</v>
      </c>
      <c r="I153" s="64">
        <f t="shared" si="61"/>
        <v>45.125087682236604</v>
      </c>
      <c r="J153" s="64">
        <f t="shared" si="62"/>
        <v>44.874912317763396</v>
      </c>
      <c r="K153" s="65">
        <f t="shared" si="52"/>
        <v>31.912322194741147</v>
      </c>
      <c r="L153" s="64">
        <f t="shared" si="63"/>
        <v>56.013546256717859</v>
      </c>
      <c r="M153" s="64">
        <f t="shared" si="64"/>
        <v>33.986453743282141</v>
      </c>
      <c r="N153" s="65">
        <f t="shared" si="53"/>
        <v>26.254448251805723</v>
      </c>
      <c r="O153" s="64">
        <f t="shared" si="65"/>
        <v>67.101202321096508</v>
      </c>
      <c r="P153" s="64">
        <f t="shared" si="66"/>
        <v>22.898797678903492</v>
      </c>
      <c r="Q153" s="65">
        <f t="shared" si="54"/>
        <v>21.904895347443631</v>
      </c>
      <c r="R153" s="64">
        <f t="shared" si="67"/>
        <v>57.010534375203527</v>
      </c>
      <c r="S153" s="59">
        <f t="shared" si="68"/>
        <v>32.989465624796473</v>
      </c>
      <c r="T153" s="58">
        <f t="shared" si="55"/>
        <v>25.819631123653032</v>
      </c>
      <c r="U153" s="69"/>
    </row>
    <row r="154" spans="1:32" x14ac:dyDescent="0.2">
      <c r="A154" s="67">
        <v>23</v>
      </c>
      <c r="B154" s="66">
        <f t="shared" si="56"/>
        <v>0.4014257279586958</v>
      </c>
      <c r="C154" s="64">
        <f t="shared" si="57"/>
        <v>25.735593490015965</v>
      </c>
      <c r="D154" s="64">
        <f t="shared" si="58"/>
        <v>64.264406509984042</v>
      </c>
      <c r="E154" s="65">
        <f t="shared" si="50"/>
        <v>55.642057096282635</v>
      </c>
      <c r="F154" s="64">
        <f t="shared" si="59"/>
        <v>35.144271699487604</v>
      </c>
      <c r="G154" s="64">
        <f t="shared" si="60"/>
        <v>54.855728300512396</v>
      </c>
      <c r="H154" s="65">
        <f t="shared" si="51"/>
        <v>41.652938688764571</v>
      </c>
      <c r="I154" s="64">
        <f t="shared" si="61"/>
        <v>45.534568229632377</v>
      </c>
      <c r="J154" s="64">
        <f t="shared" si="62"/>
        <v>44.465431770367623</v>
      </c>
      <c r="K154" s="65">
        <f t="shared" si="52"/>
        <v>33.195196324846698</v>
      </c>
      <c r="L154" s="64">
        <f t="shared" si="63"/>
        <v>56.356731399054659</v>
      </c>
      <c r="M154" s="64">
        <f t="shared" si="64"/>
        <v>33.643268600945341</v>
      </c>
      <c r="N154" s="65">
        <f t="shared" si="53"/>
        <v>27.358184292847202</v>
      </c>
      <c r="O154" s="64">
        <f t="shared" si="65"/>
        <v>67.390905246614992</v>
      </c>
      <c r="P154" s="64">
        <f t="shared" si="66"/>
        <v>22.609094753385008</v>
      </c>
      <c r="Q154" s="65">
        <f t="shared" si="54"/>
        <v>22.848822964579785</v>
      </c>
      <c r="R154" s="64">
        <f t="shared" si="67"/>
        <v>57.348464706909574</v>
      </c>
      <c r="S154" s="59">
        <f t="shared" si="68"/>
        <v>32.651535293090426</v>
      </c>
      <c r="T154" s="58">
        <f t="shared" si="55"/>
        <v>26.908181639470914</v>
      </c>
      <c r="U154" s="69"/>
    </row>
    <row r="155" spans="1:32" x14ac:dyDescent="0.2">
      <c r="A155" s="67">
        <v>24</v>
      </c>
      <c r="B155" s="66">
        <f t="shared" si="56"/>
        <v>0.41887902047863912</v>
      </c>
      <c r="C155" s="64">
        <f t="shared" si="57"/>
        <v>26.369420379199632</v>
      </c>
      <c r="D155" s="64">
        <f t="shared" si="58"/>
        <v>63.630579620800368</v>
      </c>
      <c r="E155" s="65">
        <f t="shared" si="50"/>
        <v>57.152341113033863</v>
      </c>
      <c r="F155" s="64">
        <f t="shared" si="59"/>
        <v>35.657144667232629</v>
      </c>
      <c r="G155" s="64">
        <f t="shared" si="60"/>
        <v>54.342855332767371</v>
      </c>
      <c r="H155" s="65">
        <f t="shared" si="51"/>
        <v>43.092799477885585</v>
      </c>
      <c r="I155" s="64">
        <f t="shared" si="61"/>
        <v>45.958205956798757</v>
      </c>
      <c r="J155" s="64">
        <f t="shared" si="62"/>
        <v>44.041794043201243</v>
      </c>
      <c r="K155" s="65">
        <f t="shared" si="52"/>
        <v>34.459892388536041</v>
      </c>
      <c r="L155" s="64">
        <f t="shared" si="63"/>
        <v>56.712874833831386</v>
      </c>
      <c r="M155" s="64">
        <f t="shared" si="64"/>
        <v>33.287125166168614</v>
      </c>
      <c r="N155" s="65">
        <f t="shared" si="53"/>
        <v>28.451508300184653</v>
      </c>
      <c r="O155" s="64">
        <f t="shared" si="65"/>
        <v>67.692122897689245</v>
      </c>
      <c r="P155" s="64">
        <f t="shared" si="66"/>
        <v>22.307877102310755</v>
      </c>
      <c r="Q155" s="65">
        <f t="shared" si="54"/>
        <v>23.786487253242122</v>
      </c>
      <c r="R155" s="64">
        <f t="shared" si="67"/>
        <v>57.699228616170743</v>
      </c>
      <c r="S155" s="59">
        <f t="shared" si="68"/>
        <v>32.300771383829257</v>
      </c>
      <c r="T155" s="58">
        <f t="shared" si="55"/>
        <v>27.986806905957167</v>
      </c>
      <c r="U155" s="69"/>
    </row>
    <row r="156" spans="1:32" x14ac:dyDescent="0.2">
      <c r="A156" s="67">
        <v>25</v>
      </c>
      <c r="B156" s="66">
        <f t="shared" si="56"/>
        <v>0.43633231299858238</v>
      </c>
      <c r="C156" s="64">
        <f t="shared" si="57"/>
        <v>27.013924621747673</v>
      </c>
      <c r="D156" s="64">
        <f t="shared" si="58"/>
        <v>62.986075378252323</v>
      </c>
      <c r="E156" s="65">
        <f t="shared" si="50"/>
        <v>58.605926589384609</v>
      </c>
      <c r="F156" s="64">
        <f t="shared" si="59"/>
        <v>36.183823942479272</v>
      </c>
      <c r="G156" s="64">
        <f t="shared" si="60"/>
        <v>53.816176057520728</v>
      </c>
      <c r="H156" s="65">
        <f t="shared" si="51"/>
        <v>44.499826622222287</v>
      </c>
      <c r="I156" s="64">
        <f t="shared" si="61"/>
        <v>46.395593544213988</v>
      </c>
      <c r="J156" s="64">
        <f t="shared" si="62"/>
        <v>43.604406455786012</v>
      </c>
      <c r="K156" s="65">
        <f t="shared" si="52"/>
        <v>35.706341944918158</v>
      </c>
      <c r="L156" s="64">
        <f t="shared" si="63"/>
        <v>57.081723722618591</v>
      </c>
      <c r="M156" s="64">
        <f t="shared" si="64"/>
        <v>32.918276277381409</v>
      </c>
      <c r="N156" s="65">
        <f t="shared" si="53"/>
        <v>29.534255810706785</v>
      </c>
      <c r="O156" s="64">
        <f t="shared" si="65"/>
        <v>68.004697317618849</v>
      </c>
      <c r="P156" s="64">
        <f t="shared" si="66"/>
        <v>21.995302682381151</v>
      </c>
      <c r="Q156" s="65">
        <f t="shared" si="54"/>
        <v>24.717740681899052</v>
      </c>
      <c r="R156" s="64">
        <f t="shared" si="67"/>
        <v>58.06258385092346</v>
      </c>
      <c r="S156" s="59">
        <f t="shared" si="68"/>
        <v>31.93741614907654</v>
      </c>
      <c r="T156" s="58">
        <f t="shared" si="55"/>
        <v>29.055341876230536</v>
      </c>
      <c r="U156" s="69"/>
    </row>
    <row r="157" spans="1:32" x14ac:dyDescent="0.2">
      <c r="A157" s="67">
        <v>26</v>
      </c>
      <c r="B157" s="66">
        <f t="shared" si="56"/>
        <v>0.4537856055185257</v>
      </c>
      <c r="C157" s="64">
        <f t="shared" si="57"/>
        <v>27.668301997483034</v>
      </c>
      <c r="D157" s="64">
        <f t="shared" si="58"/>
        <v>62.331698002516966</v>
      </c>
      <c r="E157" s="65">
        <f t="shared" si="50"/>
        <v>60.006000186366123</v>
      </c>
      <c r="F157" s="64">
        <f t="shared" si="59"/>
        <v>36.723680211488691</v>
      </c>
      <c r="G157" s="64">
        <f t="shared" si="60"/>
        <v>53.276319788511309</v>
      </c>
      <c r="H157" s="65">
        <f t="shared" si="51"/>
        <v>45.874661813467519</v>
      </c>
      <c r="I157" s="64">
        <f t="shared" si="61"/>
        <v>46.846325596808995</v>
      </c>
      <c r="J157" s="64">
        <f t="shared" si="62"/>
        <v>43.153674403191005</v>
      </c>
      <c r="K157" s="65">
        <f t="shared" si="52"/>
        <v>36.934525670421507</v>
      </c>
      <c r="L157" s="64">
        <f t="shared" si="63"/>
        <v>57.463022681366724</v>
      </c>
      <c r="M157" s="64">
        <f t="shared" si="64"/>
        <v>32.536977318633276</v>
      </c>
      <c r="N157" s="65">
        <f t="shared" si="53"/>
        <v>30.606287393860786</v>
      </c>
      <c r="O157" s="64">
        <f t="shared" si="65"/>
        <v>68.328467490461406</v>
      </c>
      <c r="P157" s="64">
        <f t="shared" si="66"/>
        <v>21.671532509538594</v>
      </c>
      <c r="Q157" s="65">
        <f t="shared" si="54"/>
        <v>25.642448046884358</v>
      </c>
      <c r="R157" s="64">
        <f t="shared" si="67"/>
        <v>58.438285473660002</v>
      </c>
      <c r="S157" s="59">
        <f t="shared" si="68"/>
        <v>31.561714526339998</v>
      </c>
      <c r="T157" s="58">
        <f t="shared" si="55"/>
        <v>30.113644994441199</v>
      </c>
      <c r="U157" s="69"/>
    </row>
    <row r="158" spans="1:32" x14ac:dyDescent="0.2">
      <c r="A158" s="67">
        <v>27</v>
      </c>
      <c r="B158" s="66">
        <f t="shared" si="56"/>
        <v>0.47123889803846897</v>
      </c>
      <c r="C158" s="64">
        <f t="shared" si="57"/>
        <v>28.331809090956572</v>
      </c>
      <c r="D158" s="64">
        <f t="shared" si="58"/>
        <v>61.668190909043432</v>
      </c>
      <c r="E158" s="65">
        <f t="shared" si="50"/>
        <v>61.355616112198412</v>
      </c>
      <c r="F158" s="64">
        <f t="shared" si="59"/>
        <v>37.276104571249626</v>
      </c>
      <c r="G158" s="64">
        <f t="shared" si="60"/>
        <v>52.723895428750374</v>
      </c>
      <c r="H158" s="65">
        <f t="shared" si="51"/>
        <v>47.218007525531583</v>
      </c>
      <c r="I158" s="64">
        <f t="shared" si="61"/>
        <v>47.309999700867287</v>
      </c>
      <c r="J158" s="64">
        <f t="shared" si="62"/>
        <v>42.690000299132713</v>
      </c>
      <c r="K158" s="65">
        <f t="shared" si="52"/>
        <v>38.144470007550417</v>
      </c>
      <c r="L158" s="64">
        <f t="shared" si="63"/>
        <v>57.856514408557388</v>
      </c>
      <c r="M158" s="64">
        <f t="shared" si="64"/>
        <v>32.143485591442612</v>
      </c>
      <c r="N158" s="65">
        <f t="shared" si="53"/>
        <v>31.667487919741522</v>
      </c>
      <c r="O158" s="64">
        <f t="shared" si="65"/>
        <v>68.6632696718342</v>
      </c>
      <c r="P158" s="64">
        <f t="shared" si="66"/>
        <v>21.3367303281658</v>
      </c>
      <c r="Q158" s="65">
        <f t="shared" si="54"/>
        <v>26.560486383833311</v>
      </c>
      <c r="R158" s="64">
        <f t="shared" si="67"/>
        <v>58.826086455884457</v>
      </c>
      <c r="S158" s="59">
        <f t="shared" si="68"/>
        <v>31.173913544115543</v>
      </c>
      <c r="T158" s="58">
        <f t="shared" si="55"/>
        <v>31.161597567313578</v>
      </c>
      <c r="U158" s="69"/>
    </row>
    <row r="159" spans="1:32" x14ac:dyDescent="0.2">
      <c r="A159" s="67">
        <v>28</v>
      </c>
      <c r="B159" s="66">
        <f t="shared" si="56"/>
        <v>0.48869219055841229</v>
      </c>
      <c r="C159" s="64">
        <f t="shared" si="57"/>
        <v>29.003758841835285</v>
      </c>
      <c r="D159" s="64">
        <f t="shared" si="58"/>
        <v>60.996241158164715</v>
      </c>
      <c r="E159" s="65">
        <f t="shared" si="50"/>
        <v>62.65768823360041</v>
      </c>
      <c r="F159" s="64">
        <f t="shared" si="59"/>
        <v>37.84050912212458</v>
      </c>
      <c r="G159" s="64">
        <f t="shared" si="60"/>
        <v>52.15949087787542</v>
      </c>
      <c r="H159" s="65">
        <f t="shared" si="51"/>
        <v>48.530615789491399</v>
      </c>
      <c r="I159" s="64">
        <f t="shared" si="61"/>
        <v>47.786217374663998</v>
      </c>
      <c r="J159" s="64">
        <f t="shared" si="62"/>
        <v>42.213782625336002</v>
      </c>
      <c r="K159" s="65">
        <f t="shared" si="52"/>
        <v>39.336243789250901</v>
      </c>
      <c r="L159" s="64">
        <f t="shared" si="63"/>
        <v>58.261940283550153</v>
      </c>
      <c r="M159" s="64">
        <f t="shared" si="64"/>
        <v>31.738059716449847</v>
      </c>
      <c r="N159" s="65">
        <f t="shared" si="53"/>
        <v>32.717765752394257</v>
      </c>
      <c r="O159" s="64">
        <f t="shared" si="65"/>
        <v>69.008937713217293</v>
      </c>
      <c r="P159" s="64">
        <f t="shared" si="66"/>
        <v>20.991062286782707</v>
      </c>
      <c r="Q159" s="65">
        <f t="shared" si="54"/>
        <v>27.471744839787981</v>
      </c>
      <c r="R159" s="64">
        <f t="shared" si="67"/>
        <v>59.225738246253073</v>
      </c>
      <c r="S159" s="59">
        <f t="shared" si="68"/>
        <v>30.774261753746927</v>
      </c>
      <c r="T159" s="58">
        <f t="shared" si="55"/>
        <v>32.199103063878383</v>
      </c>
      <c r="U159" s="68"/>
    </row>
    <row r="160" spans="1:32" x14ac:dyDescent="0.2">
      <c r="A160" s="67">
        <v>29</v>
      </c>
      <c r="B160" s="66">
        <f t="shared" si="56"/>
        <v>0.50614548307835561</v>
      </c>
      <c r="C160" s="64">
        <f t="shared" si="57"/>
        <v>29.683516252437986</v>
      </c>
      <c r="D160" s="64">
        <f t="shared" si="58"/>
        <v>60.316483747562017</v>
      </c>
      <c r="E160" s="65">
        <f t="shared" si="50"/>
        <v>63.914986180046505</v>
      </c>
      <c r="F160" s="64">
        <f t="shared" si="59"/>
        <v>38.416327312477584</v>
      </c>
      <c r="G160" s="64">
        <f t="shared" si="60"/>
        <v>51.583672687522416</v>
      </c>
      <c r="H160" s="65">
        <f t="shared" si="51"/>
        <v>49.813278005591705</v>
      </c>
      <c r="I160" s="64">
        <f t="shared" si="61"/>
        <v>48.274584915326969</v>
      </c>
      <c r="J160" s="64">
        <f t="shared" si="62"/>
        <v>41.725415084673031</v>
      </c>
      <c r="K160" s="65">
        <f t="shared" si="52"/>
        <v>40.509954878287154</v>
      </c>
      <c r="L160" s="64">
        <f t="shared" si="63"/>
        <v>58.679040933579202</v>
      </c>
      <c r="M160" s="64">
        <f t="shared" si="64"/>
        <v>31.320959066420798</v>
      </c>
      <c r="N160" s="65">
        <f t="shared" si="53"/>
        <v>33.757051880375521</v>
      </c>
      <c r="O160" s="64">
        <f t="shared" si="65"/>
        <v>69.365303378661835</v>
      </c>
      <c r="P160" s="64">
        <f t="shared" si="66"/>
        <v>20.634696621338165</v>
      </c>
      <c r="Q160" s="65">
        <f t="shared" si="54"/>
        <v>28.37612450895233</v>
      </c>
      <c r="R160" s="64">
        <f t="shared" si="67"/>
        <v>59.636991310838312</v>
      </c>
      <c r="S160" s="59">
        <f t="shared" si="68"/>
        <v>30.363008689161688</v>
      </c>
      <c r="T160" s="58">
        <f t="shared" si="55"/>
        <v>33.226086354068826</v>
      </c>
      <c r="U160" s="66"/>
    </row>
    <row r="161" spans="1:34" s="54" customFormat="1" x14ac:dyDescent="0.2">
      <c r="A161" s="63">
        <v>30</v>
      </c>
      <c r="B161" s="62">
        <f t="shared" si="56"/>
        <v>0.52359877559829882</v>
      </c>
      <c r="C161" s="60">
        <f t="shared" si="57"/>
        <v>30.370494297623459</v>
      </c>
      <c r="D161" s="60">
        <f t="shared" si="58"/>
        <v>59.629505702376541</v>
      </c>
      <c r="E161" s="61">
        <f t="shared" si="50"/>
        <v>65.13013453864275</v>
      </c>
      <c r="F161" s="60">
        <f t="shared" si="59"/>
        <v>39.003014068682589</v>
      </c>
      <c r="G161" s="60">
        <f t="shared" si="60"/>
        <v>50.996985931317411</v>
      </c>
      <c r="H161" s="61">
        <f t="shared" si="51"/>
        <v>51.066815780102715</v>
      </c>
      <c r="I161" s="60">
        <f t="shared" si="61"/>
        <v>48.774714145388209</v>
      </c>
      <c r="J161" s="60">
        <f t="shared" si="62"/>
        <v>41.225285854611791</v>
      </c>
      <c r="K161" s="61">
        <f t="shared" si="52"/>
        <v>41.665746855752879</v>
      </c>
      <c r="L161" s="60">
        <f t="shared" si="63"/>
        <v>59.107556768256259</v>
      </c>
      <c r="M161" s="60">
        <f t="shared" si="64"/>
        <v>30.892443231743741</v>
      </c>
      <c r="N161" s="61">
        <f t="shared" si="53"/>
        <v>34.785298996187692</v>
      </c>
      <c r="O161" s="60">
        <f t="shared" si="65"/>
        <v>69.732196652921516</v>
      </c>
      <c r="P161" s="60">
        <f t="shared" si="66"/>
        <v>20.267803347078484</v>
      </c>
      <c r="Q161" s="61">
        <f t="shared" si="54"/>
        <v>29.273538235161276</v>
      </c>
      <c r="R161" s="60">
        <f t="shared" si="67"/>
        <v>60.059595644318833</v>
      </c>
      <c r="S161" s="59">
        <f t="shared" si="68"/>
        <v>29.940404355681167</v>
      </c>
      <c r="T161" s="58">
        <f t="shared" si="55"/>
        <v>34.242492896546118</v>
      </c>
      <c r="U161" s="62"/>
      <c r="V161" s="56">
        <f>E161</f>
        <v>65.13013453864275</v>
      </c>
      <c r="W161" s="55"/>
      <c r="AG161" s="55">
        <f>D161</f>
        <v>59.629505702376541</v>
      </c>
    </row>
    <row r="162" spans="1:34" x14ac:dyDescent="0.2">
      <c r="A162" s="67">
        <v>31</v>
      </c>
      <c r="B162" s="66">
        <f t="shared" si="56"/>
        <v>0.54105206811824214</v>
      </c>
      <c r="C162" s="64">
        <f t="shared" si="57"/>
        <v>31.064150064857603</v>
      </c>
      <c r="D162" s="64">
        <f t="shared" si="58"/>
        <v>58.9358499351424</v>
      </c>
      <c r="E162" s="65">
        <f t="shared" si="50"/>
        <v>66.305614395240937</v>
      </c>
      <c r="F162" s="64">
        <f t="shared" si="59"/>
        <v>39.600045741766536</v>
      </c>
      <c r="G162" s="64">
        <f t="shared" si="60"/>
        <v>50.399954258233464</v>
      </c>
      <c r="H162" s="65">
        <f t="shared" si="51"/>
        <v>52.292072755491759</v>
      </c>
      <c r="I162" s="64">
        <f t="shared" si="61"/>
        <v>49.286223063286798</v>
      </c>
      <c r="J162" s="64">
        <f t="shared" si="62"/>
        <v>40.713776936713202</v>
      </c>
      <c r="K162" s="65">
        <f t="shared" si="52"/>
        <v>42.803795787680201</v>
      </c>
      <c r="L162" s="64">
        <f t="shared" si="63"/>
        <v>59.547228480812954</v>
      </c>
      <c r="M162" s="64">
        <f t="shared" si="64"/>
        <v>30.452771519187046</v>
      </c>
      <c r="N162" s="65">
        <f t="shared" si="53"/>
        <v>35.802480535660493</v>
      </c>
      <c r="O162" s="64">
        <f t="shared" si="65"/>
        <v>70.109446040139773</v>
      </c>
      <c r="P162" s="64">
        <f t="shared" si="66"/>
        <v>19.890553959860227</v>
      </c>
      <c r="Q162" s="65">
        <f t="shared" si="54"/>
        <v>30.163910384174883</v>
      </c>
      <c r="R162" s="64">
        <f t="shared" si="67"/>
        <v>60.493301251238456</v>
      </c>
      <c r="S162" s="59">
        <f t="shared" si="68"/>
        <v>29.506698748761544</v>
      </c>
      <c r="T162" s="58">
        <f t="shared" si="55"/>
        <v>35.248287885699675</v>
      </c>
      <c r="U162" s="66"/>
      <c r="V162" s="53">
        <f>H161</f>
        <v>51.066815780102715</v>
      </c>
      <c r="AG162" s="50">
        <f>G161</f>
        <v>50.996985931317411</v>
      </c>
    </row>
    <row r="163" spans="1:34" x14ac:dyDescent="0.2">
      <c r="A163" s="67">
        <v>32</v>
      </c>
      <c r="B163" s="66">
        <f t="shared" si="56"/>
        <v>0.55850536063818546</v>
      </c>
      <c r="C163" s="64">
        <f t="shared" si="57"/>
        <v>31.763981139123697</v>
      </c>
      <c r="D163" s="64">
        <f t="shared" si="58"/>
        <v>58.2360188608763</v>
      </c>
      <c r="E163" s="65">
        <f t="shared" ref="E163:E194" si="69">DEGREES(ACOS((SIN(RADIANS(D163))*SIN($C$6)-SIN(C$5))/(COS(RADIANS(D163))*COS($C$6))))</f>
        <v>67.443766615499143</v>
      </c>
      <c r="F163" s="64">
        <f t="shared" si="59"/>
        <v>40.206919899494416</v>
      </c>
      <c r="G163" s="64">
        <f t="shared" si="60"/>
        <v>49.793080100505584</v>
      </c>
      <c r="H163" s="65">
        <f t="shared" ref="H163:H194" si="70">DEGREES(ACOS((SIN(RADIANS(G163))*SIN($C$6)-SIN(G$5))/(COS(RADIANS(G163))*COS($C$6))))</f>
        <v>53.489907388040173</v>
      </c>
      <c r="I163" s="64">
        <f t="shared" si="61"/>
        <v>49.808736402695232</v>
      </c>
      <c r="J163" s="64">
        <f t="shared" si="62"/>
        <v>40.191263597304768</v>
      </c>
      <c r="K163" s="65">
        <f t="shared" ref="K163:K194" si="71">DEGREES(ACOS((SIN(RADIANS(J163))*SIN($C$6)-SIN(J$5))/(COS(RADIANS(J163))*COS($C$6))))</f>
        <v>43.92430709376525</v>
      </c>
      <c r="L163" s="64">
        <f t="shared" si="63"/>
        <v>59.997797515663308</v>
      </c>
      <c r="M163" s="64">
        <f t="shared" si="64"/>
        <v>30.002202484336692</v>
      </c>
      <c r="N163" s="65">
        <f t="shared" ref="N163:N194" si="72">DEGREES(ACOS((SIN(RADIANS(M163))*SIN($C$6)-SIN(M$5))/(COS(RADIANS(M163))*COS($C$6))))</f>
        <v>36.808589687717102</v>
      </c>
      <c r="O163" s="64">
        <f t="shared" si="65"/>
        <v>70.496878852338085</v>
      </c>
      <c r="P163" s="64">
        <f t="shared" si="66"/>
        <v>19.503121147661915</v>
      </c>
      <c r="Q163" s="65">
        <f t="shared" ref="Q163:Q194" si="73">DEGREES(ACOS((SIN(RADIANS(P163))*SIN($C$6)-SIN(P$5))/(COS(RADIANS(P163))*COS($C$6))))</f>
        <v>31.047176588920873</v>
      </c>
      <c r="R163" s="64">
        <f t="shared" si="67"/>
        <v>60.937858596795415</v>
      </c>
      <c r="S163" s="59">
        <f t="shared" si="68"/>
        <v>29.062141403204585</v>
      </c>
      <c r="T163" s="58">
        <f t="shared" ref="T163:T194" si="74">DEGREES(ACOS((SIN(RADIANS(S163))*SIN($C$6)-SIN(S$5))/(COS(RADIANS(S163))*COS($C$6))))</f>
        <v>36.243455367261774</v>
      </c>
      <c r="U163" s="66"/>
      <c r="V163" s="53">
        <f>K161</f>
        <v>41.665746855752879</v>
      </c>
      <c r="AG163" s="50">
        <f>J161</f>
        <v>41.225285854611791</v>
      </c>
    </row>
    <row r="164" spans="1:34" x14ac:dyDescent="0.2">
      <c r="A164" s="67">
        <v>33</v>
      </c>
      <c r="B164" s="66">
        <f t="shared" si="56"/>
        <v>0.57595865315812877</v>
      </c>
      <c r="C164" s="64">
        <f t="shared" si="57"/>
        <v>32.469522237580215</v>
      </c>
      <c r="D164" s="64">
        <f t="shared" si="58"/>
        <v>57.530477762419785</v>
      </c>
      <c r="E164" s="65">
        <f t="shared" si="69"/>
        <v>68.546796377868276</v>
      </c>
      <c r="F164" s="64">
        <f t="shared" si="59"/>
        <v>40.823154990095972</v>
      </c>
      <c r="G164" s="64">
        <f t="shared" si="60"/>
        <v>49.176845009904028</v>
      </c>
      <c r="H164" s="65">
        <f t="shared" si="70"/>
        <v>54.661186617017584</v>
      </c>
      <c r="I164" s="64">
        <f t="shared" si="61"/>
        <v>50.341886105987399</v>
      </c>
      <c r="J164" s="64">
        <f t="shared" si="62"/>
        <v>39.658113894012601</v>
      </c>
      <c r="K164" s="65">
        <f t="shared" si="71"/>
        <v>45.027512537588109</v>
      </c>
      <c r="L164" s="64">
        <f t="shared" si="63"/>
        <v>60.459006502183648</v>
      </c>
      <c r="M164" s="64">
        <f t="shared" si="64"/>
        <v>29.540993497816352</v>
      </c>
      <c r="N164" s="65">
        <f t="shared" si="72"/>
        <v>37.803638384257589</v>
      </c>
      <c r="O164" s="64">
        <f t="shared" si="65"/>
        <v>70.894321487063081</v>
      </c>
      <c r="P164" s="64">
        <f t="shared" si="66"/>
        <v>19.105678512936919</v>
      </c>
      <c r="Q164" s="65">
        <f t="shared" si="73"/>
        <v>31.923283470792565</v>
      </c>
      <c r="R164" s="64">
        <f t="shared" si="67"/>
        <v>61.393019026915944</v>
      </c>
      <c r="S164" s="59">
        <f t="shared" si="68"/>
        <v>28.606980973084056</v>
      </c>
      <c r="T164" s="58">
        <f t="shared" si="74"/>
        <v>37.227997331404744</v>
      </c>
      <c r="U164" s="66"/>
      <c r="V164" s="53">
        <f>N161</f>
        <v>34.785298996187692</v>
      </c>
      <c r="AG164" s="50">
        <f>M161</f>
        <v>30.892443231743741</v>
      </c>
    </row>
    <row r="165" spans="1:34" x14ac:dyDescent="0.2">
      <c r="A165" s="67">
        <v>34</v>
      </c>
      <c r="B165" s="66">
        <f t="shared" si="56"/>
        <v>0.59341194567807209</v>
      </c>
      <c r="C165" s="64">
        <f t="shared" si="57"/>
        <v>33.180342091811575</v>
      </c>
      <c r="D165" s="64">
        <f t="shared" si="58"/>
        <v>56.819657908188425</v>
      </c>
      <c r="E165" s="65">
        <f t="shared" si="69"/>
        <v>69.61677857013305</v>
      </c>
      <c r="F165" s="64">
        <f t="shared" si="59"/>
        <v>41.448289901177446</v>
      </c>
      <c r="G165" s="64">
        <f t="shared" si="60"/>
        <v>48.551710098822554</v>
      </c>
      <c r="H165" s="65">
        <f t="shared" si="70"/>
        <v>55.806780363114143</v>
      </c>
      <c r="I165" s="64">
        <f t="shared" si="61"/>
        <v>50.885311717465513</v>
      </c>
      <c r="J165" s="64">
        <f t="shared" si="62"/>
        <v>39.114688282534487</v>
      </c>
      <c r="K165" s="65">
        <f t="shared" si="71"/>
        <v>46.113667353422798</v>
      </c>
      <c r="L165" s="64">
        <f t="shared" si="63"/>
        <v>60.930599654892866</v>
      </c>
      <c r="M165" s="64">
        <f t="shared" si="64"/>
        <v>29.069400345107134</v>
      </c>
      <c r="N165" s="65">
        <f t="shared" si="72"/>
        <v>38.787656279139348</v>
      </c>
      <c r="O165" s="64">
        <f t="shared" si="65"/>
        <v>71.30159969365701</v>
      </c>
      <c r="P165" s="64">
        <f t="shared" si="66"/>
        <v>18.69840030634299</v>
      </c>
      <c r="Q165" s="65">
        <f t="shared" si="73"/>
        <v>32.792188340060179</v>
      </c>
      <c r="R165" s="64">
        <f t="shared" si="67"/>
        <v>61.858535157630584</v>
      </c>
      <c r="S165" s="59">
        <f t="shared" si="68"/>
        <v>28.141464842369416</v>
      </c>
      <c r="T165" s="58">
        <f t="shared" si="74"/>
        <v>38.201932791561028</v>
      </c>
      <c r="U165" s="66"/>
      <c r="V165" s="53">
        <f>Q161</f>
        <v>29.273538235161276</v>
      </c>
      <c r="AG165" s="50">
        <f>P161</f>
        <v>20.267803347078484</v>
      </c>
    </row>
    <row r="166" spans="1:34" x14ac:dyDescent="0.2">
      <c r="A166" s="67">
        <v>35</v>
      </c>
      <c r="B166" s="66">
        <f t="shared" si="56"/>
        <v>0.6108652381980153</v>
      </c>
      <c r="C166" s="64">
        <f t="shared" si="57"/>
        <v>33.896040570567436</v>
      </c>
      <c r="D166" s="64">
        <f t="shared" si="58"/>
        <v>56.103959429432564</v>
      </c>
      <c r="E166" s="65">
        <f t="shared" si="69"/>
        <v>70.655663743959181</v>
      </c>
      <c r="F166" s="64">
        <f t="shared" si="59"/>
        <v>42.081883434744171</v>
      </c>
      <c r="G166" s="64">
        <f t="shared" si="60"/>
        <v>47.918116565255829</v>
      </c>
      <c r="H166" s="65">
        <f t="shared" si="70"/>
        <v>56.927556790366715</v>
      </c>
      <c r="I166" s="64">
        <f t="shared" si="61"/>
        <v>51.438660702131685</v>
      </c>
      <c r="J166" s="64">
        <f t="shared" si="62"/>
        <v>38.561339297868315</v>
      </c>
      <c r="K166" s="65">
        <f t="shared" si="71"/>
        <v>47.183047520843807</v>
      </c>
      <c r="L166" s="64">
        <f t="shared" si="63"/>
        <v>61.412323140467741</v>
      </c>
      <c r="M166" s="64">
        <f t="shared" si="64"/>
        <v>28.587676859532259</v>
      </c>
      <c r="N166" s="65">
        <f t="shared" si="72"/>
        <v>39.760689724448433</v>
      </c>
      <c r="O166" s="64">
        <f t="shared" si="65"/>
        <v>71.718538827720906</v>
      </c>
      <c r="P166" s="64">
        <f t="shared" si="66"/>
        <v>18.281461172279094</v>
      </c>
      <c r="Q166" s="65">
        <f t="shared" si="73"/>
        <v>33.653858878383978</v>
      </c>
      <c r="R166" s="64">
        <f t="shared" si="67"/>
        <v>62.334161234010132</v>
      </c>
      <c r="S166" s="59">
        <f t="shared" si="68"/>
        <v>27.665838765989868</v>
      </c>
      <c r="T166" s="58">
        <f t="shared" si="74"/>
        <v>39.165296856548089</v>
      </c>
      <c r="U166" s="66"/>
    </row>
    <row r="167" spans="1:34" x14ac:dyDescent="0.2">
      <c r="A167" s="67">
        <v>36</v>
      </c>
      <c r="B167" s="66">
        <f t="shared" si="56"/>
        <v>0.62831853071795862</v>
      </c>
      <c r="C167" s="64">
        <f t="shared" si="57"/>
        <v>34.616246032562657</v>
      </c>
      <c r="D167" s="64">
        <f t="shared" si="58"/>
        <v>55.383753967437343</v>
      </c>
      <c r="E167" s="65">
        <f t="shared" si="69"/>
        <v>71.665284389952888</v>
      </c>
      <c r="F167" s="64">
        <f t="shared" si="59"/>
        <v>42.723513716742247</v>
      </c>
      <c r="G167" s="64">
        <f t="shared" si="60"/>
        <v>47.276486283257753</v>
      </c>
      <c r="H167" s="65">
        <f t="shared" si="70"/>
        <v>58.024378264693127</v>
      </c>
      <c r="I167" s="64">
        <f t="shared" si="61"/>
        <v>52.001588695847339</v>
      </c>
      <c r="J167" s="64">
        <f t="shared" si="62"/>
        <v>37.998411304152661</v>
      </c>
      <c r="K167" s="65">
        <f t="shared" si="71"/>
        <v>48.235947194862078</v>
      </c>
      <c r="L167" s="64">
        <f t="shared" si="63"/>
        <v>61.903925412249407</v>
      </c>
      <c r="M167" s="64">
        <f t="shared" si="64"/>
        <v>28.096074587750593</v>
      </c>
      <c r="N167" s="65">
        <f t="shared" si="72"/>
        <v>40.722800751457854</v>
      </c>
      <c r="O167" s="64">
        <f t="shared" si="65"/>
        <v>72.144964093438418</v>
      </c>
      <c r="P167" s="64">
        <f t="shared" si="66"/>
        <v>17.855035906561582</v>
      </c>
      <c r="Q167" s="65">
        <f t="shared" si="73"/>
        <v>34.50827280632393</v>
      </c>
      <c r="R167" s="64">
        <f t="shared" si="67"/>
        <v>62.819653459128396</v>
      </c>
      <c r="S167" s="59">
        <f t="shared" si="68"/>
        <v>27.180346540871604</v>
      </c>
      <c r="T167" s="58">
        <f t="shared" si="74"/>
        <v>40.118139802902661</v>
      </c>
      <c r="U167" s="66"/>
    </row>
    <row r="168" spans="1:34" x14ac:dyDescent="0.2">
      <c r="A168" s="67">
        <v>37</v>
      </c>
      <c r="B168" s="66">
        <f t="shared" si="56"/>
        <v>0.64577182323790194</v>
      </c>
      <c r="C168" s="64">
        <f t="shared" si="57"/>
        <v>35.340612896818854</v>
      </c>
      <c r="D168" s="64">
        <f t="shared" si="58"/>
        <v>54.659387103181146</v>
      </c>
      <c r="E168" s="65">
        <f t="shared" si="69"/>
        <v>72.647361351095554</v>
      </c>
      <c r="F168" s="64">
        <f t="shared" si="59"/>
        <v>43.37277755715575</v>
      </c>
      <c r="G168" s="64">
        <f t="shared" si="60"/>
        <v>46.62722244284425</v>
      </c>
      <c r="H168" s="65">
        <f t="shared" si="70"/>
        <v>59.098097942841612</v>
      </c>
      <c r="I168" s="64">
        <f t="shared" si="61"/>
        <v>52.573759692686998</v>
      </c>
      <c r="J168" s="64">
        <f t="shared" si="62"/>
        <v>37.426240307313002</v>
      </c>
      <c r="K168" s="65">
        <f t="shared" si="71"/>
        <v>49.272676296266461</v>
      </c>
      <c r="L168" s="64">
        <f t="shared" si="63"/>
        <v>62.405157513085967</v>
      </c>
      <c r="M168" s="64">
        <f t="shared" si="64"/>
        <v>27.594842486914033</v>
      </c>
      <c r="N168" s="65">
        <f t="shared" si="72"/>
        <v>41.674066062870615</v>
      </c>
      <c r="O168" s="64">
        <f t="shared" si="65"/>
        <v>72.580700773522025</v>
      </c>
      <c r="P168" s="64">
        <f t="shared" si="66"/>
        <v>17.419299226477975</v>
      </c>
      <c r="Q168" s="65">
        <f t="shared" si="73"/>
        <v>35.355417538628167</v>
      </c>
      <c r="R168" s="64">
        <f t="shared" si="67"/>
        <v>63.314770293700448</v>
      </c>
      <c r="S168" s="59">
        <f t="shared" si="68"/>
        <v>26.685229706299552</v>
      </c>
      <c r="T168" s="58">
        <f t="shared" si="74"/>
        <v>41.060526153638328</v>
      </c>
      <c r="U168" s="66"/>
    </row>
    <row r="169" spans="1:34" x14ac:dyDescent="0.2">
      <c r="A169" s="67">
        <v>38</v>
      </c>
      <c r="B169" s="66">
        <f t="shared" si="56"/>
        <v>0.66322511575784526</v>
      </c>
      <c r="C169" s="64">
        <f t="shared" si="57"/>
        <v>36.068819416857998</v>
      </c>
      <c r="D169" s="64">
        <f t="shared" si="58"/>
        <v>53.931180583142002</v>
      </c>
      <c r="E169" s="65">
        <f t="shared" si="69"/>
        <v>73.603510237032765</v>
      </c>
      <c r="F169" s="64">
        <f t="shared" si="59"/>
        <v>44.029289774495901</v>
      </c>
      <c r="G169" s="64">
        <f t="shared" si="60"/>
        <v>45.970710225504099</v>
      </c>
      <c r="H169" s="65">
        <f t="shared" si="70"/>
        <v>60.149556927609737</v>
      </c>
      <c r="I169" s="64">
        <f t="shared" si="61"/>
        <v>53.154846175177454</v>
      </c>
      <c r="J169" s="64">
        <f t="shared" si="62"/>
        <v>36.845153824822546</v>
      </c>
      <c r="K169" s="65">
        <f t="shared" si="71"/>
        <v>50.293558264197195</v>
      </c>
      <c r="L169" s="64">
        <f t="shared" si="63"/>
        <v>62.915773347515774</v>
      </c>
      <c r="M169" s="64">
        <f t="shared" si="64"/>
        <v>27.084226652484226</v>
      </c>
      <c r="N169" s="65">
        <f t="shared" si="72"/>
        <v>42.614576042161097</v>
      </c>
      <c r="O169" s="64">
        <f t="shared" si="65"/>
        <v>73.025574446631182</v>
      </c>
      <c r="P169" s="64">
        <f t="shared" si="66"/>
        <v>16.974425553368818</v>
      </c>
      <c r="Q169" s="65">
        <f t="shared" si="73"/>
        <v>36.195289829956778</v>
      </c>
      <c r="R169" s="64">
        <f t="shared" si="67"/>
        <v>63.819272727202716</v>
      </c>
      <c r="S169" s="59">
        <f t="shared" si="68"/>
        <v>26.180727272797284</v>
      </c>
      <c r="T169" s="58">
        <f t="shared" si="74"/>
        <v>41.992533768963625</v>
      </c>
      <c r="U169" s="66"/>
    </row>
    <row r="170" spans="1:34" x14ac:dyDescent="0.2">
      <c r="A170" s="67">
        <v>39</v>
      </c>
      <c r="B170" s="66">
        <f t="shared" si="56"/>
        <v>0.68067840827778847</v>
      </c>
      <c r="C170" s="64">
        <f t="shared" si="57"/>
        <v>36.80056564456445</v>
      </c>
      <c r="D170" s="64">
        <f t="shared" si="58"/>
        <v>53.19943435543555</v>
      </c>
      <c r="E170" s="65">
        <f t="shared" si="69"/>
        <v>74.535247737357906</v>
      </c>
      <c r="F170" s="64">
        <f t="shared" si="59"/>
        <v>44.692682496507054</v>
      </c>
      <c r="G170" s="64">
        <f t="shared" si="60"/>
        <v>45.307317503492946</v>
      </c>
      <c r="H170" s="65">
        <f t="shared" si="70"/>
        <v>61.179581928204243</v>
      </c>
      <c r="I170" s="64">
        <f t="shared" si="61"/>
        <v>53.744529192936803</v>
      </c>
      <c r="J170" s="64">
        <f t="shared" si="62"/>
        <v>36.255470807063197</v>
      </c>
      <c r="K170" s="65">
        <f t="shared" si="71"/>
        <v>51.298927970723433</v>
      </c>
      <c r="L170" s="64">
        <f t="shared" si="63"/>
        <v>63.435529924426518</v>
      </c>
      <c r="M170" s="64">
        <f t="shared" si="64"/>
        <v>26.564470075573482</v>
      </c>
      <c r="N170" s="65">
        <f t="shared" si="72"/>
        <v>43.544433785066474</v>
      </c>
      <c r="O170" s="64">
        <f t="shared" si="65"/>
        <v>73.479411192193197</v>
      </c>
      <c r="P170" s="64">
        <f t="shared" si="66"/>
        <v>16.520588807806803</v>
      </c>
      <c r="Q170" s="65">
        <f t="shared" si="73"/>
        <v>37.027895413556443</v>
      </c>
      <c r="R170" s="64">
        <f t="shared" si="67"/>
        <v>64.33292452141113</v>
      </c>
      <c r="S170" s="59">
        <f t="shared" si="68"/>
        <v>25.66707547858887</v>
      </c>
      <c r="T170" s="58">
        <f t="shared" si="74"/>
        <v>42.914252953827159</v>
      </c>
      <c r="U170" s="66"/>
    </row>
    <row r="171" spans="1:34" x14ac:dyDescent="0.2">
      <c r="A171" s="67">
        <v>40</v>
      </c>
      <c r="B171" s="66">
        <f t="shared" si="56"/>
        <v>0.69813170079773179</v>
      </c>
      <c r="C171" s="64">
        <f t="shared" si="57"/>
        <v>37.535571569521942</v>
      </c>
      <c r="D171" s="64">
        <f t="shared" si="58"/>
        <v>52.464428430478058</v>
      </c>
      <c r="E171" s="65">
        <f t="shared" si="69"/>
        <v>75.443997760291168</v>
      </c>
      <c r="F171" s="64">
        <f t="shared" si="59"/>
        <v>45.362604447096345</v>
      </c>
      <c r="G171" s="64">
        <f t="shared" si="60"/>
        <v>44.637395552903655</v>
      </c>
      <c r="H171" s="65">
        <f t="shared" si="70"/>
        <v>62.188983368286451</v>
      </c>
      <c r="I171" s="64">
        <f t="shared" si="61"/>
        <v>54.342498395001179</v>
      </c>
      <c r="J171" s="64">
        <f t="shared" si="62"/>
        <v>35.657501604998821</v>
      </c>
      <c r="K171" s="65">
        <f t="shared" si="71"/>
        <v>52.289129795306422</v>
      </c>
      <c r="L171" s="64">
        <f t="shared" si="63"/>
        <v>63.964187571429974</v>
      </c>
      <c r="M171" s="64">
        <f t="shared" si="64"/>
        <v>26.035812428570026</v>
      </c>
      <c r="N171" s="65">
        <f t="shared" si="72"/>
        <v>44.463754157552714</v>
      </c>
      <c r="O171" s="64">
        <f t="shared" si="65"/>
        <v>73.942037782632781</v>
      </c>
      <c r="P171" s="64">
        <f t="shared" si="66"/>
        <v>16.057962217367219</v>
      </c>
      <c r="Q171" s="65">
        <f t="shared" si="73"/>
        <v>37.853248635254126</v>
      </c>
      <c r="R171" s="64">
        <f t="shared" si="67"/>
        <v>64.855492427400762</v>
      </c>
      <c r="S171" s="59">
        <f t="shared" si="68"/>
        <v>25.144507572599238</v>
      </c>
      <c r="T171" s="58">
        <f t="shared" si="74"/>
        <v>43.825785586514058</v>
      </c>
      <c r="U171" s="66"/>
    </row>
    <row r="172" spans="1:34" x14ac:dyDescent="0.2">
      <c r="A172" s="67">
        <v>41</v>
      </c>
      <c r="B172" s="66">
        <f t="shared" si="56"/>
        <v>0.71558499331767511</v>
      </c>
      <c r="C172" s="64">
        <f t="shared" si="57"/>
        <v>38.273575419961574</v>
      </c>
      <c r="D172" s="64">
        <f t="shared" si="58"/>
        <v>51.726424580038426</v>
      </c>
      <c r="E172" s="65">
        <f t="shared" si="69"/>
        <v>76.331097345368562</v>
      </c>
      <c r="F172" s="64">
        <f t="shared" si="59"/>
        <v>46.038720227868268</v>
      </c>
      <c r="G172" s="64">
        <f t="shared" si="60"/>
        <v>43.961279772131732</v>
      </c>
      <c r="H172" s="65">
        <f t="shared" si="70"/>
        <v>63.178553888316685</v>
      </c>
      <c r="I172" s="64">
        <f t="shared" si="61"/>
        <v>54.948452020864273</v>
      </c>
      <c r="J172" s="64">
        <f t="shared" si="62"/>
        <v>35.051547979135727</v>
      </c>
      <c r="K172" s="65">
        <f t="shared" si="71"/>
        <v>53.264515855481719</v>
      </c>
      <c r="L172" s="64">
        <f t="shared" si="63"/>
        <v>64.501510122271256</v>
      </c>
      <c r="M172" s="64">
        <f t="shared" si="64"/>
        <v>25.498489877728744</v>
      </c>
      <c r="N172" s="65">
        <f t="shared" si="72"/>
        <v>45.372662883888161</v>
      </c>
      <c r="O172" s="64">
        <f t="shared" si="65"/>
        <v>74.413281863084478</v>
      </c>
      <c r="P172" s="64">
        <f t="shared" si="66"/>
        <v>15.586718136915522</v>
      </c>
      <c r="Q172" s="65">
        <f t="shared" si="73"/>
        <v>38.671372084980504</v>
      </c>
      <c r="R172" s="64">
        <f t="shared" si="67"/>
        <v>65.38674637713487</v>
      </c>
      <c r="S172" s="59">
        <f t="shared" si="68"/>
        <v>24.61325362286513</v>
      </c>
      <c r="T172" s="58">
        <f t="shared" si="74"/>
        <v>44.727244271900723</v>
      </c>
      <c r="U172" s="66"/>
    </row>
    <row r="173" spans="1:34" x14ac:dyDescent="0.2">
      <c r="A173" s="67">
        <v>42</v>
      </c>
      <c r="B173" s="66">
        <f t="shared" si="56"/>
        <v>0.73303828583761843</v>
      </c>
      <c r="C173" s="64">
        <f t="shared" si="57"/>
        <v>39.014332112014444</v>
      </c>
      <c r="D173" s="64">
        <f t="shared" si="58"/>
        <v>50.985667887985556</v>
      </c>
      <c r="E173" s="65">
        <f t="shared" si="69"/>
        <v>77.19780231606012</v>
      </c>
      <c r="F173" s="64">
        <f t="shared" si="59"/>
        <v>46.720709601205122</v>
      </c>
      <c r="G173" s="64">
        <f t="shared" si="60"/>
        <v>43.279290398794878</v>
      </c>
      <c r="H173" s="65">
        <f t="shared" si="70"/>
        <v>64.149067193080484</v>
      </c>
      <c r="I173" s="64">
        <f t="shared" si="61"/>
        <v>55.56209685496713</v>
      </c>
      <c r="J173" s="64">
        <f t="shared" si="62"/>
        <v>34.43790314503287</v>
      </c>
      <c r="K173" s="65">
        <f t="shared" si="71"/>
        <v>54.225444388853411</v>
      </c>
      <c r="L173" s="64">
        <f t="shared" si="63"/>
        <v>65.047265078649176</v>
      </c>
      <c r="M173" s="64">
        <f t="shared" si="64"/>
        <v>24.952734921350824</v>
      </c>
      <c r="N173" s="65">
        <f t="shared" si="72"/>
        <v>46.271295667812829</v>
      </c>
      <c r="O173" s="64">
        <f t="shared" si="65"/>
        <v>74.892972118723975</v>
      </c>
      <c r="P173" s="64">
        <f t="shared" si="66"/>
        <v>15.107027881276025</v>
      </c>
      <c r="Q173" s="65">
        <f t="shared" si="73"/>
        <v>39.482296227875871</v>
      </c>
      <c r="R173" s="64">
        <f t="shared" si="67"/>
        <v>65.926459650835525</v>
      </c>
      <c r="S173" s="59">
        <f t="shared" si="68"/>
        <v>24.073540349164475</v>
      </c>
      <c r="T173" s="58">
        <f t="shared" si="74"/>
        <v>45.618751522395215</v>
      </c>
      <c r="U173" s="66"/>
    </row>
    <row r="174" spans="1:34" x14ac:dyDescent="0.2">
      <c r="A174" s="67">
        <v>43</v>
      </c>
      <c r="B174" s="66">
        <f t="shared" si="56"/>
        <v>0.75049157835756175</v>
      </c>
      <c r="C174" s="64">
        <f t="shared" si="57"/>
        <v>39.757611834663933</v>
      </c>
      <c r="D174" s="64">
        <f t="shared" si="58"/>
        <v>50.242388165336067</v>
      </c>
      <c r="E174" s="65">
        <f t="shared" si="69"/>
        <v>78.045292651586038</v>
      </c>
      <c r="F174" s="64">
        <f t="shared" si="59"/>
        <v>47.408266780569491</v>
      </c>
      <c r="G174" s="64">
        <f t="shared" si="60"/>
        <v>42.591733219430509</v>
      </c>
      <c r="H174" s="65">
        <f t="shared" si="70"/>
        <v>65.101277199589376</v>
      </c>
      <c r="I174" s="64">
        <f t="shared" si="61"/>
        <v>56.183148149069773</v>
      </c>
      <c r="J174" s="64">
        <f t="shared" si="62"/>
        <v>33.816851850930227</v>
      </c>
      <c r="K174" s="65">
        <f t="shared" si="71"/>
        <v>55.172278280527308</v>
      </c>
      <c r="L174" s="64">
        <f t="shared" si="63"/>
        <v>65.601223747861084</v>
      </c>
      <c r="M174" s="64">
        <f t="shared" si="64"/>
        <v>24.398776252138916</v>
      </c>
      <c r="N174" s="65">
        <f t="shared" si="72"/>
        <v>47.159797349192267</v>
      </c>
      <c r="O174" s="64">
        <f t="shared" si="65"/>
        <v>75.380938429909023</v>
      </c>
      <c r="P174" s="64">
        <f t="shared" si="66"/>
        <v>14.619061570090977</v>
      </c>
      <c r="Q174" s="65">
        <f t="shared" si="73"/>
        <v>40.286059036866874</v>
      </c>
      <c r="R174" s="64">
        <f t="shared" si="67"/>
        <v>66.474409021372509</v>
      </c>
      <c r="S174" s="59">
        <f t="shared" si="68"/>
        <v>23.525590978627491</v>
      </c>
      <c r="T174" s="58">
        <f t="shared" si="74"/>
        <v>46.500438969044716</v>
      </c>
      <c r="U174" s="66"/>
    </row>
    <row r="175" spans="1:34" x14ac:dyDescent="0.2">
      <c r="A175" s="67">
        <v>44</v>
      </c>
      <c r="B175" s="66">
        <f t="shared" si="56"/>
        <v>0.76794487087750496</v>
      </c>
      <c r="C175" s="64">
        <f t="shared" si="57"/>
        <v>40.503198758578158</v>
      </c>
      <c r="D175" s="64">
        <f t="shared" si="58"/>
        <v>49.496801241421842</v>
      </c>
      <c r="E175" s="65">
        <f t="shared" si="69"/>
        <v>78.874677567385334</v>
      </c>
      <c r="F175" s="64">
        <f t="shared" si="59"/>
        <v>48.101099732602577</v>
      </c>
      <c r="G175" s="64">
        <f t="shared" si="60"/>
        <v>41.898900267397423</v>
      </c>
      <c r="H175" s="65">
        <f t="shared" si="70"/>
        <v>66.035917444788055</v>
      </c>
      <c r="I175" s="64">
        <f t="shared" si="61"/>
        <v>56.811329516624106</v>
      </c>
      <c r="J175" s="64">
        <f t="shared" si="62"/>
        <v>33.188670483375894</v>
      </c>
      <c r="K175" s="65">
        <f t="shared" si="71"/>
        <v>56.105383729391718</v>
      </c>
      <c r="L175" s="64">
        <f t="shared" si="63"/>
        <v>66.163161357704467</v>
      </c>
      <c r="M175" s="64">
        <f t="shared" si="64"/>
        <v>23.836838642295533</v>
      </c>
      <c r="N175" s="65">
        <f t="shared" si="72"/>
        <v>48.038321097994611</v>
      </c>
      <c r="O175" s="64">
        <f t="shared" si="65"/>
        <v>75.877012015370241</v>
      </c>
      <c r="P175" s="64">
        <f t="shared" si="66"/>
        <v>14.122987984629759</v>
      </c>
      <c r="Q175" s="65">
        <f t="shared" si="73"/>
        <v>41.08270562844271</v>
      </c>
      <c r="R175" s="64">
        <f t="shared" si="67"/>
        <v>67.030374876936463</v>
      </c>
      <c r="S175" s="59">
        <f t="shared" si="68"/>
        <v>22.969625123063537</v>
      </c>
      <c r="T175" s="58">
        <f t="shared" si="74"/>
        <v>47.372446604790625</v>
      </c>
      <c r="U175" s="66"/>
    </row>
    <row r="176" spans="1:34" s="54" customFormat="1" x14ac:dyDescent="0.2">
      <c r="A176" s="63">
        <v>45</v>
      </c>
      <c r="B176" s="62">
        <f t="shared" si="56"/>
        <v>0.78539816339744828</v>
      </c>
      <c r="C176" s="60">
        <f t="shared" si="57"/>
        <v>41.250889857826117</v>
      </c>
      <c r="D176" s="60">
        <f t="shared" si="58"/>
        <v>48.749110142173883</v>
      </c>
      <c r="E176" s="61">
        <f t="shared" si="69"/>
        <v>79.687000301357344</v>
      </c>
      <c r="F176" s="60">
        <f t="shared" si="59"/>
        <v>48.79892949463926</v>
      </c>
      <c r="G176" s="60">
        <f t="shared" si="60"/>
        <v>41.20107050536074</v>
      </c>
      <c r="H176" s="61">
        <f t="shared" si="70"/>
        <v>66.953700716581693</v>
      </c>
      <c r="I176" s="60">
        <f t="shared" si="61"/>
        <v>57.446372802950606</v>
      </c>
      <c r="J176" s="60">
        <f t="shared" si="62"/>
        <v>32.553627197049394</v>
      </c>
      <c r="K176" s="61">
        <f t="shared" si="71"/>
        <v>57.025129046143419</v>
      </c>
      <c r="L176" s="60">
        <f t="shared" si="63"/>
        <v>66.732857150070672</v>
      </c>
      <c r="M176" s="60">
        <f t="shared" si="64"/>
        <v>23.267142849929328</v>
      </c>
      <c r="N176" s="61">
        <f t="shared" si="72"/>
        <v>48.907027646930629</v>
      </c>
      <c r="O176" s="60">
        <f t="shared" si="65"/>
        <v>76.381025563733289</v>
      </c>
      <c r="P176" s="60">
        <f t="shared" si="66"/>
        <v>13.618974436266711</v>
      </c>
      <c r="Q176" s="61">
        <f t="shared" si="73"/>
        <v>41.872287903197325</v>
      </c>
      <c r="R176" s="60">
        <f t="shared" si="67"/>
        <v>67.594141323274513</v>
      </c>
      <c r="S176" s="59">
        <f t="shared" si="68"/>
        <v>22.405858676725487</v>
      </c>
      <c r="T176" s="58">
        <f t="shared" si="74"/>
        <v>48.234922061387287</v>
      </c>
      <c r="U176" s="62"/>
      <c r="V176" s="56">
        <f>E176</f>
        <v>79.687000301357344</v>
      </c>
      <c r="W176" s="55"/>
      <c r="AH176" s="55">
        <f>D176</f>
        <v>48.749110142173883</v>
      </c>
    </row>
    <row r="177" spans="1:35" x14ac:dyDescent="0.2">
      <c r="A177" s="67">
        <v>46</v>
      </c>
      <c r="B177" s="66">
        <f t="shared" si="56"/>
        <v>0.8028514559173916</v>
      </c>
      <c r="C177" s="64">
        <f t="shared" si="57"/>
        <v>42.000493834310348</v>
      </c>
      <c r="D177" s="64">
        <f t="shared" si="58"/>
        <v>47.999506165689652</v>
      </c>
      <c r="E177" s="65">
        <f t="shared" si="69"/>
        <v>80.48324260867372</v>
      </c>
      <c r="F177" s="64">
        <f t="shared" si="59"/>
        <v>49.501489510442546</v>
      </c>
      <c r="G177" s="64">
        <f t="shared" si="60"/>
        <v>40.498510489557454</v>
      </c>
      <c r="H177" s="65">
        <f t="shared" si="70"/>
        <v>67.855318875567022</v>
      </c>
      <c r="I177" s="64">
        <f t="shared" si="61"/>
        <v>58.088017934710336</v>
      </c>
      <c r="J177" s="64">
        <f t="shared" si="62"/>
        <v>31.911982065289664</v>
      </c>
      <c r="K177" s="65">
        <f t="shared" si="71"/>
        <v>57.931883575634238</v>
      </c>
      <c r="L177" s="64">
        <f t="shared" si="63"/>
        <v>67.310094454655243</v>
      </c>
      <c r="M177" s="64">
        <f t="shared" si="64"/>
        <v>22.689905545344757</v>
      </c>
      <c r="N177" s="65">
        <f t="shared" si="72"/>
        <v>49.766084563645563</v>
      </c>
      <c r="O177" s="64">
        <f t="shared" si="65"/>
        <v>76.892813353691523</v>
      </c>
      <c r="P177" s="64">
        <f t="shared" si="66"/>
        <v>13.107186646308477</v>
      </c>
      <c r="Q177" s="65">
        <f t="shared" si="73"/>
        <v>42.654864192548267</v>
      </c>
      <c r="R177" s="64">
        <f t="shared" si="67"/>
        <v>68.16549626676705</v>
      </c>
      <c r="S177" s="59">
        <f t="shared" si="68"/>
        <v>21.83450373323295</v>
      </c>
      <c r="T177" s="58">
        <f t="shared" si="74"/>
        <v>49.088019921082811</v>
      </c>
      <c r="U177" s="66"/>
      <c r="V177" s="53">
        <f>H176</f>
        <v>66.953700716581693</v>
      </c>
      <c r="AH177" s="50">
        <f>G176</f>
        <v>41.20107050536074</v>
      </c>
    </row>
    <row r="178" spans="1:35" x14ac:dyDescent="0.2">
      <c r="A178" s="67">
        <v>47</v>
      </c>
      <c r="B178" s="66">
        <f t="shared" si="56"/>
        <v>0.82030474843733492</v>
      </c>
      <c r="C178" s="64">
        <f t="shared" si="57"/>
        <v>42.751830135562635</v>
      </c>
      <c r="D178" s="64">
        <f t="shared" si="58"/>
        <v>47.248169864437365</v>
      </c>
      <c r="E178" s="65">
        <f t="shared" si="69"/>
        <v>81.264328972071112</v>
      </c>
      <c r="F178" s="64">
        <f t="shared" si="59"/>
        <v>50.208524986262724</v>
      </c>
      <c r="G178" s="64">
        <f t="shared" si="60"/>
        <v>39.791475013737276</v>
      </c>
      <c r="H178" s="65">
        <f t="shared" si="70"/>
        <v>68.741442838470093</v>
      </c>
      <c r="I178" s="64">
        <f t="shared" si="61"/>
        <v>58.736012751857828</v>
      </c>
      <c r="J178" s="64">
        <f t="shared" si="62"/>
        <v>31.263987248142172</v>
      </c>
      <c r="K178" s="65">
        <f t="shared" si="71"/>
        <v>58.826016735940712</v>
      </c>
      <c r="L178" s="64">
        <f t="shared" si="63"/>
        <v>67.894660744187036</v>
      </c>
      <c r="M178" s="64">
        <f t="shared" si="64"/>
        <v>22.105339255812964</v>
      </c>
      <c r="N178" s="65">
        <f t="shared" si="72"/>
        <v>50.615665562951605</v>
      </c>
      <c r="O178" s="64">
        <f t="shared" si="65"/>
        <v>77.412211363177818</v>
      </c>
      <c r="P178" s="64">
        <f t="shared" si="66"/>
        <v>12.587788636822182</v>
      </c>
      <c r="Q178" s="65">
        <f t="shared" si="73"/>
        <v>43.430498912889846</v>
      </c>
      <c r="R178" s="64">
        <f t="shared" si="67"/>
        <v>68.744231479612921</v>
      </c>
      <c r="S178" s="59">
        <f t="shared" si="68"/>
        <v>21.255768520387079</v>
      </c>
      <c r="T178" s="58">
        <f t="shared" si="74"/>
        <v>49.931901063781652</v>
      </c>
      <c r="U178" s="66"/>
      <c r="V178" s="53">
        <f>K176</f>
        <v>57.025129046143419</v>
      </c>
      <c r="AH178" s="50">
        <f>J176</f>
        <v>32.553627197049394</v>
      </c>
    </row>
    <row r="179" spans="1:35" x14ac:dyDescent="0.2">
      <c r="A179" s="67">
        <v>48</v>
      </c>
      <c r="B179" s="66">
        <f t="shared" si="56"/>
        <v>0.83775804095727824</v>
      </c>
      <c r="C179" s="64">
        <f t="shared" si="57"/>
        <v>43.504728057331292</v>
      </c>
      <c r="D179" s="64">
        <f t="shared" si="58"/>
        <v>46.495271942668708</v>
      </c>
      <c r="E179" s="65">
        <f t="shared" si="69"/>
        <v>82.031130537426307</v>
      </c>
      <c r="F179" s="64">
        <f t="shared" si="59"/>
        <v>50.919792268736963</v>
      </c>
      <c r="G179" s="64">
        <f t="shared" si="60"/>
        <v>39.080207731263037</v>
      </c>
      <c r="H179" s="65">
        <f t="shared" si="70"/>
        <v>69.612722697643434</v>
      </c>
      <c r="I179" s="64">
        <f t="shared" si="61"/>
        <v>59.390112824966835</v>
      </c>
      <c r="J179" s="64">
        <f t="shared" si="62"/>
        <v>30.609887175033165</v>
      </c>
      <c r="K179" s="65">
        <f t="shared" si="71"/>
        <v>59.707897166520169</v>
      </c>
      <c r="L179" s="64">
        <f t="shared" si="63"/>
        <v>68.486347672545236</v>
      </c>
      <c r="M179" s="64">
        <f t="shared" si="64"/>
        <v>21.513652327454764</v>
      </c>
      <c r="N179" s="65">
        <f t="shared" si="72"/>
        <v>51.455949859235574</v>
      </c>
      <c r="O179" s="64">
        <f t="shared" si="65"/>
        <v>77.939057367910223</v>
      </c>
      <c r="P179" s="64">
        <f t="shared" si="66"/>
        <v>12.060942632089777</v>
      </c>
      <c r="Q179" s="65">
        <f t="shared" si="73"/>
        <v>44.199262228292064</v>
      </c>
      <c r="R179" s="64">
        <f t="shared" si="67"/>
        <v>69.330142648368408</v>
      </c>
      <c r="S179" s="59">
        <f t="shared" si="68"/>
        <v>20.669857351631592</v>
      </c>
      <c r="T179" s="58">
        <f t="shared" si="74"/>
        <v>50.766732050072108</v>
      </c>
      <c r="U179" s="66"/>
      <c r="V179" s="53">
        <f>N176</f>
        <v>48.907027646930629</v>
      </c>
      <c r="AH179" s="50">
        <f>M176</f>
        <v>23.267142849929328</v>
      </c>
    </row>
    <row r="180" spans="1:35" x14ac:dyDescent="0.2">
      <c r="A180" s="67">
        <v>49</v>
      </c>
      <c r="B180" s="66">
        <f t="shared" si="56"/>
        <v>0.85521133347722145</v>
      </c>
      <c r="C180" s="64">
        <f t="shared" si="57"/>
        <v>44.259025923130331</v>
      </c>
      <c r="D180" s="64">
        <f t="shared" si="58"/>
        <v>45.740974076869669</v>
      </c>
      <c r="E180" s="65">
        <f t="shared" si="69"/>
        <v>82.78446878636214</v>
      </c>
      <c r="F180" s="64">
        <f t="shared" si="59"/>
        <v>51.635058245649354</v>
      </c>
      <c r="G180" s="64">
        <f t="shared" si="60"/>
        <v>38.364941754350646</v>
      </c>
      <c r="H180" s="65">
        <f t="shared" si="70"/>
        <v>70.469787954047163</v>
      </c>
      <c r="I180" s="64">
        <f t="shared" si="61"/>
        <v>60.050081260539812</v>
      </c>
      <c r="J180" s="64">
        <f t="shared" si="62"/>
        <v>29.949918739460188</v>
      </c>
      <c r="K180" s="65">
        <f t="shared" si="71"/>
        <v>60.577891977881563</v>
      </c>
      <c r="L180" s="64">
        <f t="shared" si="63"/>
        <v>69.084951097093338</v>
      </c>
      <c r="M180" s="64">
        <f t="shared" si="64"/>
        <v>20.915048902906662</v>
      </c>
      <c r="N180" s="65">
        <f t="shared" si="72"/>
        <v>52.2871215588684</v>
      </c>
      <c r="O180" s="64">
        <f t="shared" si="65"/>
        <v>78.473191029706385</v>
      </c>
      <c r="P180" s="64">
        <f t="shared" si="66"/>
        <v>11.526808970293615</v>
      </c>
      <c r="Q180" s="65">
        <f t="shared" si="73"/>
        <v>44.961229722717434</v>
      </c>
      <c r="R180" s="64">
        <f t="shared" si="67"/>
        <v>69.923029407056049</v>
      </c>
      <c r="S180" s="59">
        <f t="shared" si="68"/>
        <v>20.076970592943951</v>
      </c>
      <c r="T180" s="58">
        <f t="shared" si="74"/>
        <v>51.5926845402049</v>
      </c>
      <c r="U180" s="66"/>
      <c r="V180" s="53">
        <f>Q176</f>
        <v>41.872287903197325</v>
      </c>
      <c r="AH180" s="50">
        <f>P176</f>
        <v>13.618974436266711</v>
      </c>
    </row>
    <row r="181" spans="1:35" x14ac:dyDescent="0.2">
      <c r="A181" s="67">
        <v>50</v>
      </c>
      <c r="B181" s="66">
        <f t="shared" si="56"/>
        <v>0.87266462599716477</v>
      </c>
      <c r="C181" s="64">
        <f t="shared" si="57"/>
        <v>45.01457033361622</v>
      </c>
      <c r="D181" s="64">
        <f t="shared" si="58"/>
        <v>44.98542966638378</v>
      </c>
      <c r="E181" s="65">
        <f t="shared" si="69"/>
        <v>83.52511895885236</v>
      </c>
      <c r="F181" s="64">
        <f t="shared" si="59"/>
        <v>52.354099770159138</v>
      </c>
      <c r="G181" s="64">
        <f t="shared" si="60"/>
        <v>37.645900229840862</v>
      </c>
      <c r="H181" s="65">
        <f t="shared" si="70"/>
        <v>71.313247843932487</v>
      </c>
      <c r="I181" s="64">
        <f t="shared" si="61"/>
        <v>60.715688496645129</v>
      </c>
      <c r="J181" s="64">
        <f t="shared" si="62"/>
        <v>29.284311503354871</v>
      </c>
      <c r="K181" s="65">
        <f t="shared" si="71"/>
        <v>61.436366095350223</v>
      </c>
      <c r="L181" s="64">
        <f t="shared" si="63"/>
        <v>69.69027108651062</v>
      </c>
      <c r="M181" s="64">
        <f t="shared" si="64"/>
        <v>20.30972891348938</v>
      </c>
      <c r="N181" s="65">
        <f t="shared" si="72"/>
        <v>53.109369092176252</v>
      </c>
      <c r="O181" s="64">
        <f t="shared" si="65"/>
        <v>79.014453974976021</v>
      </c>
      <c r="P181" s="64">
        <f t="shared" si="66"/>
        <v>10.985546025023979</v>
      </c>
      <c r="Q181" s="65">
        <f t="shared" si="73"/>
        <v>45.716482082593124</v>
      </c>
      <c r="R181" s="64">
        <f t="shared" si="67"/>
        <v>70.522695356022297</v>
      </c>
      <c r="S181" s="59">
        <f t="shared" si="68"/>
        <v>19.477304643977703</v>
      </c>
      <c r="T181" s="58">
        <f t="shared" si="74"/>
        <v>52.40993474884894</v>
      </c>
      <c r="U181" s="66"/>
    </row>
    <row r="182" spans="1:35" x14ac:dyDescent="0.2">
      <c r="A182" s="67">
        <v>51</v>
      </c>
      <c r="B182" s="66">
        <f t="shared" si="56"/>
        <v>0.89011791851710809</v>
      </c>
      <c r="C182" s="64">
        <f t="shared" si="57"/>
        <v>45.771215479304971</v>
      </c>
      <c r="D182" s="64">
        <f t="shared" si="58"/>
        <v>44.228784520695029</v>
      </c>
      <c r="E182" s="65">
        <f t="shared" si="69"/>
        <v>84.253813239459788</v>
      </c>
      <c r="F182" s="64">
        <f t="shared" si="59"/>
        <v>53.076703108764313</v>
      </c>
      <c r="G182" s="64">
        <f t="shared" si="60"/>
        <v>36.923296891235687</v>
      </c>
      <c r="H182" s="65">
        <f t="shared" si="70"/>
        <v>72.143691741972219</v>
      </c>
      <c r="I182" s="64">
        <f t="shared" si="61"/>
        <v>61.386712090976907</v>
      </c>
      <c r="J182" s="64">
        <f t="shared" si="62"/>
        <v>28.613287909023093</v>
      </c>
      <c r="K182" s="65">
        <f t="shared" si="71"/>
        <v>62.283681689726301</v>
      </c>
      <c r="L182" s="64">
        <f t="shared" si="63"/>
        <v>70.302111915350125</v>
      </c>
      <c r="M182" s="64">
        <f t="shared" si="64"/>
        <v>19.697888084649875</v>
      </c>
      <c r="N182" s="65">
        <f t="shared" si="72"/>
        <v>53.922884684308528</v>
      </c>
      <c r="O182" s="64">
        <f t="shared" si="65"/>
        <v>79.562689863813887</v>
      </c>
      <c r="P182" s="64">
        <f t="shared" si="66"/>
        <v>10.437310136186113</v>
      </c>
      <c r="Q182" s="65">
        <f t="shared" si="73"/>
        <v>46.465104790454376</v>
      </c>
      <c r="R182" s="64">
        <f t="shared" si="67"/>
        <v>71.128948067681222</v>
      </c>
      <c r="S182" s="59">
        <f t="shared" si="68"/>
        <v>18.871051932318778</v>
      </c>
      <c r="T182" s="58">
        <f t="shared" si="74"/>
        <v>53.218662935227869</v>
      </c>
      <c r="U182" s="69"/>
    </row>
    <row r="183" spans="1:35" x14ac:dyDescent="0.2">
      <c r="A183" s="67">
        <v>52</v>
      </c>
      <c r="B183" s="66">
        <f t="shared" si="56"/>
        <v>0.90757121103705141</v>
      </c>
      <c r="C183" s="64">
        <f t="shared" si="57"/>
        <v>46.528822510739239</v>
      </c>
      <c r="D183" s="64">
        <f t="shared" si="58"/>
        <v>43.471177489260761</v>
      </c>
      <c r="E183" s="65">
        <f t="shared" si="69"/>
        <v>84.971243721094154</v>
      </c>
      <c r="F183" s="64">
        <f t="shared" si="59"/>
        <v>53.802663412989205</v>
      </c>
      <c r="G183" s="64">
        <f t="shared" si="60"/>
        <v>36.197336587010795</v>
      </c>
      <c r="H183" s="65">
        <f t="shared" si="70"/>
        <v>72.961689625851491</v>
      </c>
      <c r="I183" s="64">
        <f t="shared" si="61"/>
        <v>62.062936503197619</v>
      </c>
      <c r="J183" s="64">
        <f t="shared" si="62"/>
        <v>27.937063496802381</v>
      </c>
      <c r="K183" s="65">
        <f t="shared" si="71"/>
        <v>63.120197687905922</v>
      </c>
      <c r="L183" s="64">
        <f t="shared" si="63"/>
        <v>70.920282046494407</v>
      </c>
      <c r="M183" s="64">
        <f t="shared" si="64"/>
        <v>19.079717953505593</v>
      </c>
      <c r="N183" s="65">
        <f t="shared" si="72"/>
        <v>54.727863864147388</v>
      </c>
      <c r="O183" s="64">
        <f t="shared" si="65"/>
        <v>80.117744450120654</v>
      </c>
      <c r="P183" s="64">
        <f t="shared" si="66"/>
        <v>9.8822555498793463</v>
      </c>
      <c r="Q183" s="65">
        <f t="shared" si="73"/>
        <v>47.207187830255577</v>
      </c>
      <c r="R183" s="64">
        <f t="shared" si="67"/>
        <v>71.741599080234565</v>
      </c>
      <c r="S183" s="59">
        <f t="shared" si="68"/>
        <v>18.258400919765435</v>
      </c>
      <c r="T183" s="58">
        <f t="shared" si="74"/>
        <v>54.019052928049192</v>
      </c>
      <c r="U183" s="69"/>
    </row>
    <row r="184" spans="1:35" x14ac:dyDescent="0.2">
      <c r="A184" s="67">
        <v>53</v>
      </c>
      <c r="B184" s="66">
        <f t="shared" si="56"/>
        <v>0.92502450355699462</v>
      </c>
      <c r="C184" s="64">
        <f t="shared" si="57"/>
        <v>47.287258960764127</v>
      </c>
      <c r="D184" s="64">
        <f t="shared" si="58"/>
        <v>42.712741039235873</v>
      </c>
      <c r="E184" s="65">
        <f t="shared" si="69"/>
        <v>85.678065160117939</v>
      </c>
      <c r="F184" s="64">
        <f t="shared" si="59"/>
        <v>54.53178421455948</v>
      </c>
      <c r="G184" s="64">
        <f t="shared" si="60"/>
        <v>35.46821578544052</v>
      </c>
      <c r="H184" s="65">
        <f t="shared" si="70"/>
        <v>73.767792589358109</v>
      </c>
      <c r="I184" s="64">
        <f t="shared" si="61"/>
        <v>62.744152873207746</v>
      </c>
      <c r="J184" s="64">
        <f t="shared" si="62"/>
        <v>27.255847126792254</v>
      </c>
      <c r="K184" s="65">
        <f t="shared" si="71"/>
        <v>63.946269356844923</v>
      </c>
      <c r="L184" s="64">
        <f t="shared" si="63"/>
        <v>71.544594102621687</v>
      </c>
      <c r="M184" s="64">
        <f t="shared" si="64"/>
        <v>18.455405897378313</v>
      </c>
      <c r="N184" s="65">
        <f t="shared" si="72"/>
        <v>55.524505010249449</v>
      </c>
      <c r="O184" s="64">
        <f t="shared" si="65"/>
        <v>80.679465633184378</v>
      </c>
      <c r="P184" s="64">
        <f t="shared" si="66"/>
        <v>9.3205343668156218</v>
      </c>
      <c r="Q184" s="65">
        <f t="shared" si="73"/>
        <v>47.942825404839517</v>
      </c>
      <c r="R184" s="64">
        <f t="shared" si="67"/>
        <v>72.360463880408247</v>
      </c>
      <c r="S184" s="59">
        <f t="shared" si="68"/>
        <v>17.639536119591753</v>
      </c>
      <c r="T184" s="58">
        <f t="shared" si="74"/>
        <v>54.811291684478974</v>
      </c>
      <c r="U184" s="69"/>
    </row>
    <row r="185" spans="1:35" x14ac:dyDescent="0.2">
      <c r="A185" s="67">
        <v>54</v>
      </c>
      <c r="B185" s="66">
        <f t="shared" si="56"/>
        <v>0.94247779607693793</v>
      </c>
      <c r="C185" s="64">
        <f t="shared" si="57"/>
        <v>48.046398214072568</v>
      </c>
      <c r="D185" s="64">
        <f t="shared" si="58"/>
        <v>41.953601785927432</v>
      </c>
      <c r="E185" s="65">
        <f t="shared" si="69"/>
        <v>86.374897536349408</v>
      </c>
      <c r="F185" s="64">
        <f t="shared" si="59"/>
        <v>55.263876943648718</v>
      </c>
      <c r="G185" s="64">
        <f t="shared" si="60"/>
        <v>34.736123056351282</v>
      </c>
      <c r="H185" s="65">
        <f t="shared" si="70"/>
        <v>74.56253339281615</v>
      </c>
      <c r="I185" s="64">
        <f t="shared" si="61"/>
        <v>63.430158796786031</v>
      </c>
      <c r="J185" s="64">
        <f t="shared" si="62"/>
        <v>26.569841203213969</v>
      </c>
      <c r="K185" s="65">
        <f t="shared" si="71"/>
        <v>64.762247954579621</v>
      </c>
      <c r="L185" s="64">
        <f t="shared" si="63"/>
        <v>72.17486482773306</v>
      </c>
      <c r="M185" s="64">
        <f t="shared" si="64"/>
        <v>17.82513517226694</v>
      </c>
      <c r="N185" s="65">
        <f t="shared" si="72"/>
        <v>56.313008932684987</v>
      </c>
      <c r="O185" s="64">
        <f t="shared" si="65"/>
        <v>81.247703501154916</v>
      </c>
      <c r="P185" s="64">
        <f t="shared" si="66"/>
        <v>8.7522964988450838</v>
      </c>
      <c r="Q185" s="65">
        <f t="shared" si="73"/>
        <v>48.672115665955133</v>
      </c>
      <c r="R185" s="64">
        <f t="shared" si="67"/>
        <v>72.985361876194048</v>
      </c>
      <c r="S185" s="59">
        <f t="shared" si="68"/>
        <v>17.014638123805952</v>
      </c>
      <c r="T185" s="58">
        <f t="shared" si="74"/>
        <v>55.595568882284219</v>
      </c>
      <c r="U185" s="69"/>
    </row>
    <row r="186" spans="1:35" x14ac:dyDescent="0.2">
      <c r="A186" s="67">
        <v>55</v>
      </c>
      <c r="B186" s="66">
        <f t="shared" si="56"/>
        <v>0.95993108859688125</v>
      </c>
      <c r="C186" s="64">
        <f t="shared" si="57"/>
        <v>48.806119019638231</v>
      </c>
      <c r="D186" s="64">
        <f t="shared" si="58"/>
        <v>41.193880980361769</v>
      </c>
      <c r="E186" s="65">
        <f t="shared" si="69"/>
        <v>87.062328431072615</v>
      </c>
      <c r="F186" s="64">
        <f t="shared" si="59"/>
        <v>55.998760469639727</v>
      </c>
      <c r="G186" s="64">
        <f t="shared" si="60"/>
        <v>34.001239530360273</v>
      </c>
      <c r="H186" s="65">
        <f t="shared" si="70"/>
        <v>75.346427041301126</v>
      </c>
      <c r="I186" s="64">
        <f t="shared" si="61"/>
        <v>64.120758099860794</v>
      </c>
      <c r="J186" s="64">
        <f t="shared" si="62"/>
        <v>25.879241900139206</v>
      </c>
      <c r="K186" s="65">
        <f t="shared" si="71"/>
        <v>65.568480442373186</v>
      </c>
      <c r="L186" s="64">
        <f t="shared" si="63"/>
        <v>72.810915039729508</v>
      </c>
      <c r="M186" s="64">
        <f t="shared" si="64"/>
        <v>17.189084960270492</v>
      </c>
      <c r="N186" s="65">
        <f t="shared" si="72"/>
        <v>57.09357848954371</v>
      </c>
      <c r="O186" s="64">
        <f t="shared" si="65"/>
        <v>81.822310366840696</v>
      </c>
      <c r="P186" s="64">
        <f t="shared" si="66"/>
        <v>8.1776896331593036</v>
      </c>
      <c r="Q186" s="65">
        <f t="shared" si="73"/>
        <v>49.395160457122799</v>
      </c>
      <c r="R186" s="64">
        <f t="shared" si="67"/>
        <v>73.616116360530071</v>
      </c>
      <c r="S186" s="59">
        <f t="shared" si="68"/>
        <v>16.383883639469929</v>
      </c>
      <c r="T186" s="58">
        <f t="shared" si="74"/>
        <v>56.372076544158723</v>
      </c>
      <c r="U186" s="69"/>
    </row>
    <row r="187" spans="1:35" x14ac:dyDescent="0.2">
      <c r="A187" s="67">
        <v>56</v>
      </c>
      <c r="B187" s="66">
        <f t="shared" si="56"/>
        <v>0.97738438111682457</v>
      </c>
      <c r="C187" s="64">
        <f t="shared" si="57"/>
        <v>49.56630504207115</v>
      </c>
      <c r="D187" s="64">
        <f t="shared" si="58"/>
        <v>40.43369495792885</v>
      </c>
      <c r="E187" s="65">
        <f t="shared" si="69"/>
        <v>87.740915235618701</v>
      </c>
      <c r="F187" s="64">
        <f t="shared" si="59"/>
        <v>56.736260663735614</v>
      </c>
      <c r="G187" s="64">
        <f t="shared" si="60"/>
        <v>33.263739336264386</v>
      </c>
      <c r="H187" s="65">
        <f t="shared" si="70"/>
        <v>76.119971382483911</v>
      </c>
      <c r="I187" s="64">
        <f t="shared" si="61"/>
        <v>64.815760612504874</v>
      </c>
      <c r="J187" s="64">
        <f t="shared" si="62"/>
        <v>25.184239387495126</v>
      </c>
      <c r="K187" s="65">
        <f t="shared" si="71"/>
        <v>66.365309252417248</v>
      </c>
      <c r="L187" s="64">
        <f t="shared" si="63"/>
        <v>73.452569574965295</v>
      </c>
      <c r="M187" s="64">
        <f t="shared" si="64"/>
        <v>16.547430425034705</v>
      </c>
      <c r="N187" s="65">
        <f t="shared" si="72"/>
        <v>57.86641823680462</v>
      </c>
      <c r="O187" s="64">
        <f t="shared" si="65"/>
        <v>82.403140796253268</v>
      </c>
      <c r="P187" s="64">
        <f t="shared" si="66"/>
        <v>7.5968592037467317</v>
      </c>
      <c r="Q187" s="65">
        <f t="shared" si="73"/>
        <v>50.112065069565197</v>
      </c>
      <c r="R187" s="64">
        <f t="shared" si="67"/>
        <v>74.252554466800163</v>
      </c>
      <c r="S187" s="59">
        <f t="shared" si="68"/>
        <v>15.747445533199837</v>
      </c>
      <c r="T187" s="58">
        <f t="shared" si="74"/>
        <v>57.141008693167635</v>
      </c>
      <c r="U187" s="69"/>
    </row>
    <row r="188" spans="1:35" x14ac:dyDescent="0.2">
      <c r="A188" s="67">
        <v>57</v>
      </c>
      <c r="B188" s="66">
        <f t="shared" si="56"/>
        <v>0.99483767363676789</v>
      </c>
      <c r="C188" s="64">
        <f t="shared" si="57"/>
        <v>50.326844448307526</v>
      </c>
      <c r="D188" s="64">
        <f t="shared" si="58"/>
        <v>39.673155551692474</v>
      </c>
      <c r="E188" s="65">
        <f t="shared" si="69"/>
        <v>88.411187202468184</v>
      </c>
      <c r="F188" s="64">
        <f t="shared" si="59"/>
        <v>57.476209982674881</v>
      </c>
      <c r="G188" s="64">
        <f t="shared" si="60"/>
        <v>32.523790017325119</v>
      </c>
      <c r="H188" s="65">
        <f t="shared" si="70"/>
        <v>76.883647717186761</v>
      </c>
      <c r="I188" s="64">
        <f t="shared" si="61"/>
        <v>65.514981943593696</v>
      </c>
      <c r="J188" s="64">
        <f t="shared" si="62"/>
        <v>24.485018056406304</v>
      </c>
      <c r="K188" s="65">
        <f t="shared" si="71"/>
        <v>67.153072105881947</v>
      </c>
      <c r="L188" s="64">
        <f t="shared" si="63"/>
        <v>74.09965722564138</v>
      </c>
      <c r="M188" s="64">
        <f t="shared" si="64"/>
        <v>15.90034277435862</v>
      </c>
      <c r="N188" s="65">
        <f t="shared" si="72"/>
        <v>58.631734110216996</v>
      </c>
      <c r="O188" s="64">
        <f t="shared" si="65"/>
        <v>82.990051630316444</v>
      </c>
      <c r="P188" s="64">
        <f t="shared" si="66"/>
        <v>7.0099483696835563</v>
      </c>
      <c r="Q188" s="65">
        <f t="shared" si="73"/>
        <v>50.822938011345904</v>
      </c>
      <c r="R188" s="64">
        <f t="shared" si="67"/>
        <v>74.894507116976584</v>
      </c>
      <c r="S188" s="59">
        <f t="shared" si="68"/>
        <v>15.105492883023416</v>
      </c>
      <c r="T188" s="58">
        <f t="shared" si="74"/>
        <v>57.902561038183407</v>
      </c>
      <c r="U188" s="69"/>
    </row>
    <row r="189" spans="1:35" x14ac:dyDescent="0.2">
      <c r="A189" s="67">
        <v>58</v>
      </c>
      <c r="B189" s="66">
        <f t="shared" si="56"/>
        <v>1.0122909661567112</v>
      </c>
      <c r="C189" s="64">
        <f t="shared" si="57"/>
        <v>51.087629526388518</v>
      </c>
      <c r="D189" s="64">
        <f t="shared" si="58"/>
        <v>38.912370473611482</v>
      </c>
      <c r="E189" s="65">
        <f t="shared" si="69"/>
        <v>89.073647350170745</v>
      </c>
      <c r="F189" s="64">
        <f t="shared" si="59"/>
        <v>58.21844707274731</v>
      </c>
      <c r="G189" s="64">
        <f t="shared" si="60"/>
        <v>31.78155292725269</v>
      </c>
      <c r="H189" s="65">
        <f t="shared" si="70"/>
        <v>77.637921416818216</v>
      </c>
      <c r="I189" s="64">
        <f t="shared" si="61"/>
        <v>66.218243256928574</v>
      </c>
      <c r="J189" s="64">
        <f t="shared" si="62"/>
        <v>23.781756743071426</v>
      </c>
      <c r="K189" s="65">
        <f t="shared" si="71"/>
        <v>67.932101876469645</v>
      </c>
      <c r="L189" s="64">
        <f t="shared" si="63"/>
        <v>74.752010670842481</v>
      </c>
      <c r="M189" s="64">
        <f t="shared" si="64"/>
        <v>15.247989329157519</v>
      </c>
      <c r="N189" s="65">
        <f t="shared" si="72"/>
        <v>59.389733137810367</v>
      </c>
      <c r="O189" s="64">
        <f t="shared" si="65"/>
        <v>83.582902000148451</v>
      </c>
      <c r="P189" s="64">
        <f t="shared" si="66"/>
        <v>6.4170979998515492</v>
      </c>
      <c r="Q189" s="65">
        <f t="shared" si="73"/>
        <v>51.527890789793538</v>
      </c>
      <c r="R189" s="64">
        <f t="shared" si="67"/>
        <v>75.541808963176607</v>
      </c>
      <c r="S189" s="59">
        <f t="shared" si="68"/>
        <v>14.458191036823393</v>
      </c>
      <c r="T189" s="58">
        <f t="shared" si="74"/>
        <v>58.656930688144904</v>
      </c>
      <c r="U189" s="69"/>
    </row>
    <row r="190" spans="1:35" x14ac:dyDescent="0.2">
      <c r="A190" s="67">
        <v>59</v>
      </c>
      <c r="B190" s="66">
        <f t="shared" si="56"/>
        <v>1.0297442586766545</v>
      </c>
      <c r="C190" s="64">
        <f t="shared" si="57"/>
        <v>51.848556333390377</v>
      </c>
      <c r="D190" s="64">
        <f t="shared" si="58"/>
        <v>38.151443666609623</v>
      </c>
      <c r="E190" s="65">
        <f t="shared" si="69"/>
        <v>89.728774232707508</v>
      </c>
      <c r="F190" s="64">
        <f t="shared" si="59"/>
        <v>58.962816393267886</v>
      </c>
      <c r="G190" s="64">
        <f t="shared" si="60"/>
        <v>31.037183606732114</v>
      </c>
      <c r="H190" s="65">
        <f t="shared" si="70"/>
        <v>78.383242542797845</v>
      </c>
      <c r="I190" s="64">
        <f t="shared" si="61"/>
        <v>66.925371049501663</v>
      </c>
      <c r="J190" s="64">
        <f t="shared" si="62"/>
        <v>23.074628950498337</v>
      </c>
      <c r="K190" s="65">
        <f t="shared" si="71"/>
        <v>68.702726494979316</v>
      </c>
      <c r="L190" s="64">
        <f t="shared" si="63"/>
        <v>75.409466401961041</v>
      </c>
      <c r="M190" s="64">
        <f t="shared" si="64"/>
        <v>14.590533598038959</v>
      </c>
      <c r="N190" s="65">
        <f t="shared" si="72"/>
        <v>60.140623181636947</v>
      </c>
      <c r="O190" s="64">
        <f t="shared" si="65"/>
        <v>84.181553336314153</v>
      </c>
      <c r="P190" s="64">
        <f t="shared" si="66"/>
        <v>5.8184466636858474</v>
      </c>
      <c r="Q190" s="65">
        <f t="shared" si="73"/>
        <v>52.227037707229478</v>
      </c>
      <c r="R190" s="64">
        <f t="shared" si="67"/>
        <v>76.194298323349486</v>
      </c>
      <c r="S190" s="59">
        <f t="shared" si="68"/>
        <v>13.805701676650514</v>
      </c>
      <c r="T190" s="58">
        <f t="shared" si="74"/>
        <v>59.404315893944876</v>
      </c>
      <c r="U190" s="69"/>
    </row>
    <row r="191" spans="1:35" s="54" customFormat="1" x14ac:dyDescent="0.2">
      <c r="A191" s="63">
        <v>60</v>
      </c>
      <c r="B191" s="62">
        <f t="shared" si="56"/>
        <v>1.0471975511965976</v>
      </c>
      <c r="C191" s="60">
        <f t="shared" si="57"/>
        <v>52.609524369849559</v>
      </c>
      <c r="D191" s="60">
        <f t="shared" si="58"/>
        <v>37.390475630150441</v>
      </c>
      <c r="E191" s="61">
        <f t="shared" si="69"/>
        <v>90.377023583250988</v>
      </c>
      <c r="F191" s="60">
        <f t="shared" si="59"/>
        <v>59.709167858643625</v>
      </c>
      <c r="G191" s="60">
        <f t="shared" si="60"/>
        <v>30.290832141356375</v>
      </c>
      <c r="H191" s="61">
        <f t="shared" si="70"/>
        <v>79.120046463905013</v>
      </c>
      <c r="I191" s="60">
        <f t="shared" si="61"/>
        <v>67.636196932467357</v>
      </c>
      <c r="J191" s="60">
        <f t="shared" si="62"/>
        <v>22.363803067532643</v>
      </c>
      <c r="K191" s="61">
        <f t="shared" si="71"/>
        <v>69.465268890732489</v>
      </c>
      <c r="L191" s="60">
        <f t="shared" si="63"/>
        <v>76.071864643193535</v>
      </c>
      <c r="M191" s="60">
        <f t="shared" si="64"/>
        <v>13.928135356806465</v>
      </c>
      <c r="N191" s="61">
        <f t="shared" si="72"/>
        <v>60.884612707352176</v>
      </c>
      <c r="O191" s="60">
        <f t="shared" si="65"/>
        <v>84.785869372432145</v>
      </c>
      <c r="P191" s="60">
        <f t="shared" si="66"/>
        <v>5.2141306275678545</v>
      </c>
      <c r="Q191" s="61">
        <f t="shared" si="73"/>
        <v>52.92049566996748</v>
      </c>
      <c r="R191" s="60">
        <f t="shared" si="67"/>
        <v>76.85181711175774</v>
      </c>
      <c r="S191" s="59">
        <f t="shared" si="68"/>
        <v>13.14818288824226</v>
      </c>
      <c r="T191" s="58">
        <f t="shared" si="74"/>
        <v>60.144915816739442</v>
      </c>
      <c r="U191" s="70"/>
      <c r="V191" s="56">
        <f>E191</f>
        <v>90.377023583250988</v>
      </c>
      <c r="W191" s="55"/>
      <c r="AI191" s="55">
        <f>D191</f>
        <v>37.390475630150441</v>
      </c>
    </row>
    <row r="192" spans="1:35" x14ac:dyDescent="0.2">
      <c r="A192" s="67">
        <v>61</v>
      </c>
      <c r="B192" s="66">
        <f t="shared" si="56"/>
        <v>1.064650843716541</v>
      </c>
      <c r="C192" s="64">
        <f t="shared" si="57"/>
        <v>53.370436278277054</v>
      </c>
      <c r="D192" s="64">
        <f t="shared" si="58"/>
        <v>36.629563721722946</v>
      </c>
      <c r="E192" s="65">
        <f t="shared" si="69"/>
        <v>91.018829841617659</v>
      </c>
      <c r="F192" s="64">
        <f t="shared" si="59"/>
        <v>60.457356498156905</v>
      </c>
      <c r="G192" s="64">
        <f t="shared" si="60"/>
        <v>29.542643501843095</v>
      </c>
      <c r="H192" s="65">
        <f t="shared" si="70"/>
        <v>79.84875446819693</v>
      </c>
      <c r="I192" s="64">
        <f t="shared" si="61"/>
        <v>68.350557415284612</v>
      </c>
      <c r="J192" s="64">
        <f t="shared" si="62"/>
        <v>21.649442584715388</v>
      </c>
      <c r="K192" s="65">
        <f t="shared" si="71"/>
        <v>70.220046966040769</v>
      </c>
      <c r="L192" s="64">
        <f t="shared" si="63"/>
        <v>76.739049267738807</v>
      </c>
      <c r="M192" s="64">
        <f t="shared" si="64"/>
        <v>13.260950732261193</v>
      </c>
      <c r="N192" s="65">
        <f t="shared" si="72"/>
        <v>61.621910580252461</v>
      </c>
      <c r="O192" s="64">
        <f t="shared" si="65"/>
        <v>85.395716143508054</v>
      </c>
      <c r="P192" s="64">
        <f t="shared" si="66"/>
        <v>4.6042838564919464</v>
      </c>
      <c r="Q192" s="65">
        <f t="shared" si="73"/>
        <v>53.608384010508821</v>
      </c>
      <c r="R192" s="64">
        <f t="shared" si="67"/>
        <v>77.514210764866093</v>
      </c>
      <c r="S192" s="59">
        <f t="shared" si="68"/>
        <v>12.485789235133907</v>
      </c>
      <c r="T192" s="58">
        <f t="shared" si="74"/>
        <v>60.878930321475195</v>
      </c>
      <c r="U192" s="69"/>
      <c r="V192" s="53">
        <f>H191</f>
        <v>79.120046463905013</v>
      </c>
      <c r="AI192" s="50">
        <f>G191</f>
        <v>30.290832141356375</v>
      </c>
    </row>
    <row r="193" spans="1:36" x14ac:dyDescent="0.2">
      <c r="A193" s="67">
        <v>62</v>
      </c>
      <c r="B193" s="66">
        <f t="shared" si="56"/>
        <v>1.0821041362364843</v>
      </c>
      <c r="C193" s="64">
        <f t="shared" si="57"/>
        <v>54.131197563584635</v>
      </c>
      <c r="D193" s="64">
        <f t="shared" si="58"/>
        <v>35.868802436415365</v>
      </c>
      <c r="E193" s="65">
        <f t="shared" si="69"/>
        <v>91.654607574068137</v>
      </c>
      <c r="F193" s="64">
        <f t="shared" si="59"/>
        <v>61.207242132589023</v>
      </c>
      <c r="G193" s="64">
        <f t="shared" si="60"/>
        <v>28.792757867410977</v>
      </c>
      <c r="H193" s="65">
        <f t="shared" si="70"/>
        <v>80.569774366757642</v>
      </c>
      <c r="I193" s="64">
        <f t="shared" si="61"/>
        <v>69.068293693404257</v>
      </c>
      <c r="J193" s="64">
        <f t="shared" si="62"/>
        <v>20.931706306595743</v>
      </c>
      <c r="K193" s="65">
        <f t="shared" si="71"/>
        <v>70.967373600209257</v>
      </c>
      <c r="L193" s="64">
        <f t="shared" si="63"/>
        <v>77.410867710273905</v>
      </c>
      <c r="M193" s="64">
        <f t="shared" si="64"/>
        <v>12.589132289726095</v>
      </c>
      <c r="N193" s="65">
        <f t="shared" si="72"/>
        <v>62.352725886413772</v>
      </c>
      <c r="O193" s="64">
        <f t="shared" si="65"/>
        <v>86.010961979350725</v>
      </c>
      <c r="P193" s="64">
        <f t="shared" si="66"/>
        <v>3.989038020649275</v>
      </c>
      <c r="Q193" s="65">
        <f t="shared" si="73"/>
        <v>54.290824322819688</v>
      </c>
      <c r="R193" s="64">
        <f t="shared" si="67"/>
        <v>78.181328163201243</v>
      </c>
      <c r="S193" s="59">
        <f t="shared" si="68"/>
        <v>11.818671836798757</v>
      </c>
      <c r="T193" s="58">
        <f t="shared" si="74"/>
        <v>61.606559794440237</v>
      </c>
      <c r="U193" s="69"/>
      <c r="V193" s="53">
        <f>K191</f>
        <v>69.465268890732489</v>
      </c>
      <c r="AI193" s="50">
        <f>J191</f>
        <v>22.363803067532643</v>
      </c>
    </row>
    <row r="194" spans="1:36" x14ac:dyDescent="0.2">
      <c r="A194" s="67">
        <v>63</v>
      </c>
      <c r="B194" s="66">
        <f t="shared" si="56"/>
        <v>1.0995574287564276</v>
      </c>
      <c r="C194" s="64">
        <f t="shared" si="57"/>
        <v>54.891716333450901</v>
      </c>
      <c r="D194" s="64">
        <f t="shared" si="58"/>
        <v>35.108283666549099</v>
      </c>
      <c r="E194" s="65">
        <f t="shared" si="69"/>
        <v>92.284752793497262</v>
      </c>
      <c r="F194" s="64">
        <f t="shared" si="59"/>
        <v>61.958689066815928</v>
      </c>
      <c r="G194" s="64">
        <f t="shared" si="60"/>
        <v>28.041310933184072</v>
      </c>
      <c r="H194" s="65">
        <f t="shared" si="70"/>
        <v>81.283501087070206</v>
      </c>
      <c r="I194" s="64">
        <f t="shared" si="61"/>
        <v>69.789251439796615</v>
      </c>
      <c r="J194" s="64">
        <f t="shared" si="62"/>
        <v>20.210748560203385</v>
      </c>
      <c r="K194" s="65">
        <f t="shared" si="71"/>
        <v>71.707556679869313</v>
      </c>
      <c r="L194" s="64">
        <f t="shared" si="63"/>
        <v>78.087170876232165</v>
      </c>
      <c r="M194" s="64">
        <f t="shared" si="64"/>
        <v>11.912829123767835</v>
      </c>
      <c r="N194" s="65">
        <f t="shared" si="72"/>
        <v>63.077267777608625</v>
      </c>
      <c r="O194" s="64">
        <f t="shared" si="65"/>
        <v>86.631477493413215</v>
      </c>
      <c r="P194" s="64">
        <f t="shared" si="66"/>
        <v>3.3685225065867854</v>
      </c>
      <c r="Q194" s="65">
        <f t="shared" si="73"/>
        <v>54.967940310547071</v>
      </c>
      <c r="R194" s="64">
        <f t="shared" si="67"/>
        <v>78.85302154969871</v>
      </c>
      <c r="S194" s="59">
        <f t="shared" si="68"/>
        <v>11.14697845030129</v>
      </c>
      <c r="T194" s="58">
        <f t="shared" si="74"/>
        <v>62.328004983667462</v>
      </c>
      <c r="U194" s="69"/>
      <c r="V194" s="53">
        <f>N191</f>
        <v>60.884612707352176</v>
      </c>
      <c r="AI194" s="50">
        <f>M191</f>
        <v>13.928135356806465</v>
      </c>
    </row>
    <row r="195" spans="1:36" x14ac:dyDescent="0.2">
      <c r="A195" s="67">
        <v>64</v>
      </c>
      <c r="B195" s="66">
        <f t="shared" si="56"/>
        <v>1.1170107212763709</v>
      </c>
      <c r="C195" s="64">
        <f t="shared" si="57"/>
        <v>55.651903056839686</v>
      </c>
      <c r="D195" s="64">
        <f t="shared" si="58"/>
        <v>34.348096943160314</v>
      </c>
      <c r="E195" s="65">
        <f t="shared" ref="E195:E226" si="75">DEGREES(ACOS((SIN(RADIANS(D195))*SIN($C$6)-SIN(C$5))/(COS(RADIANS(D195))*COS($C$6))))</f>
        <v>92.909644187470334</v>
      </c>
      <c r="F195" s="64">
        <f t="shared" si="59"/>
        <v>62.711565797522198</v>
      </c>
      <c r="G195" s="64">
        <f t="shared" si="60"/>
        <v>27.288434202477802</v>
      </c>
      <c r="H195" s="65">
        <f t="shared" ref="H195:H226" si="76">DEGREES(ACOS((SIN(RADIANS(G195))*SIN($C$6)-SIN(G$5))/(COS(RADIANS(G195))*COS($C$6))))</f>
        <v>81.990317254258656</v>
      </c>
      <c r="I195" s="64">
        <f t="shared" si="61"/>
        <v>70.513280600543183</v>
      </c>
      <c r="J195" s="64">
        <f t="shared" si="62"/>
        <v>19.486719399456817</v>
      </c>
      <c r="K195" s="65">
        <f t="shared" ref="K195:K226" si="77">DEGREES(ACOS((SIN(RADIANS(J195))*SIN($C$6)-SIN(J$5))/(COS(RADIANS(J195))*COS($C$6))))</f>
        <v>72.440899152715417</v>
      </c>
      <c r="L195" s="64">
        <f t="shared" si="63"/>
        <v>78.767813048358505</v>
      </c>
      <c r="M195" s="64">
        <f t="shared" si="64"/>
        <v>11.232186951641495</v>
      </c>
      <c r="N195" s="65">
        <f t="shared" ref="N195:N226" si="78">DEGREES(ACOS((SIN(RADIANS(M195))*SIN($C$6)-SIN(M$5))/(COS(RADIANS(M195))*COS($C$6))))</f>
        <v>63.795745338718902</v>
      </c>
      <c r="O195" s="64">
        <f t="shared" si="65"/>
        <v>87.25713556738404</v>
      </c>
      <c r="P195" s="64">
        <f t="shared" si="66"/>
        <v>2.7428644326159599</v>
      </c>
      <c r="Q195" s="65">
        <f t="shared" ref="Q195:Q226" si="79">DEGREES(ACOS((SIN(RADIANS(P195))*SIN($C$6)-SIN(P$5))/(COS(RADIANS(P195))*COS($C$6))))</f>
        <v>55.639857648003279</v>
      </c>
      <c r="R195" s="64">
        <f t="shared" si="67"/>
        <v>79.529146445007399</v>
      </c>
      <c r="S195" s="59">
        <f t="shared" si="68"/>
        <v>10.470853554992601</v>
      </c>
      <c r="T195" s="58">
        <f t="shared" ref="T195:T226" si="80">DEGREES(ACOS((SIN(RADIANS(S195))*SIN($C$6)-SIN(S$5))/(COS(RADIANS(S195))*COS($C$6))))</f>
        <v>63.043466861047094</v>
      </c>
      <c r="U195" s="69"/>
      <c r="V195" s="53">
        <f>Q191</f>
        <v>52.92049566996748</v>
      </c>
      <c r="AI195" s="50">
        <f>P191</f>
        <v>5.2141306275678545</v>
      </c>
    </row>
    <row r="196" spans="1:36" x14ac:dyDescent="0.2">
      <c r="A196" s="67">
        <v>65</v>
      </c>
      <c r="B196" s="66">
        <f t="shared" si="56"/>
        <v>1.1344640137963142</v>
      </c>
      <c r="C196" s="64">
        <f t="shared" si="57"/>
        <v>56.411670339050737</v>
      </c>
      <c r="D196" s="64">
        <f t="shared" si="58"/>
        <v>33.588329660949263</v>
      </c>
      <c r="E196" s="65">
        <f t="shared" si="75"/>
        <v>93.529644261010446</v>
      </c>
      <c r="F196" s="64">
        <f t="shared" si="59"/>
        <v>63.465744735199195</v>
      </c>
      <c r="G196" s="64">
        <f t="shared" si="60"/>
        <v>26.534255264800805</v>
      </c>
      <c r="H196" s="65">
        <f t="shared" si="76"/>
        <v>82.690593758836016</v>
      </c>
      <c r="I196" s="64">
        <f t="shared" si="61"/>
        <v>71.240235194654332</v>
      </c>
      <c r="J196" s="64">
        <f t="shared" si="62"/>
        <v>18.759764805345668</v>
      </c>
      <c r="K196" s="65">
        <f t="shared" si="77"/>
        <v>73.167699101985633</v>
      </c>
      <c r="L196" s="64">
        <f t="shared" si="63"/>
        <v>79.452651790971046</v>
      </c>
      <c r="M196" s="64">
        <f t="shared" si="64"/>
        <v>10.547348209028954</v>
      </c>
      <c r="N196" s="65">
        <f t="shared" si="78"/>
        <v>64.508367476409262</v>
      </c>
      <c r="O196" s="64">
        <f t="shared" si="65"/>
        <v>87.887811331838662</v>
      </c>
      <c r="P196" s="64">
        <f t="shared" si="66"/>
        <v>2.1121886681613375</v>
      </c>
      <c r="Q196" s="65">
        <f t="shared" si="79"/>
        <v>56.306703853730937</v>
      </c>
      <c r="R196" s="64">
        <f t="shared" si="67"/>
        <v>80.209561560178471</v>
      </c>
      <c r="S196" s="59">
        <f t="shared" si="68"/>
        <v>9.7904384398215285</v>
      </c>
      <c r="T196" s="58">
        <f t="shared" si="80"/>
        <v>63.753146505039844</v>
      </c>
      <c r="U196" s="69"/>
    </row>
    <row r="197" spans="1:36" x14ac:dyDescent="0.2">
      <c r="A197" s="67">
        <v>66</v>
      </c>
      <c r="B197" s="66">
        <f t="shared" si="56"/>
        <v>1.1519173063162575</v>
      </c>
      <c r="C197" s="64">
        <f t="shared" si="57"/>
        <v>57.17093271183289</v>
      </c>
      <c r="D197" s="64">
        <f t="shared" si="58"/>
        <v>32.82906728816711</v>
      </c>
      <c r="E197" s="65">
        <f t="shared" si="75"/>
        <v>94.145100400520647</v>
      </c>
      <c r="F197" s="64">
        <f t="shared" si="59"/>
        <v>64.221101939616275</v>
      </c>
      <c r="G197" s="64">
        <f t="shared" si="60"/>
        <v>25.778898060383725</v>
      </c>
      <c r="H197" s="65">
        <f t="shared" si="76"/>
        <v>83.384690309926242</v>
      </c>
      <c r="I197" s="64">
        <f t="shared" si="61"/>
        <v>71.969973118219485</v>
      </c>
      <c r="J197" s="64">
        <f t="shared" si="62"/>
        <v>18.030026881780515</v>
      </c>
      <c r="K197" s="65">
        <f t="shared" si="77"/>
        <v>73.888249839272106</v>
      </c>
      <c r="L197" s="64">
        <f t="shared" si="63"/>
        <v>80.141547852313721</v>
      </c>
      <c r="M197" s="64">
        <f t="shared" si="64"/>
        <v>9.858452147686279</v>
      </c>
      <c r="N197" s="65">
        <f t="shared" si="78"/>
        <v>65.21534282787708</v>
      </c>
      <c r="O197" s="64">
        <f t="shared" si="65"/>
        <v>88.523382143244319</v>
      </c>
      <c r="P197" s="64">
        <f t="shared" si="66"/>
        <v>1.4766178567556807</v>
      </c>
      <c r="Q197" s="65">
        <f t="shared" si="79"/>
        <v>56.968608176445123</v>
      </c>
      <c r="R197" s="64">
        <f t="shared" si="67"/>
        <v>80.894128707124381</v>
      </c>
      <c r="S197" s="59">
        <f t="shared" si="68"/>
        <v>9.1058712928756194</v>
      </c>
      <c r="T197" s="58">
        <f t="shared" si="80"/>
        <v>64.457245002923557</v>
      </c>
      <c r="U197" s="69"/>
    </row>
    <row r="198" spans="1:36" x14ac:dyDescent="0.2">
      <c r="A198" s="67">
        <v>67</v>
      </c>
      <c r="B198" s="66">
        <f t="shared" si="56"/>
        <v>1.1693705988362009</v>
      </c>
      <c r="C198" s="64">
        <f t="shared" si="57"/>
        <v>57.929606437225665</v>
      </c>
      <c r="D198" s="64">
        <f t="shared" si="58"/>
        <v>32.070393562774335</v>
      </c>
      <c r="E198" s="65">
        <f t="shared" si="75"/>
        <v>94.756345864738122</v>
      </c>
      <c r="F198" s="64">
        <f t="shared" si="59"/>
        <v>64.977516867980711</v>
      </c>
      <c r="G198" s="64">
        <f t="shared" si="60"/>
        <v>25.022483132019289</v>
      </c>
      <c r="H198" s="65">
        <f t="shared" si="76"/>
        <v>84.072955973208508</v>
      </c>
      <c r="I198" s="64">
        <f t="shared" si="61"/>
        <v>72.702355952948565</v>
      </c>
      <c r="J198" s="64">
        <f t="shared" si="62"/>
        <v>17.297644047051435</v>
      </c>
      <c r="K198" s="65">
        <f t="shared" si="77"/>
        <v>74.602840013478996</v>
      </c>
      <c r="L198" s="64">
        <f t="shared" si="63"/>
        <v>80.834365065343434</v>
      </c>
      <c r="M198" s="64">
        <f t="shared" si="64"/>
        <v>9.1656349346565662</v>
      </c>
      <c r="N198" s="65">
        <f t="shared" si="78"/>
        <v>65.916879688549443</v>
      </c>
      <c r="O198" s="64">
        <f t="shared" si="65"/>
        <v>89.163727557594768</v>
      </c>
      <c r="P198" s="64">
        <f t="shared" si="66"/>
        <v>0.83627244240523169</v>
      </c>
      <c r="Q198" s="65">
        <f t="shared" si="79"/>
        <v>57.625701493139601</v>
      </c>
      <c r="R198" s="64">
        <f t="shared" si="67"/>
        <v>81.582712707194418</v>
      </c>
      <c r="S198" s="59">
        <f t="shared" si="68"/>
        <v>8.4172872928055824</v>
      </c>
      <c r="T198" s="58">
        <f t="shared" si="80"/>
        <v>65.155963371550371</v>
      </c>
      <c r="U198" s="69"/>
    </row>
    <row r="199" spans="1:36" x14ac:dyDescent="0.2">
      <c r="A199" s="67">
        <v>68</v>
      </c>
      <c r="B199" s="66">
        <f t="shared" si="56"/>
        <v>1.1868238913561442</v>
      </c>
      <c r="C199" s="64">
        <f t="shared" si="57"/>
        <v>58.687609323917869</v>
      </c>
      <c r="D199" s="64">
        <f t="shared" si="58"/>
        <v>31.312390676082131</v>
      </c>
      <c r="E199" s="65">
        <f t="shared" si="75"/>
        <v>95.363700708161915</v>
      </c>
      <c r="F199" s="64">
        <f t="shared" si="59"/>
        <v>65.73487213502942</v>
      </c>
      <c r="G199" s="64">
        <f t="shared" si="60"/>
        <v>24.26512786497058</v>
      </c>
      <c r="H199" s="65">
        <f t="shared" si="76"/>
        <v>84.755729693070563</v>
      </c>
      <c r="I199" s="64">
        <f t="shared" si="61"/>
        <v>73.437248779120836</v>
      </c>
      <c r="J199" s="64">
        <f t="shared" si="62"/>
        <v>16.562751220879164</v>
      </c>
      <c r="K199" s="65">
        <f t="shared" si="77"/>
        <v>75.311753733958568</v>
      </c>
      <c r="L199" s="64">
        <f t="shared" si="63"/>
        <v>81.53097024725588</v>
      </c>
      <c r="M199" s="64">
        <f t="shared" si="64"/>
        <v>8.4690297527441203</v>
      </c>
      <c r="N199" s="65">
        <f t="shared" si="78"/>
        <v>66.613185957655929</v>
      </c>
      <c r="O199" s="64">
        <f t="shared" si="65"/>
        <v>89.808729300934914</v>
      </c>
      <c r="P199" s="64">
        <f t="shared" si="66"/>
        <v>0.19127069906508609</v>
      </c>
      <c r="Q199" s="65">
        <f t="shared" si="79"/>
        <v>58.278116219139051</v>
      </c>
      <c r="R199" s="64">
        <f t="shared" si="67"/>
        <v>82.275181298175667</v>
      </c>
      <c r="S199" s="59">
        <f t="shared" si="68"/>
        <v>7.7248187018243328</v>
      </c>
      <c r="T199" s="58">
        <f t="shared" si="80"/>
        <v>65.849502495639001</v>
      </c>
      <c r="U199" s="69"/>
    </row>
    <row r="200" spans="1:36" x14ac:dyDescent="0.2">
      <c r="A200" s="67">
        <v>69</v>
      </c>
      <c r="B200" s="66">
        <f t="shared" si="56"/>
        <v>1.2042771838760873</v>
      </c>
      <c r="C200" s="64">
        <f t="shared" si="57"/>
        <v>59.444860555022338</v>
      </c>
      <c r="D200" s="64">
        <f t="shared" si="58"/>
        <v>30.555139444977662</v>
      </c>
      <c r="E200" s="65">
        <f t="shared" si="75"/>
        <v>95.967472641972577</v>
      </c>
      <c r="F200" s="64">
        <f t="shared" si="59"/>
        <v>66.493053284325256</v>
      </c>
      <c r="G200" s="64">
        <f t="shared" si="60"/>
        <v>23.506946715674744</v>
      </c>
      <c r="H200" s="65">
        <f t="shared" si="76"/>
        <v>85.433340798655991</v>
      </c>
      <c r="I200" s="64">
        <f t="shared" si="61"/>
        <v>74.174519992920935</v>
      </c>
      <c r="J200" s="64">
        <f t="shared" si="62"/>
        <v>15.825480007079065</v>
      </c>
      <c r="K200" s="65">
        <f t="shared" si="77"/>
        <v>76.01527070605384</v>
      </c>
      <c r="L200" s="64">
        <f t="shared" si="63"/>
        <v>82.231233098017583</v>
      </c>
      <c r="M200" s="64">
        <f t="shared" si="64"/>
        <v>7.768766901982417</v>
      </c>
      <c r="N200" s="65">
        <f t="shared" si="78"/>
        <v>67.304469100664434</v>
      </c>
      <c r="O200" s="64">
        <f t="shared" si="65"/>
        <v>90.458271237018792</v>
      </c>
      <c r="P200" s="64">
        <f t="shared" si="66"/>
        <v>-0.45827123701879202</v>
      </c>
      <c r="Q200" s="65">
        <f t="shared" si="79"/>
        <v>58.925986229878234</v>
      </c>
      <c r="R200" s="64">
        <f t="shared" si="67"/>
        <v>82.971405039993769</v>
      </c>
      <c r="S200" s="59">
        <f t="shared" si="68"/>
        <v>7.028594960006231</v>
      </c>
      <c r="T200" s="58">
        <f t="shared" si="80"/>
        <v>66.538063082677809</v>
      </c>
      <c r="U200" s="69"/>
    </row>
    <row r="201" spans="1:36" x14ac:dyDescent="0.2">
      <c r="A201" s="67">
        <v>70</v>
      </c>
      <c r="B201" s="66">
        <f t="shared" si="56"/>
        <v>1.2217304763960306</v>
      </c>
      <c r="C201" s="64">
        <f t="shared" si="57"/>
        <v>60.201280526265535</v>
      </c>
      <c r="D201" s="64">
        <f t="shared" si="58"/>
        <v>29.798719473734465</v>
      </c>
      <c r="E201" s="65">
        <f t="shared" si="75"/>
        <v>96.567957837067993</v>
      </c>
      <c r="F201" s="64">
        <f t="shared" si="59"/>
        <v>67.251948570060677</v>
      </c>
      <c r="G201" s="64">
        <f t="shared" si="60"/>
        <v>22.748051429939323</v>
      </c>
      <c r="H201" s="65">
        <f t="shared" si="76"/>
        <v>86.106109493656874</v>
      </c>
      <c r="I201" s="64">
        <f t="shared" si="61"/>
        <v>74.914041128110142</v>
      </c>
      <c r="J201" s="64">
        <f t="shared" si="62"/>
        <v>15.085958871889858</v>
      </c>
      <c r="K201" s="65">
        <f t="shared" si="77"/>
        <v>76.71366637745939</v>
      </c>
      <c r="L201" s="64">
        <f t="shared" si="63"/>
        <v>82.935026098137385</v>
      </c>
      <c r="M201" s="64">
        <f t="shared" si="64"/>
        <v>7.064973901862615</v>
      </c>
      <c r="N201" s="65">
        <f t="shared" si="78"/>
        <v>67.990936127628942</v>
      </c>
      <c r="O201" s="64">
        <f t="shared" si="65"/>
        <v>91.112239332327874</v>
      </c>
      <c r="P201" s="64">
        <f t="shared" si="66"/>
        <v>-1.1122393323278743</v>
      </c>
      <c r="Q201" s="65">
        <f t="shared" si="79"/>
        <v>59.569446794190583</v>
      </c>
      <c r="R201" s="64">
        <f t="shared" si="67"/>
        <v>83.671257219354317</v>
      </c>
      <c r="S201" s="59">
        <f t="shared" si="68"/>
        <v>6.3287427806456833</v>
      </c>
      <c r="T201" s="58">
        <f t="shared" si="80"/>
        <v>67.221845633566559</v>
      </c>
      <c r="U201" s="69"/>
    </row>
    <row r="202" spans="1:36" x14ac:dyDescent="0.2">
      <c r="A202" s="67">
        <v>71</v>
      </c>
      <c r="B202" s="66">
        <f t="shared" ref="B202:B251" si="81">RADIANS(A202)</f>
        <v>1.2391837689159739</v>
      </c>
      <c r="C202" s="64">
        <f t="shared" ref="C202:C251" si="82">DEGREES(ACOS(SIN(C$5)*SIN($C$6)+COS(C$5)*COS($C$6)*COS($B202)))</f>
        <v>60.95679069368159</v>
      </c>
      <c r="D202" s="64">
        <f t="shared" ref="D202:D251" si="83">90-C202</f>
        <v>29.04320930631841</v>
      </c>
      <c r="E202" s="65">
        <f t="shared" si="75"/>
        <v>97.165441673475613</v>
      </c>
      <c r="F202" s="64">
        <f t="shared" ref="F202:F251" si="84">DEGREES(ACOS(SIN(G$5)*SIN($C$6)+COS(G$5)*COS($C$6)*COS($B202)))</f>
        <v>68.011448748701881</v>
      </c>
      <c r="G202" s="64">
        <f t="shared" ref="G202:G251" si="85">90-F202</f>
        <v>21.988551251298119</v>
      </c>
      <c r="H202" s="65">
        <f t="shared" si="76"/>
        <v>86.774347329841333</v>
      </c>
      <c r="I202" s="64">
        <f t="shared" ref="I202:I251" si="86">DEGREES(ACOS(SIN(J$5)*SIN($C$6)+COS(J$5)*COS($C$6)*COS($B202)))</f>
        <v>75.655686681952616</v>
      </c>
      <c r="J202" s="64">
        <f t="shared" ref="J202:J251" si="87">90-I202</f>
        <v>14.344313318047384</v>
      </c>
      <c r="K202" s="65">
        <f t="shared" si="77"/>
        <v>77.407212093978046</v>
      </c>
      <c r="L202" s="64">
        <f t="shared" ref="L202:L251" si="88">DEGREES(ACOS(SIN(M$5)*SIN($C$6)+COS(M$5)*COS($C$6)*COS($B202)))</f>
        <v>83.642224405878196</v>
      </c>
      <c r="M202" s="64">
        <f t="shared" ref="M202:M251" si="89">90-L202</f>
        <v>6.3577755941218044</v>
      </c>
      <c r="N202" s="65">
        <f t="shared" si="78"/>
        <v>68.672793586558342</v>
      </c>
      <c r="O202" s="64">
        <f t="shared" ref="O202:O251" si="90">DEGREES(ACOS(SIN(P$5)*SIN($C$6)+COS(P$5)*COS($C$6)*COS($B202)))</f>
        <v>91.770521618659984</v>
      </c>
      <c r="P202" s="64">
        <f t="shared" ref="P202:P251" si="91">90-O202</f>
        <v>-1.7705216186599841</v>
      </c>
      <c r="Q202" s="65">
        <f t="shared" si="79"/>
        <v>60.208634518895373</v>
      </c>
      <c r="R202" s="64">
        <f t="shared" ref="R202:R251" si="92">DEGREES(ACOS(SIN(S$5)*SIN($C$6)+COS(S$5)*COS($C$6)*COS($B202)))</f>
        <v>84.374613753534717</v>
      </c>
      <c r="S202" s="59">
        <f t="shared" ref="S202:S251" si="93">90-R202</f>
        <v>5.6253862464652826</v>
      </c>
      <c r="T202" s="58">
        <f t="shared" si="80"/>
        <v>67.901050428176859</v>
      </c>
      <c r="U202" s="69"/>
    </row>
    <row r="203" spans="1:36" x14ac:dyDescent="0.2">
      <c r="A203" s="67">
        <v>72</v>
      </c>
      <c r="B203" s="66">
        <f t="shared" si="81"/>
        <v>1.2566370614359172</v>
      </c>
      <c r="C203" s="64">
        <f t="shared" si="82"/>
        <v>61.711313429981104</v>
      </c>
      <c r="D203" s="64">
        <f t="shared" si="83"/>
        <v>28.288686570018896</v>
      </c>
      <c r="E203" s="65">
        <f t="shared" si="75"/>
        <v>97.760199440061896</v>
      </c>
      <c r="F203" s="64">
        <f t="shared" si="84"/>
        <v>68.771446879836645</v>
      </c>
      <c r="G203" s="64">
        <f t="shared" si="85"/>
        <v>21.228553120163355</v>
      </c>
      <c r="H203" s="65">
        <f t="shared" si="76"/>
        <v>87.438357664417083</v>
      </c>
      <c r="I203" s="64">
        <f t="shared" si="86"/>
        <v>76.399333945294231</v>
      </c>
      <c r="J203" s="64">
        <f t="shared" si="87"/>
        <v>13.600666054705769</v>
      </c>
      <c r="K203" s="65">
        <f t="shared" si="77"/>
        <v>78.096175263407233</v>
      </c>
      <c r="L203" s="64">
        <f t="shared" si="88"/>
        <v>84.35270575407975</v>
      </c>
      <c r="M203" s="64">
        <f t="shared" si="89"/>
        <v>5.64729424592025</v>
      </c>
      <c r="N203" s="65">
        <f t="shared" si="78"/>
        <v>69.350247570976705</v>
      </c>
      <c r="O203" s="64">
        <f t="shared" si="90"/>
        <v>92.433008153483996</v>
      </c>
      <c r="P203" s="64">
        <f t="shared" si="91"/>
        <v>-2.4330081534839962</v>
      </c>
      <c r="Q203" s="65">
        <f t="shared" si="79"/>
        <v>60.843687304481833</v>
      </c>
      <c r="R203" s="64">
        <f t="shared" si="92"/>
        <v>85.081353093507403</v>
      </c>
      <c r="S203" s="59">
        <f t="shared" si="93"/>
        <v>4.9186469064925973</v>
      </c>
      <c r="T203" s="58">
        <f t="shared" si="80"/>
        <v>68.575877525067725</v>
      </c>
      <c r="U203" s="69"/>
    </row>
    <row r="204" spans="1:36" x14ac:dyDescent="0.2">
      <c r="A204" s="67">
        <v>73</v>
      </c>
      <c r="B204" s="66">
        <f t="shared" si="81"/>
        <v>1.2740903539558606</v>
      </c>
      <c r="C204" s="64">
        <f t="shared" si="82"/>
        <v>62.464771888839714</v>
      </c>
      <c r="D204" s="64">
        <f t="shared" si="83"/>
        <v>27.535228111160286</v>
      </c>
      <c r="E204" s="65">
        <f t="shared" si="75"/>
        <v>98.352496988149085</v>
      </c>
      <c r="F204" s="64">
        <f t="shared" si="84"/>
        <v>69.531838135618912</v>
      </c>
      <c r="G204" s="64">
        <f t="shared" si="85"/>
        <v>20.468161864381088</v>
      </c>
      <c r="H204" s="65">
        <f t="shared" si="76"/>
        <v>88.098436101424852</v>
      </c>
      <c r="I204" s="64">
        <f t="shared" si="86"/>
        <v>77.144862836669503</v>
      </c>
      <c r="J204" s="64">
        <f t="shared" si="87"/>
        <v>12.855137163330497</v>
      </c>
      <c r="K204" s="65">
        <f t="shared" si="77"/>
        <v>78.780819526427152</v>
      </c>
      <c r="L204" s="64">
        <f t="shared" si="88"/>
        <v>85.066350346735149</v>
      </c>
      <c r="M204" s="64">
        <f t="shared" si="89"/>
        <v>4.9336496532648511</v>
      </c>
      <c r="N204" s="65">
        <f t="shared" si="78"/>
        <v>70.023503740906747</v>
      </c>
      <c r="O204" s="64">
        <f t="shared" si="90"/>
        <v>93.099590978238695</v>
      </c>
      <c r="P204" s="64">
        <f t="shared" si="91"/>
        <v>-3.0995909782386946</v>
      </c>
      <c r="Q204" s="65">
        <f t="shared" si="79"/>
        <v>61.474744311699702</v>
      </c>
      <c r="R204" s="64">
        <f t="shared" si="92"/>
        <v>85.791356126547456</v>
      </c>
      <c r="S204" s="59">
        <f t="shared" si="93"/>
        <v>4.2086438734525444</v>
      </c>
      <c r="T204" s="58">
        <f t="shared" si="80"/>
        <v>69.246526774644821</v>
      </c>
      <c r="U204" s="68"/>
    </row>
    <row r="205" spans="1:36" x14ac:dyDescent="0.2">
      <c r="A205" s="67">
        <v>74</v>
      </c>
      <c r="B205" s="66">
        <f t="shared" si="81"/>
        <v>1.2915436464758039</v>
      </c>
      <c r="C205" s="64">
        <f t="shared" si="82"/>
        <v>63.217089876417823</v>
      </c>
      <c r="D205" s="64">
        <f t="shared" si="83"/>
        <v>26.782910123582177</v>
      </c>
      <c r="E205" s="65">
        <f t="shared" si="75"/>
        <v>98.942591342359194</v>
      </c>
      <c r="F205" s="64">
        <f t="shared" si="84"/>
        <v>70.292519618232589</v>
      </c>
      <c r="G205" s="64">
        <f t="shared" si="85"/>
        <v>19.707480381767411</v>
      </c>
      <c r="H205" s="65">
        <f t="shared" si="76"/>
        <v>88.754870917427851</v>
      </c>
      <c r="I205" s="64">
        <f t="shared" si="86"/>
        <v>77.892155740296658</v>
      </c>
      <c r="J205" s="64">
        <f t="shared" si="87"/>
        <v>12.107844259703342</v>
      </c>
      <c r="K205" s="65">
        <f t="shared" si="77"/>
        <v>79.461404933493668</v>
      </c>
      <c r="L205" s="64">
        <f t="shared" si="88"/>
        <v>85.783040755437156</v>
      </c>
      <c r="M205" s="64">
        <f t="shared" si="89"/>
        <v>4.2169592445628439</v>
      </c>
      <c r="N205" s="65">
        <f t="shared" si="78"/>
        <v>70.692767356567387</v>
      </c>
      <c r="O205" s="64">
        <f t="shared" si="90"/>
        <v>93.770164074739355</v>
      </c>
      <c r="P205" s="64">
        <f t="shared" si="91"/>
        <v>-3.7701640747393554</v>
      </c>
      <c r="Q205" s="65">
        <f t="shared" si="79"/>
        <v>62.101945938881371</v>
      </c>
      <c r="R205" s="64">
        <f t="shared" si="92"/>
        <v>86.504506078452152</v>
      </c>
      <c r="S205" s="59">
        <f t="shared" si="93"/>
        <v>3.4954939215478475</v>
      </c>
      <c r="T205" s="58">
        <f t="shared" si="80"/>
        <v>69.913197845107646</v>
      </c>
      <c r="U205" s="66"/>
    </row>
    <row r="206" spans="1:36" s="54" customFormat="1" x14ac:dyDescent="0.2">
      <c r="A206" s="63">
        <v>75</v>
      </c>
      <c r="B206" s="62">
        <f t="shared" si="81"/>
        <v>1.3089969389957472</v>
      </c>
      <c r="C206" s="60">
        <f t="shared" si="82"/>
        <v>63.968191729483614</v>
      </c>
      <c r="D206" s="60">
        <f t="shared" si="83"/>
        <v>26.031808270516386</v>
      </c>
      <c r="E206" s="61">
        <f t="shared" si="75"/>
        <v>99.530731271739242</v>
      </c>
      <c r="F206" s="60">
        <f t="shared" si="84"/>
        <v>71.053390184825076</v>
      </c>
      <c r="G206" s="60">
        <f t="shared" si="85"/>
        <v>18.946609815174924</v>
      </c>
      <c r="H206" s="61">
        <f t="shared" si="76"/>
        <v>89.407943471821554</v>
      </c>
      <c r="I206" s="60">
        <f t="shared" si="86"/>
        <v>78.641097347804703</v>
      </c>
      <c r="J206" s="60">
        <f t="shared" si="87"/>
        <v>11.358902652195297</v>
      </c>
      <c r="K206" s="61">
        <f t="shared" si="77"/>
        <v>80.138188126853791</v>
      </c>
      <c r="L206" s="60">
        <f t="shared" si="88"/>
        <v>86.502661815786254</v>
      </c>
      <c r="M206" s="60">
        <f t="shared" si="89"/>
        <v>3.4973381842137456</v>
      </c>
      <c r="N206" s="61">
        <f t="shared" si="78"/>
        <v>71.358243324136211</v>
      </c>
      <c r="O206" s="60">
        <f t="shared" si="90"/>
        <v>94.444623319840403</v>
      </c>
      <c r="P206" s="60">
        <f t="shared" si="91"/>
        <v>-4.444623319840403</v>
      </c>
      <c r="Q206" s="61">
        <f t="shared" si="79"/>
        <v>62.725433809837817</v>
      </c>
      <c r="R206" s="60">
        <f t="shared" si="92"/>
        <v>87.220688415475493</v>
      </c>
      <c r="S206" s="59">
        <f t="shared" si="93"/>
        <v>2.7793115845245069</v>
      </c>
      <c r="T206" s="58">
        <f t="shared" si="80"/>
        <v>70.576090260582163</v>
      </c>
      <c r="U206" s="62"/>
      <c r="V206" s="56">
        <f>E206</f>
        <v>99.530731271739242</v>
      </c>
      <c r="W206" s="55"/>
      <c r="AJ206" s="55">
        <f>D206</f>
        <v>26.031808270516386</v>
      </c>
    </row>
    <row r="207" spans="1:36" x14ac:dyDescent="0.2">
      <c r="A207" s="67">
        <v>76</v>
      </c>
      <c r="B207" s="66">
        <f t="shared" si="81"/>
        <v>1.3264502315156905</v>
      </c>
      <c r="C207" s="64">
        <f t="shared" si="82"/>
        <v>64.718002199566641</v>
      </c>
      <c r="D207" s="64">
        <f t="shared" si="83"/>
        <v>25.281997800433359</v>
      </c>
      <c r="E207" s="65">
        <f t="shared" si="75"/>
        <v>100.11715782397576</v>
      </c>
      <c r="F207" s="64">
        <f t="shared" si="84"/>
        <v>71.814350279388734</v>
      </c>
      <c r="G207" s="64">
        <f t="shared" si="85"/>
        <v>18.185649720611266</v>
      </c>
      <c r="H207" s="65">
        <f t="shared" si="76"/>
        <v>90.057928602130957</v>
      </c>
      <c r="I207" s="64">
        <f t="shared" si="86"/>
        <v>79.391574503525106</v>
      </c>
      <c r="J207" s="64">
        <f t="shared" si="87"/>
        <v>10.608425496474894</v>
      </c>
      <c r="K207" s="65">
        <f t="shared" si="77"/>
        <v>80.811422526909467</v>
      </c>
      <c r="L207" s="64">
        <f t="shared" si="88"/>
        <v>87.225100523828957</v>
      </c>
      <c r="M207" s="64">
        <f t="shared" si="89"/>
        <v>2.7748994761710435</v>
      </c>
      <c r="N207" s="65">
        <f t="shared" si="78"/>
        <v>72.020136252984827</v>
      </c>
      <c r="O207" s="64">
        <f t="shared" si="90"/>
        <v>95.122866438487492</v>
      </c>
      <c r="P207" s="64">
        <f t="shared" si="91"/>
        <v>-5.1228664384874918</v>
      </c>
      <c r="Q207" s="65">
        <f t="shared" si="79"/>
        <v>63.345350772189569</v>
      </c>
      <c r="R207" s="64">
        <f t="shared" si="92"/>
        <v>87.939790746058605</v>
      </c>
      <c r="S207" s="59">
        <f t="shared" si="93"/>
        <v>2.0602092539413945</v>
      </c>
      <c r="T207" s="58">
        <f t="shared" si="80"/>
        <v>71.235403450890203</v>
      </c>
      <c r="U207" s="66"/>
      <c r="V207" s="53">
        <f>H206</f>
        <v>89.407943471821554</v>
      </c>
      <c r="AJ207" s="50">
        <f>G206</f>
        <v>18.946609815174924</v>
      </c>
    </row>
    <row r="208" spans="1:36" x14ac:dyDescent="0.2">
      <c r="A208" s="67">
        <v>77</v>
      </c>
      <c r="B208" s="66">
        <f t="shared" si="81"/>
        <v>1.3439035240356338</v>
      </c>
      <c r="C208" s="64">
        <f t="shared" si="82"/>
        <v>65.466446342619278</v>
      </c>
      <c r="D208" s="64">
        <f t="shared" si="83"/>
        <v>24.533553657380722</v>
      </c>
      <c r="E208" s="65">
        <f t="shared" si="75"/>
        <v>100.70210482527884</v>
      </c>
      <c r="F208" s="64">
        <f t="shared" si="84"/>
        <v>72.575301771095411</v>
      </c>
      <c r="G208" s="64">
        <f t="shared" si="85"/>
        <v>17.424698228904589</v>
      </c>
      <c r="H208" s="65">
        <f t="shared" si="76"/>
        <v>90.705095004696418</v>
      </c>
      <c r="I208" s="64">
        <f t="shared" si="86"/>
        <v>80.143476053169948</v>
      </c>
      <c r="J208" s="64">
        <f t="shared" si="87"/>
        <v>9.8565239468300518</v>
      </c>
      <c r="K208" s="65">
        <f t="shared" si="77"/>
        <v>81.481358522250432</v>
      </c>
      <c r="L208" s="64">
        <f t="shared" si="88"/>
        <v>87.950245932573807</v>
      </c>
      <c r="M208" s="64">
        <f t="shared" si="89"/>
        <v>2.0497540674261927</v>
      </c>
      <c r="N208" s="65">
        <f t="shared" si="78"/>
        <v>72.678650523852198</v>
      </c>
      <c r="O208" s="64">
        <f t="shared" si="90"/>
        <v>95.804792955277932</v>
      </c>
      <c r="P208" s="64">
        <f t="shared" si="91"/>
        <v>-5.8047929552779323</v>
      </c>
      <c r="Q208" s="65">
        <f t="shared" si="79"/>
        <v>63.961840906016711</v>
      </c>
      <c r="R208" s="64">
        <f t="shared" si="92"/>
        <v>88.661702722414873</v>
      </c>
      <c r="S208" s="59">
        <f t="shared" si="93"/>
        <v>1.3382972775851272</v>
      </c>
      <c r="T208" s="58">
        <f t="shared" si="80"/>
        <v>71.891336812458903</v>
      </c>
      <c r="U208" s="66"/>
      <c r="V208" s="53">
        <f>K206</f>
        <v>80.138188126853791</v>
      </c>
      <c r="AJ208" s="50">
        <f>J206</f>
        <v>11.358902652195297</v>
      </c>
    </row>
    <row r="209" spans="1:37" x14ac:dyDescent="0.2">
      <c r="A209" s="67">
        <v>78</v>
      </c>
      <c r="B209" s="66">
        <f t="shared" si="81"/>
        <v>1.3613568165555769</v>
      </c>
      <c r="C209" s="64">
        <f t="shared" si="82"/>
        <v>66.213449413708588</v>
      </c>
      <c r="D209" s="64">
        <f t="shared" si="83"/>
        <v>23.786550586291412</v>
      </c>
      <c r="E209" s="65">
        <f t="shared" si="75"/>
        <v>101.28579934830731</v>
      </c>
      <c r="F209" s="64">
        <f t="shared" si="84"/>
        <v>73.336147798613737</v>
      </c>
      <c r="G209" s="64">
        <f t="shared" si="85"/>
        <v>16.663852201386263</v>
      </c>
      <c r="H209" s="65">
        <f t="shared" si="76"/>
        <v>91.349705601169788</v>
      </c>
      <c r="I209" s="64">
        <f t="shared" si="86"/>
        <v>80.896692695709817</v>
      </c>
      <c r="J209" s="64">
        <f t="shared" si="87"/>
        <v>9.1033073042901833</v>
      </c>
      <c r="K209" s="65">
        <f t="shared" si="77"/>
        <v>82.148243662764926</v>
      </c>
      <c r="L209" s="64">
        <f t="shared" si="88"/>
        <v>88.677989048612048</v>
      </c>
      <c r="M209" s="64">
        <f t="shared" si="89"/>
        <v>1.3220109513879521</v>
      </c>
      <c r="N209" s="65">
        <f t="shared" si="78"/>
        <v>73.333990367475664</v>
      </c>
      <c r="O209" s="64">
        <f t="shared" si="90"/>
        <v>96.49030414463455</v>
      </c>
      <c r="P209" s="64">
        <f t="shared" si="91"/>
        <v>-6.4903041446345497</v>
      </c>
      <c r="Q209" s="65">
        <f t="shared" si="79"/>
        <v>64.575049542735314</v>
      </c>
      <c r="R209" s="64">
        <f t="shared" si="92"/>
        <v>89.386315942009062</v>
      </c>
      <c r="S209" s="59">
        <f t="shared" si="93"/>
        <v>0.6136840579909375</v>
      </c>
      <c r="T209" s="58">
        <f t="shared" si="80"/>
        <v>72.544089779925429</v>
      </c>
      <c r="U209" s="66"/>
      <c r="V209" s="53">
        <f>N206</f>
        <v>71.358243324136211</v>
      </c>
      <c r="AJ209" s="50">
        <f>M206</f>
        <v>3.4973381842137456</v>
      </c>
    </row>
    <row r="210" spans="1:37" x14ac:dyDescent="0.2">
      <c r="A210" s="67">
        <v>79</v>
      </c>
      <c r="B210" s="66">
        <f t="shared" si="81"/>
        <v>1.3788101090755203</v>
      </c>
      <c r="C210" s="64">
        <f t="shared" si="82"/>
        <v>66.958936766303211</v>
      </c>
      <c r="D210" s="64">
        <f t="shared" si="83"/>
        <v>23.041063233696789</v>
      </c>
      <c r="E210" s="65">
        <f t="shared" si="75"/>
        <v>101.86846215031299</v>
      </c>
      <c r="F210" s="64">
        <f t="shared" si="84"/>
        <v>74.096792619964361</v>
      </c>
      <c r="G210" s="64">
        <f t="shared" si="85"/>
        <v>15.903207380035639</v>
      </c>
      <c r="H210" s="65">
        <f t="shared" si="76"/>
        <v>91.99201789125803</v>
      </c>
      <c r="I210" s="64">
        <f t="shared" si="86"/>
        <v>81.651116838257337</v>
      </c>
      <c r="J210" s="64">
        <f t="shared" si="87"/>
        <v>8.3488831617426627</v>
      </c>
      <c r="K210" s="65">
        <f t="shared" si="77"/>
        <v>82.812322855314093</v>
      </c>
      <c r="L210" s="64">
        <f t="shared" si="88"/>
        <v>89.408222728851328</v>
      </c>
      <c r="M210" s="64">
        <f t="shared" si="89"/>
        <v>0.59177727114867196</v>
      </c>
      <c r="N210" s="65">
        <f t="shared" si="78"/>
        <v>73.986359953253185</v>
      </c>
      <c r="O210" s="64">
        <f t="shared" si="90"/>
        <v>97.179302979683797</v>
      </c>
      <c r="P210" s="64">
        <f t="shared" si="91"/>
        <v>-7.179302979683797</v>
      </c>
      <c r="Q210" s="65">
        <f t="shared" si="79"/>
        <v>65.185123294133774</v>
      </c>
      <c r="R210" s="64">
        <f t="shared" si="92"/>
        <v>90.113523848950805</v>
      </c>
      <c r="S210" s="59">
        <f t="shared" si="93"/>
        <v>-0.11352384895080547</v>
      </c>
      <c r="T210" s="58">
        <f t="shared" si="80"/>
        <v>73.193861908042948</v>
      </c>
      <c r="U210" s="66"/>
      <c r="V210" s="53">
        <f>Q206</f>
        <v>62.725433809837817</v>
      </c>
      <c r="AJ210" s="50">
        <f>P206</f>
        <v>-4.444623319840403</v>
      </c>
    </row>
    <row r="211" spans="1:37" x14ac:dyDescent="0.2">
      <c r="A211" s="67">
        <v>80</v>
      </c>
      <c r="B211" s="66">
        <f t="shared" si="81"/>
        <v>1.3962634015954636</v>
      </c>
      <c r="C211" s="64">
        <f t="shared" si="82"/>
        <v>67.702833755756927</v>
      </c>
      <c r="D211" s="64">
        <f t="shared" si="83"/>
        <v>22.297166244243073</v>
      </c>
      <c r="E211" s="65">
        <f t="shared" si="75"/>
        <v>102.45030808350309</v>
      </c>
      <c r="F211" s="64">
        <f t="shared" si="84"/>
        <v>74.857141467490933</v>
      </c>
      <c r="G211" s="64">
        <f t="shared" si="85"/>
        <v>15.142858532509067</v>
      </c>
      <c r="H211" s="65">
        <f t="shared" si="76"/>
        <v>92.632284292157465</v>
      </c>
      <c r="I211" s="64">
        <f t="shared" si="86"/>
        <v>82.406642453757243</v>
      </c>
      <c r="J211" s="64">
        <f t="shared" si="87"/>
        <v>7.5933575462427569</v>
      </c>
      <c r="K211" s="65">
        <f t="shared" si="77"/>
        <v>83.473838561527728</v>
      </c>
      <c r="L211" s="64">
        <f t="shared" si="88"/>
        <v>90.140841577352802</v>
      </c>
      <c r="M211" s="64">
        <f t="shared" si="89"/>
        <v>-0.14084157735280201</v>
      </c>
      <c r="N211" s="65">
        <f t="shared" si="78"/>
        <v>74.635963487562066</v>
      </c>
      <c r="O211" s="64">
        <f t="shared" si="90"/>
        <v>97.871694079915628</v>
      </c>
      <c r="P211" s="64">
        <f t="shared" si="91"/>
        <v>-7.8716940799156276</v>
      </c>
      <c r="Q211" s="65">
        <f t="shared" si="79"/>
        <v>65.792210091530677</v>
      </c>
      <c r="R211" s="64">
        <f t="shared" si="92"/>
        <v>90.843221635304403</v>
      </c>
      <c r="S211" s="59">
        <f t="shared" si="93"/>
        <v>-0.84322163530440264</v>
      </c>
      <c r="T211" s="58">
        <f t="shared" si="80"/>
        <v>73.84085296354236</v>
      </c>
      <c r="U211" s="66"/>
    </row>
    <row r="212" spans="1:37" x14ac:dyDescent="0.2">
      <c r="A212" s="67">
        <v>81</v>
      </c>
      <c r="B212" s="66">
        <f t="shared" si="81"/>
        <v>1.4137166941154069</v>
      </c>
      <c r="C212" s="64">
        <f t="shared" si="82"/>
        <v>68.445065646625892</v>
      </c>
      <c r="D212" s="64">
        <f t="shared" si="83"/>
        <v>21.554934353374108</v>
      </c>
      <c r="E212" s="65">
        <f t="shared" si="75"/>
        <v>103.03154647945588</v>
      </c>
      <c r="F212" s="64">
        <f t="shared" si="84"/>
        <v>75.61710040754717</v>
      </c>
      <c r="G212" s="64">
        <f t="shared" si="85"/>
        <v>14.38289959245283</v>
      </c>
      <c r="H212" s="65">
        <f t="shared" si="76"/>
        <v>93.270752465122911</v>
      </c>
      <c r="I212" s="64">
        <f t="shared" si="86"/>
        <v>83.163164941278126</v>
      </c>
      <c r="J212" s="64">
        <f t="shared" si="87"/>
        <v>6.8368350587218742</v>
      </c>
      <c r="K212" s="65">
        <f t="shared" si="77"/>
        <v>84.133030997340924</v>
      </c>
      <c r="L212" s="64">
        <f t="shared" si="88"/>
        <v>90.875741842245603</v>
      </c>
      <c r="M212" s="64">
        <f t="shared" si="89"/>
        <v>-0.8757418422456027</v>
      </c>
      <c r="N212" s="65">
        <f t="shared" si="78"/>
        <v>75.283005321409959</v>
      </c>
      <c r="O212" s="64">
        <f t="shared" si="90"/>
        <v>98.567383657689604</v>
      </c>
      <c r="P212" s="64">
        <f t="shared" si="91"/>
        <v>-8.5673836576896036</v>
      </c>
      <c r="Q212" s="65">
        <f t="shared" si="79"/>
        <v>66.396459235045896</v>
      </c>
      <c r="R212" s="64">
        <f t="shared" si="92"/>
        <v>91.575306142300576</v>
      </c>
      <c r="S212" s="59">
        <f t="shared" si="93"/>
        <v>-1.5753061423005761</v>
      </c>
      <c r="T212" s="58">
        <f t="shared" si="80"/>
        <v>74.485263026653826</v>
      </c>
      <c r="U212" s="66"/>
    </row>
    <row r="213" spans="1:37" x14ac:dyDescent="0.2">
      <c r="A213" s="67">
        <v>82</v>
      </c>
      <c r="B213" s="66">
        <f t="shared" si="81"/>
        <v>1.4311699866353502</v>
      </c>
      <c r="C213" s="64">
        <f t="shared" si="82"/>
        <v>69.185557523487915</v>
      </c>
      <c r="D213" s="64">
        <f t="shared" si="83"/>
        <v>20.814442476512085</v>
      </c>
      <c r="E213" s="65">
        <f t="shared" si="75"/>
        <v>103.61238150927194</v>
      </c>
      <c r="F213" s="64">
        <f t="shared" si="84"/>
        <v>76.376576204521726</v>
      </c>
      <c r="G213" s="64">
        <f t="shared" si="85"/>
        <v>13.623423795478274</v>
      </c>
      <c r="H213" s="65">
        <f t="shared" si="76"/>
        <v>93.907665629611017</v>
      </c>
      <c r="I213" s="64">
        <f t="shared" si="86"/>
        <v>83.920580988697807</v>
      </c>
      <c r="J213" s="64">
        <f t="shared" si="87"/>
        <v>6.0794190113021926</v>
      </c>
      <c r="K213" s="65">
        <f t="shared" si="77"/>
        <v>84.790138333947411</v>
      </c>
      <c r="L213" s="64">
        <f t="shared" si="88"/>
        <v>91.612821312676246</v>
      </c>
      <c r="M213" s="64">
        <f t="shared" si="89"/>
        <v>-1.6128213126762461</v>
      </c>
      <c r="N213" s="65">
        <f t="shared" si="78"/>
        <v>75.92769006714208</v>
      </c>
      <c r="O213" s="64">
        <f t="shared" si="90"/>
        <v>99.266279463638085</v>
      </c>
      <c r="P213" s="64">
        <f t="shared" si="91"/>
        <v>-9.2662794636380852</v>
      </c>
      <c r="Q213" s="65">
        <f t="shared" si="79"/>
        <v>66.998021453007624</v>
      </c>
      <c r="R213" s="64">
        <f t="shared" si="92"/>
        <v>92.309675761419555</v>
      </c>
      <c r="S213" s="59">
        <f t="shared" si="93"/>
        <v>-2.3096757614195553</v>
      </c>
      <c r="T213" s="58">
        <f t="shared" si="80"/>
        <v>75.127292602038438</v>
      </c>
      <c r="U213" s="66"/>
    </row>
    <row r="214" spans="1:37" x14ac:dyDescent="0.2">
      <c r="A214" s="67">
        <v>83</v>
      </c>
      <c r="B214" s="66">
        <f t="shared" si="81"/>
        <v>1.4486232791552935</v>
      </c>
      <c r="C214" s="64">
        <f t="shared" si="82"/>
        <v>69.924234204961195</v>
      </c>
      <c r="D214" s="64">
        <f t="shared" si="83"/>
        <v>20.075765795038805</v>
      </c>
      <c r="E214" s="65">
        <f t="shared" si="75"/>
        <v>104.19301252100308</v>
      </c>
      <c r="F214" s="64">
        <f t="shared" si="84"/>
        <v>77.135476188842432</v>
      </c>
      <c r="G214" s="64">
        <f t="shared" si="85"/>
        <v>12.864523811157568</v>
      </c>
      <c r="H214" s="65">
        <f t="shared" si="76"/>
        <v>94.543262865428431</v>
      </c>
      <c r="I214" s="64">
        <f t="shared" si="86"/>
        <v>84.678788437571242</v>
      </c>
      <c r="J214" s="64">
        <f t="shared" si="87"/>
        <v>5.3212115624287577</v>
      </c>
      <c r="K214" s="65">
        <f t="shared" si="77"/>
        <v>85.44539689989567</v>
      </c>
      <c r="L214" s="64">
        <f t="shared" si="88"/>
        <v>92.351979215736236</v>
      </c>
      <c r="M214" s="64">
        <f t="shared" si="89"/>
        <v>-2.351979215736236</v>
      </c>
      <c r="N214" s="65">
        <f t="shared" si="78"/>
        <v>76.570222723976798</v>
      </c>
      <c r="O214" s="64">
        <f t="shared" si="90"/>
        <v>99.968290731005254</v>
      </c>
      <c r="P214" s="64">
        <f t="shared" si="91"/>
        <v>-9.9682907310052542</v>
      </c>
      <c r="Q214" s="65">
        <f t="shared" si="79"/>
        <v>67.597048971553235</v>
      </c>
      <c r="R214" s="64">
        <f t="shared" si="92"/>
        <v>93.046230335299057</v>
      </c>
      <c r="S214" s="59">
        <f t="shared" si="93"/>
        <v>-3.0462303352990574</v>
      </c>
      <c r="T214" s="58">
        <f t="shared" si="80"/>
        <v>75.767142738926438</v>
      </c>
      <c r="U214" s="66"/>
    </row>
    <row r="215" spans="1:37" x14ac:dyDescent="0.2">
      <c r="A215" s="67">
        <v>84</v>
      </c>
      <c r="B215" s="66">
        <f t="shared" si="81"/>
        <v>1.4660765716752369</v>
      </c>
      <c r="C215" s="64">
        <f t="shared" si="82"/>
        <v>70.661020160647013</v>
      </c>
      <c r="D215" s="64">
        <f t="shared" si="83"/>
        <v>19.338979839352987</v>
      </c>
      <c r="E215" s="65">
        <f t="shared" si="75"/>
        <v>104.77363435577023</v>
      </c>
      <c r="F215" s="64">
        <f t="shared" si="84"/>
        <v>77.893708128621199</v>
      </c>
      <c r="G215" s="64">
        <f t="shared" si="85"/>
        <v>12.106291871378801</v>
      </c>
      <c r="H215" s="65">
        <f t="shared" si="76"/>
        <v>95.177779403302608</v>
      </c>
      <c r="I215" s="64">
        <f t="shared" si="86"/>
        <v>85.437686149967121</v>
      </c>
      <c r="J215" s="64">
        <f t="shared" si="87"/>
        <v>4.5623138500328793</v>
      </c>
      <c r="K215" s="65">
        <f t="shared" si="77"/>
        <v>86.099041384097163</v>
      </c>
      <c r="L215" s="64">
        <f t="shared" si="88"/>
        <v>93.09311611329575</v>
      </c>
      <c r="M215" s="64">
        <f t="shared" si="89"/>
        <v>-3.0931161132957499</v>
      </c>
      <c r="N215" s="65">
        <f t="shared" si="78"/>
        <v>77.210808812185704</v>
      </c>
      <c r="O215" s="64">
        <f t="shared" si="90"/>
        <v>100.6733281189475</v>
      </c>
      <c r="P215" s="64">
        <f t="shared" si="91"/>
        <v>-10.673328118947495</v>
      </c>
      <c r="Q215" s="65">
        <f t="shared" si="79"/>
        <v>68.193695594516214</v>
      </c>
      <c r="R215" s="64">
        <f t="shared" si="92"/>
        <v>93.784871058406551</v>
      </c>
      <c r="S215" s="59">
        <f t="shared" si="93"/>
        <v>-3.7848710584065515</v>
      </c>
      <c r="T215" s="58">
        <f t="shared" si="80"/>
        <v>76.405015160303606</v>
      </c>
      <c r="U215" s="66"/>
    </row>
    <row r="216" spans="1:37" x14ac:dyDescent="0.2">
      <c r="A216" s="67">
        <v>85</v>
      </c>
      <c r="B216" s="66">
        <f t="shared" si="81"/>
        <v>1.4835298641951802</v>
      </c>
      <c r="C216" s="64">
        <f t="shared" si="82"/>
        <v>71.395839430745369</v>
      </c>
      <c r="D216" s="64">
        <f t="shared" si="83"/>
        <v>18.604160569254631</v>
      </c>
      <c r="E216" s="65">
        <f t="shared" si="75"/>
        <v>105.35443764386193</v>
      </c>
      <c r="F216" s="64">
        <f t="shared" si="84"/>
        <v>78.65118010461866</v>
      </c>
      <c r="G216" s="64">
        <f t="shared" si="85"/>
        <v>11.34881989538134</v>
      </c>
      <c r="H216" s="65">
        <f t="shared" si="76"/>
        <v>95.811446904276366</v>
      </c>
      <c r="I216" s="64">
        <f t="shared" si="86"/>
        <v>86.197173877057807</v>
      </c>
      <c r="J216" s="64">
        <f t="shared" si="87"/>
        <v>3.8028261229421929</v>
      </c>
      <c r="K216" s="65">
        <f t="shared" si="77"/>
        <v>86.751305039554367</v>
      </c>
      <c r="L216" s="64">
        <f t="shared" si="88"/>
        <v>93.836133798658551</v>
      </c>
      <c r="M216" s="64">
        <f t="shared" si="89"/>
        <v>-3.8361337986585511</v>
      </c>
      <c r="N216" s="65">
        <f t="shared" si="78"/>
        <v>77.849654515780031</v>
      </c>
      <c r="O216" s="64">
        <f t="shared" si="90"/>
        <v>101.38130365480858</v>
      </c>
      <c r="P216" s="64">
        <f t="shared" si="91"/>
        <v>-11.381303654808576</v>
      </c>
      <c r="Q216" s="65">
        <f t="shared" si="79"/>
        <v>68.788116793730438</v>
      </c>
      <c r="R216" s="64">
        <f t="shared" si="92"/>
        <v>94.525500377400789</v>
      </c>
      <c r="S216" s="59">
        <f t="shared" si="93"/>
        <v>-4.5255003774007889</v>
      </c>
      <c r="T216" s="58">
        <f t="shared" si="80"/>
        <v>77.041112401030801</v>
      </c>
      <c r="U216" s="66"/>
    </row>
    <row r="217" spans="1:37" x14ac:dyDescent="0.2">
      <c r="A217" s="67">
        <v>86</v>
      </c>
      <c r="B217" s="66">
        <f t="shared" si="81"/>
        <v>1.5009831567151235</v>
      </c>
      <c r="C217" s="64">
        <f t="shared" si="82"/>
        <v>72.128615548115476</v>
      </c>
      <c r="D217" s="64">
        <f t="shared" si="83"/>
        <v>17.871384451884524</v>
      </c>
      <c r="E217" s="65">
        <f t="shared" si="75"/>
        <v>105.93560908199277</v>
      </c>
      <c r="F217" s="64">
        <f t="shared" si="84"/>
        <v>79.407800388225709</v>
      </c>
      <c r="G217" s="64">
        <f t="shared" si="85"/>
        <v>10.592199611774291</v>
      </c>
      <c r="H217" s="65">
        <f t="shared" si="76"/>
        <v>96.444493728309567</v>
      </c>
      <c r="I217" s="64">
        <f t="shared" si="86"/>
        <v>86.9571521292456</v>
      </c>
      <c r="J217" s="64">
        <f t="shared" si="87"/>
        <v>3.0428478707544002</v>
      </c>
      <c r="K217" s="65">
        <f t="shared" si="77"/>
        <v>87.402419887649685</v>
      </c>
      <c r="L217" s="64">
        <f t="shared" si="88"/>
        <v>94.580935192938895</v>
      </c>
      <c r="M217" s="64">
        <f t="shared" si="89"/>
        <v>-4.5809351929388953</v>
      </c>
      <c r="N217" s="65">
        <f t="shared" si="78"/>
        <v>78.486966833606445</v>
      </c>
      <c r="O217" s="64">
        <f t="shared" si="90"/>
        <v>102.09213067537019</v>
      </c>
      <c r="P217" s="64">
        <f t="shared" si="91"/>
        <v>-12.092130675370186</v>
      </c>
      <c r="Q217" s="65">
        <f t="shared" si="79"/>
        <v>69.38046980992209</v>
      </c>
      <c r="R217" s="64">
        <f t="shared" si="92"/>
        <v>95.268021891093468</v>
      </c>
      <c r="S217" s="59">
        <f t="shared" si="93"/>
        <v>-5.2680218910934684</v>
      </c>
      <c r="T217" s="58">
        <f t="shared" si="80"/>
        <v>77.675637954824452</v>
      </c>
      <c r="U217" s="66"/>
    </row>
    <row r="218" spans="1:37" x14ac:dyDescent="0.2">
      <c r="A218" s="67">
        <v>87</v>
      </c>
      <c r="B218" s="66">
        <f t="shared" si="81"/>
        <v>1.5184364492350666</v>
      </c>
      <c r="C218" s="64">
        <f t="shared" si="82"/>
        <v>72.859271462574696</v>
      </c>
      <c r="D218" s="64">
        <f t="shared" si="83"/>
        <v>17.140728537425304</v>
      </c>
      <c r="E218" s="65">
        <f t="shared" si="75"/>
        <v>106.51733169279753</v>
      </c>
      <c r="F218" s="64">
        <f t="shared" si="84"/>
        <v>80.163477322175098</v>
      </c>
      <c r="G218" s="64">
        <f t="shared" si="85"/>
        <v>9.8365226778249024</v>
      </c>
      <c r="H218" s="65">
        <f t="shared" si="76"/>
        <v>97.077145192448739</v>
      </c>
      <c r="I218" s="64">
        <f t="shared" si="86"/>
        <v>87.717522047607488</v>
      </c>
      <c r="J218" s="64">
        <f t="shared" si="87"/>
        <v>2.2824779523925116</v>
      </c>
      <c r="K218" s="65">
        <f t="shared" si="77"/>
        <v>88.052616922864786</v>
      </c>
      <c r="L218" s="64">
        <f t="shared" si="88"/>
        <v>95.327424241048902</v>
      </c>
      <c r="M218" s="64">
        <f t="shared" si="89"/>
        <v>-5.3274242410489023</v>
      </c>
      <c r="N218" s="65">
        <f t="shared" si="78"/>
        <v>79.122953738797023</v>
      </c>
      <c r="O218" s="64">
        <f t="shared" si="90"/>
        <v>102.80572376706623</v>
      </c>
      <c r="P218" s="64">
        <f t="shared" si="91"/>
        <v>-12.805723767066226</v>
      </c>
      <c r="Q218" s="65">
        <f t="shared" si="79"/>
        <v>69.970913764402567</v>
      </c>
      <c r="R218" s="64">
        <f t="shared" si="92"/>
        <v>96.012340249909045</v>
      </c>
      <c r="S218" s="59">
        <f t="shared" si="93"/>
        <v>-6.0123402499090446</v>
      </c>
      <c r="T218" s="58">
        <f t="shared" si="80"/>
        <v>78.30879643006746</v>
      </c>
      <c r="U218" s="66"/>
    </row>
    <row r="219" spans="1:37" x14ac:dyDescent="0.2">
      <c r="A219" s="67">
        <v>88</v>
      </c>
      <c r="B219" s="66">
        <f t="shared" si="81"/>
        <v>1.5358897417550099</v>
      </c>
      <c r="C219" s="64">
        <f t="shared" si="82"/>
        <v>73.587729467248437</v>
      </c>
      <c r="D219" s="64">
        <f t="shared" si="83"/>
        <v>16.412270532751563</v>
      </c>
      <c r="E219" s="65">
        <f t="shared" si="75"/>
        <v>107.09978506754079</v>
      </c>
      <c r="F219" s="64">
        <f t="shared" si="84"/>
        <v>80.91811920371282</v>
      </c>
      <c r="G219" s="64">
        <f t="shared" si="85"/>
        <v>9.0818807962871801</v>
      </c>
      <c r="H219" s="65">
        <f t="shared" si="76"/>
        <v>97.709623818903154</v>
      </c>
      <c r="I219" s="64">
        <f t="shared" si="86"/>
        <v>88.478185276439405</v>
      </c>
      <c r="J219" s="64">
        <f t="shared" si="87"/>
        <v>1.5218147235605954</v>
      </c>
      <c r="K219" s="65">
        <f t="shared" si="77"/>
        <v>88.70212631782276</v>
      </c>
      <c r="L219" s="64">
        <f t="shared" si="88"/>
        <v>96.075505807172007</v>
      </c>
      <c r="M219" s="64">
        <f t="shared" si="89"/>
        <v>-6.0755058071720072</v>
      </c>
      <c r="N219" s="65">
        <f t="shared" si="78"/>
        <v>79.757824346558309</v>
      </c>
      <c r="O219" s="64">
        <f t="shared" si="90"/>
        <v>103.52199870513692</v>
      </c>
      <c r="P219" s="64">
        <f t="shared" si="91"/>
        <v>-13.521998705136923</v>
      </c>
      <c r="Q219" s="65">
        <f t="shared" si="79"/>
        <v>70.559609781819873</v>
      </c>
      <c r="R219" s="64">
        <f t="shared" si="92"/>
        <v>96.75836105472699</v>
      </c>
      <c r="S219" s="59">
        <f t="shared" si="93"/>
        <v>-6.7583610547269899</v>
      </c>
      <c r="T219" s="58">
        <f t="shared" si="80"/>
        <v>78.94079371446054</v>
      </c>
      <c r="U219" s="66"/>
    </row>
    <row r="220" spans="1:37" x14ac:dyDescent="0.2">
      <c r="A220" s="67">
        <v>89</v>
      </c>
      <c r="B220" s="66">
        <f t="shared" si="81"/>
        <v>1.5533430342749532</v>
      </c>
      <c r="C220" s="64">
        <f t="shared" si="82"/>
        <v>74.313911126803177</v>
      </c>
      <c r="D220" s="64">
        <f t="shared" si="83"/>
        <v>15.686088873196823</v>
      </c>
      <c r="E220" s="65">
        <f t="shared" si="75"/>
        <v>107.68314559293212</v>
      </c>
      <c r="F220" s="64">
        <f t="shared" si="84"/>
        <v>81.671634169973458</v>
      </c>
      <c r="G220" s="64">
        <f t="shared" si="85"/>
        <v>8.3283658300265415</v>
      </c>
      <c r="H220" s="65">
        <f t="shared" si="76"/>
        <v>98.342149573339796</v>
      </c>
      <c r="I220" s="64">
        <f t="shared" si="86"/>
        <v>89.23904383668085</v>
      </c>
      <c r="J220" s="64">
        <f t="shared" si="87"/>
        <v>0.76095616331915039</v>
      </c>
      <c r="K220" s="65">
        <f t="shared" si="77"/>
        <v>89.351177628566433</v>
      </c>
      <c r="L220" s="64">
        <f t="shared" si="88"/>
        <v>96.825085569585227</v>
      </c>
      <c r="M220" s="64">
        <f t="shared" si="89"/>
        <v>-6.8250855695852266</v>
      </c>
      <c r="N220" s="65">
        <f t="shared" si="78"/>
        <v>80.391789090321879</v>
      </c>
      <c r="O220" s="64">
        <f t="shared" si="90"/>
        <v>104.24087239168549</v>
      </c>
      <c r="P220" s="64">
        <f t="shared" si="91"/>
        <v>-14.240872391685485</v>
      </c>
      <c r="Q220" s="65">
        <f t="shared" si="79"/>
        <v>71.146721124273284</v>
      </c>
      <c r="R220" s="64">
        <f t="shared" si="92"/>
        <v>97.505990754977901</v>
      </c>
      <c r="S220" s="59">
        <f t="shared" si="93"/>
        <v>-7.5059907549779012</v>
      </c>
      <c r="T220" s="58">
        <f t="shared" si="80"/>
        <v>79.571837148563787</v>
      </c>
      <c r="U220" s="66"/>
    </row>
    <row r="221" spans="1:37" s="54" customFormat="1" x14ac:dyDescent="0.2">
      <c r="A221" s="63">
        <v>90</v>
      </c>
      <c r="B221" s="62">
        <f t="shared" si="81"/>
        <v>1.5707963267948966</v>
      </c>
      <c r="C221" s="60">
        <f t="shared" si="82"/>
        <v>75.037737207411496</v>
      </c>
      <c r="D221" s="60">
        <f t="shared" si="83"/>
        <v>14.962262792588504</v>
      </c>
      <c r="E221" s="61">
        <f t="shared" si="75"/>
        <v>108.26758666285335</v>
      </c>
      <c r="F221" s="60">
        <f t="shared" si="84"/>
        <v>82.423930085319043</v>
      </c>
      <c r="G221" s="60">
        <f t="shared" si="85"/>
        <v>7.5760699146809571</v>
      </c>
      <c r="H221" s="61">
        <f t="shared" si="76"/>
        <v>98.974940093683216</v>
      </c>
      <c r="I221" s="60">
        <f t="shared" si="86"/>
        <v>90</v>
      </c>
      <c r="J221" s="60">
        <f t="shared" si="87"/>
        <v>0</v>
      </c>
      <c r="K221" s="61">
        <f t="shared" si="77"/>
        <v>90</v>
      </c>
      <c r="L221" s="60">
        <f t="shared" si="88"/>
        <v>97.576069914680943</v>
      </c>
      <c r="M221" s="60">
        <f t="shared" si="89"/>
        <v>-7.5760699146809429</v>
      </c>
      <c r="N221" s="61">
        <f t="shared" si="78"/>
        <v>81.02505990631677</v>
      </c>
      <c r="O221" s="60">
        <f t="shared" si="90"/>
        <v>104.9622627925885</v>
      </c>
      <c r="P221" s="60">
        <f t="shared" si="91"/>
        <v>-14.962262792588504</v>
      </c>
      <c r="Q221" s="61">
        <f t="shared" si="79"/>
        <v>71.732413337146653</v>
      </c>
      <c r="R221" s="60">
        <f t="shared" si="92"/>
        <v>98.255136545852011</v>
      </c>
      <c r="S221" s="59">
        <f t="shared" si="93"/>
        <v>-8.255136545852011</v>
      </c>
      <c r="T221" s="58">
        <f t="shared" si="80"/>
        <v>80.202135708317059</v>
      </c>
      <c r="U221" s="62"/>
      <c r="V221" s="56">
        <f>E221</f>
        <v>108.26758666285335</v>
      </c>
      <c r="W221" s="55"/>
      <c r="AK221" s="55">
        <f>D221</f>
        <v>14.962262792588504</v>
      </c>
    </row>
    <row r="222" spans="1:37" x14ac:dyDescent="0.2">
      <c r="A222" s="67">
        <v>91</v>
      </c>
      <c r="B222" s="66">
        <f t="shared" si="81"/>
        <v>1.5882496193148399</v>
      </c>
      <c r="C222" s="64">
        <f t="shared" si="82"/>
        <v>75.7591276083145</v>
      </c>
      <c r="D222" s="64">
        <f t="shared" si="83"/>
        <v>14.2408723916855</v>
      </c>
      <c r="E222" s="65">
        <f t="shared" si="75"/>
        <v>108.8532788757267</v>
      </c>
      <c r="F222" s="64">
        <f t="shared" si="84"/>
        <v>83.174914430414773</v>
      </c>
      <c r="G222" s="64">
        <f t="shared" si="85"/>
        <v>6.8250855695852266</v>
      </c>
      <c r="H222" s="65">
        <f t="shared" si="76"/>
        <v>99.608210909678121</v>
      </c>
      <c r="I222" s="64">
        <f t="shared" si="86"/>
        <v>90.760956163319136</v>
      </c>
      <c r="J222" s="64">
        <f t="shared" si="87"/>
        <v>-0.76095616331913618</v>
      </c>
      <c r="K222" s="65">
        <f t="shared" si="77"/>
        <v>90.648822371433553</v>
      </c>
      <c r="L222" s="64">
        <f t="shared" si="88"/>
        <v>98.328365830026542</v>
      </c>
      <c r="M222" s="64">
        <f t="shared" si="89"/>
        <v>-8.3283658300265415</v>
      </c>
      <c r="N222" s="65">
        <f t="shared" si="78"/>
        <v>81.657850426660204</v>
      </c>
      <c r="O222" s="64">
        <f t="shared" si="90"/>
        <v>105.68608887319681</v>
      </c>
      <c r="P222" s="64">
        <f t="shared" si="91"/>
        <v>-15.686088873196809</v>
      </c>
      <c r="Q222" s="65">
        <f t="shared" si="79"/>
        <v>72.316854407067865</v>
      </c>
      <c r="R222" s="64">
        <f t="shared" si="92"/>
        <v>99.005706264465459</v>
      </c>
      <c r="S222" s="59">
        <f t="shared" si="93"/>
        <v>-9.0057062644654593</v>
      </c>
      <c r="T222" s="58">
        <f t="shared" si="80"/>
        <v>80.831900196665941</v>
      </c>
      <c r="U222" s="66"/>
      <c r="V222" s="53">
        <f>H221</f>
        <v>98.974940093683216</v>
      </c>
      <c r="AK222" s="50">
        <f>G221</f>
        <v>7.5760699146809571</v>
      </c>
    </row>
    <row r="223" spans="1:37" x14ac:dyDescent="0.2">
      <c r="A223" s="67">
        <v>92</v>
      </c>
      <c r="B223" s="66">
        <f t="shared" si="81"/>
        <v>1.6057029118347832</v>
      </c>
      <c r="C223" s="64">
        <f t="shared" si="82"/>
        <v>76.478001294863077</v>
      </c>
      <c r="D223" s="64">
        <f t="shared" si="83"/>
        <v>13.521998705136923</v>
      </c>
      <c r="E223" s="65">
        <f t="shared" si="75"/>
        <v>109.44039021818013</v>
      </c>
      <c r="F223" s="64">
        <f t="shared" si="84"/>
        <v>83.924494192827979</v>
      </c>
      <c r="G223" s="64">
        <f t="shared" si="85"/>
        <v>6.0755058071720214</v>
      </c>
      <c r="H223" s="65">
        <f t="shared" si="76"/>
        <v>100.24217565344168</v>
      </c>
      <c r="I223" s="64">
        <f t="shared" si="86"/>
        <v>91.521814723560595</v>
      </c>
      <c r="J223" s="64">
        <f t="shared" si="87"/>
        <v>-1.5218147235605954</v>
      </c>
      <c r="K223" s="65">
        <f t="shared" si="77"/>
        <v>91.29787368217724</v>
      </c>
      <c r="L223" s="64">
        <f t="shared" si="88"/>
        <v>99.081880796287166</v>
      </c>
      <c r="M223" s="64">
        <f t="shared" si="89"/>
        <v>-9.0818807962871659</v>
      </c>
      <c r="N223" s="65">
        <f t="shared" si="78"/>
        <v>82.290376181096832</v>
      </c>
      <c r="O223" s="64">
        <f t="shared" si="90"/>
        <v>106.41227053275156</v>
      </c>
      <c r="P223" s="64">
        <f t="shared" si="91"/>
        <v>-16.412270532751563</v>
      </c>
      <c r="Q223" s="65">
        <f t="shared" si="79"/>
        <v>72.900214932459207</v>
      </c>
      <c r="R223" s="64">
        <f t="shared" si="92"/>
        <v>99.757608284816513</v>
      </c>
      <c r="S223" s="59">
        <f t="shared" si="93"/>
        <v>-9.7576082848165129</v>
      </c>
      <c r="T223" s="58">
        <f t="shared" si="80"/>
        <v>81.461343444456872</v>
      </c>
      <c r="U223" s="66"/>
      <c r="V223" s="53">
        <f>K221</f>
        <v>90</v>
      </c>
      <c r="AK223" s="50">
        <f>J221</f>
        <v>0</v>
      </c>
    </row>
    <row r="224" spans="1:37" x14ac:dyDescent="0.2">
      <c r="A224" s="67">
        <v>93</v>
      </c>
      <c r="B224" s="66">
        <f t="shared" si="81"/>
        <v>1.6231562043547265</v>
      </c>
      <c r="C224" s="64">
        <f t="shared" si="82"/>
        <v>77.19427623293376</v>
      </c>
      <c r="D224" s="64">
        <f t="shared" si="83"/>
        <v>12.80572376706624</v>
      </c>
      <c r="E224" s="65">
        <f t="shared" si="75"/>
        <v>110.02908623559742</v>
      </c>
      <c r="F224" s="64">
        <f t="shared" si="84"/>
        <v>84.672575758951083</v>
      </c>
      <c r="G224" s="64">
        <f t="shared" si="85"/>
        <v>5.3274242410489165</v>
      </c>
      <c r="H224" s="65">
        <f t="shared" si="76"/>
        <v>100.87704626120296</v>
      </c>
      <c r="I224" s="64">
        <f t="shared" si="86"/>
        <v>92.282477952392512</v>
      </c>
      <c r="J224" s="64">
        <f t="shared" si="87"/>
        <v>-2.2824779523925116</v>
      </c>
      <c r="K224" s="65">
        <f t="shared" si="77"/>
        <v>91.947383077135214</v>
      </c>
      <c r="L224" s="64">
        <f t="shared" si="88"/>
        <v>99.836522677824888</v>
      </c>
      <c r="M224" s="64">
        <f t="shared" si="89"/>
        <v>-9.8365226778248882</v>
      </c>
      <c r="N224" s="65">
        <f t="shared" si="78"/>
        <v>82.922854807551246</v>
      </c>
      <c r="O224" s="64">
        <f t="shared" si="90"/>
        <v>107.14072853742529</v>
      </c>
      <c r="P224" s="64">
        <f t="shared" si="91"/>
        <v>-17.140728537425289</v>
      </c>
      <c r="Q224" s="65">
        <f t="shared" si="79"/>
        <v>73.482668307202459</v>
      </c>
      <c r="R224" s="64">
        <f t="shared" si="92"/>
        <v>100.5107514113508</v>
      </c>
      <c r="S224" s="59">
        <f t="shared" si="93"/>
        <v>-10.510751411350796</v>
      </c>
      <c r="T224" s="58">
        <f t="shared" si="80"/>
        <v>82.090680520801925</v>
      </c>
      <c r="U224" s="66"/>
      <c r="V224" s="53">
        <f>N221</f>
        <v>81.02505990631677</v>
      </c>
      <c r="AK224" s="50">
        <f>M221</f>
        <v>-7.5760699146809429</v>
      </c>
    </row>
    <row r="225" spans="1:38" x14ac:dyDescent="0.2">
      <c r="A225" s="67">
        <v>94</v>
      </c>
      <c r="B225" s="66">
        <f t="shared" si="81"/>
        <v>1.6406094968746698</v>
      </c>
      <c r="C225" s="64">
        <f t="shared" si="82"/>
        <v>77.907869324629814</v>
      </c>
      <c r="D225" s="64">
        <f t="shared" si="83"/>
        <v>12.092130675370186</v>
      </c>
      <c r="E225" s="65">
        <f t="shared" si="75"/>
        <v>110.61953019007791</v>
      </c>
      <c r="F225" s="64">
        <f t="shared" si="84"/>
        <v>85.419064807061119</v>
      </c>
      <c r="G225" s="64">
        <f t="shared" si="85"/>
        <v>4.5809351929388811</v>
      </c>
      <c r="H225" s="65">
        <f t="shared" si="76"/>
        <v>101.51303316639357</v>
      </c>
      <c r="I225" s="64">
        <f t="shared" si="86"/>
        <v>93.0428478707544</v>
      </c>
      <c r="J225" s="64">
        <f t="shared" si="87"/>
        <v>-3.0428478707544002</v>
      </c>
      <c r="K225" s="65">
        <f t="shared" si="77"/>
        <v>92.597580112350315</v>
      </c>
      <c r="L225" s="64">
        <f t="shared" si="88"/>
        <v>100.59219961177429</v>
      </c>
      <c r="M225" s="64">
        <f t="shared" si="89"/>
        <v>-10.592199611774291</v>
      </c>
      <c r="N225" s="65">
        <f t="shared" si="78"/>
        <v>83.555506271690433</v>
      </c>
      <c r="O225" s="64">
        <f t="shared" si="90"/>
        <v>107.87138445188452</v>
      </c>
      <c r="P225" s="64">
        <f t="shared" si="91"/>
        <v>-17.871384451884524</v>
      </c>
      <c r="Q225" s="65">
        <f t="shared" si="79"/>
        <v>74.064390918007234</v>
      </c>
      <c r="R225" s="64">
        <f t="shared" si="92"/>
        <v>101.26504477094079</v>
      </c>
      <c r="S225" s="59">
        <f t="shared" si="93"/>
        <v>-11.26504477094079</v>
      </c>
      <c r="T225" s="58">
        <f t="shared" si="80"/>
        <v>82.72012895314883</v>
      </c>
      <c r="U225" s="66"/>
      <c r="V225" s="53">
        <f>Q221</f>
        <v>71.732413337146653</v>
      </c>
      <c r="AK225" s="50">
        <f>P221</f>
        <v>-14.962262792588504</v>
      </c>
    </row>
    <row r="226" spans="1:38" x14ac:dyDescent="0.2">
      <c r="A226" s="67">
        <v>95</v>
      </c>
      <c r="B226" s="66">
        <f t="shared" si="81"/>
        <v>1.6580627893946132</v>
      </c>
      <c r="C226" s="64">
        <f t="shared" si="82"/>
        <v>78.618696345191424</v>
      </c>
      <c r="D226" s="64">
        <f t="shared" si="83"/>
        <v>11.381303654808576</v>
      </c>
      <c r="E226" s="65">
        <f t="shared" si="75"/>
        <v>111.21188320626956</v>
      </c>
      <c r="F226" s="64">
        <f t="shared" si="84"/>
        <v>86.163866201341449</v>
      </c>
      <c r="G226" s="64">
        <f t="shared" si="85"/>
        <v>3.8361337986585511</v>
      </c>
      <c r="H226" s="65">
        <f t="shared" si="76"/>
        <v>102.15034548421997</v>
      </c>
      <c r="I226" s="64">
        <f t="shared" si="86"/>
        <v>93.802826122942207</v>
      </c>
      <c r="J226" s="64">
        <f t="shared" si="87"/>
        <v>-3.8028261229422071</v>
      </c>
      <c r="K226" s="65">
        <f t="shared" si="77"/>
        <v>93.248694960445661</v>
      </c>
      <c r="L226" s="64">
        <f t="shared" si="88"/>
        <v>101.34881989538135</v>
      </c>
      <c r="M226" s="64">
        <f t="shared" si="89"/>
        <v>-11.348819895381354</v>
      </c>
      <c r="N226" s="65">
        <f t="shared" si="78"/>
        <v>84.188553095723648</v>
      </c>
      <c r="O226" s="64">
        <f t="shared" si="90"/>
        <v>108.60416056925465</v>
      </c>
      <c r="P226" s="64">
        <f t="shared" si="91"/>
        <v>-18.604160569254645</v>
      </c>
      <c r="Q226" s="65">
        <f t="shared" si="79"/>
        <v>74.645562356138072</v>
      </c>
      <c r="R226" s="64">
        <f t="shared" si="92"/>
        <v>102.02039770307094</v>
      </c>
      <c r="S226" s="59">
        <f t="shared" si="93"/>
        <v>-12.020397703070941</v>
      </c>
      <c r="T226" s="58">
        <f t="shared" si="80"/>
        <v>83.349908957327102</v>
      </c>
      <c r="U226" s="66"/>
    </row>
    <row r="227" spans="1:38" x14ac:dyDescent="0.2">
      <c r="A227" s="67">
        <v>96</v>
      </c>
      <c r="B227" s="66">
        <f t="shared" si="81"/>
        <v>1.6755160819145565</v>
      </c>
      <c r="C227" s="64">
        <f t="shared" si="82"/>
        <v>79.326671881052519</v>
      </c>
      <c r="D227" s="64">
        <f t="shared" si="83"/>
        <v>10.673328118947481</v>
      </c>
      <c r="E227" s="65">
        <f t="shared" ref="E227:E251" si="94">DEGREES(ACOS((SIN(RADIANS(D227))*SIN($C$6)-SIN(C$5))/(COS(RADIANS(D227))*COS($C$6))))</f>
        <v>111.8063044054838</v>
      </c>
      <c r="F227" s="64">
        <f t="shared" si="84"/>
        <v>86.90688388670425</v>
      </c>
      <c r="G227" s="64">
        <f t="shared" si="85"/>
        <v>3.0931161132957499</v>
      </c>
      <c r="H227" s="65">
        <f t="shared" ref="H227:H251" si="95">DEGREES(ACOS((SIN(RADIANS(G227))*SIN($C$6)-SIN(G$5))/(COS(RADIANS(G227))*COS($C$6))))</f>
        <v>102.7891911878143</v>
      </c>
      <c r="I227" s="64">
        <f t="shared" si="86"/>
        <v>94.562313850032893</v>
      </c>
      <c r="J227" s="64">
        <f t="shared" si="87"/>
        <v>-4.5623138500328935</v>
      </c>
      <c r="K227" s="65">
        <f t="shared" ref="K227:K251" si="96">DEGREES(ACOS((SIN(RADIANS(J227))*SIN($C$6)-SIN(J$5))/(COS(RADIANS(J227))*COS($C$6))))</f>
        <v>93.900958615902852</v>
      </c>
      <c r="L227" s="64">
        <f t="shared" si="88"/>
        <v>102.1062918713788</v>
      </c>
      <c r="M227" s="64">
        <f t="shared" si="89"/>
        <v>-12.106291871378801</v>
      </c>
      <c r="N227" s="65">
        <f t="shared" ref="N227:N251" si="97">DEGREES(ACOS((SIN(RADIANS(M227))*SIN($C$6)-SIN(M$5))/(COS(RADIANS(M227))*COS($C$6))))</f>
        <v>84.822220596697392</v>
      </c>
      <c r="O227" s="64">
        <f t="shared" si="90"/>
        <v>109.33897983935299</v>
      </c>
      <c r="P227" s="64">
        <f t="shared" si="91"/>
        <v>-19.338979839352987</v>
      </c>
      <c r="Q227" s="65">
        <f t="shared" ref="Q227:Q251" si="98">DEGREES(ACOS((SIN(RADIANS(P227))*SIN($C$6)-SIN(P$5))/(COS(RADIANS(P227))*COS($C$6))))</f>
        <v>75.226365644229773</v>
      </c>
      <c r="R227" s="64">
        <f t="shared" si="92"/>
        <v>102.77671964800518</v>
      </c>
      <c r="S227" s="59">
        <f t="shared" si="93"/>
        <v>-12.776719648005184</v>
      </c>
      <c r="T227" s="58">
        <f t="shared" ref="T227:T251" si="99">DEGREES(ACOS((SIN(RADIANS(S227))*SIN($C$6)-SIN(S$5))/(COS(RADIANS(S227))*COS($C$6))))</f>
        <v>83.980243677874526</v>
      </c>
      <c r="U227" s="69"/>
    </row>
    <row r="228" spans="1:38" x14ac:dyDescent="0.2">
      <c r="A228" s="67">
        <v>97</v>
      </c>
      <c r="B228" s="66">
        <f t="shared" si="81"/>
        <v>1.6929693744344996</v>
      </c>
      <c r="C228" s="64">
        <f t="shared" si="82"/>
        <v>80.031709268994746</v>
      </c>
      <c r="D228" s="64">
        <f t="shared" si="83"/>
        <v>9.9682907310052542</v>
      </c>
      <c r="E228" s="65">
        <f t="shared" si="94"/>
        <v>112.40295102844676</v>
      </c>
      <c r="F228" s="64">
        <f t="shared" si="84"/>
        <v>87.648020784263764</v>
      </c>
      <c r="G228" s="64">
        <f t="shared" si="85"/>
        <v>2.351979215736236</v>
      </c>
      <c r="H228" s="65">
        <f t="shared" si="95"/>
        <v>103.4297772760232</v>
      </c>
      <c r="I228" s="64">
        <f t="shared" si="86"/>
        <v>95.321211562428758</v>
      </c>
      <c r="J228" s="64">
        <f t="shared" si="87"/>
        <v>-5.3212115624287577</v>
      </c>
      <c r="K228" s="65">
        <f t="shared" si="96"/>
        <v>94.55460310010433</v>
      </c>
      <c r="L228" s="64">
        <f t="shared" si="88"/>
        <v>102.86452381115755</v>
      </c>
      <c r="M228" s="64">
        <f t="shared" si="89"/>
        <v>-12.864523811157554</v>
      </c>
      <c r="N228" s="65">
        <f t="shared" si="97"/>
        <v>85.456737134571554</v>
      </c>
      <c r="O228" s="64">
        <f t="shared" si="90"/>
        <v>110.07576579503879</v>
      </c>
      <c r="P228" s="64">
        <f t="shared" si="91"/>
        <v>-20.075765795038791</v>
      </c>
      <c r="Q228" s="65">
        <f t="shared" si="98"/>
        <v>75.806987478996916</v>
      </c>
      <c r="R228" s="64">
        <f t="shared" si="92"/>
        <v>103.53392003269894</v>
      </c>
      <c r="S228" s="59">
        <f t="shared" si="93"/>
        <v>-13.533920032698944</v>
      </c>
      <c r="T228" s="58">
        <f t="shared" si="99"/>
        <v>84.611359438982404</v>
      </c>
      <c r="U228" s="69"/>
    </row>
    <row r="229" spans="1:38" x14ac:dyDescent="0.2">
      <c r="A229" s="67">
        <v>98</v>
      </c>
      <c r="B229" s="66">
        <f t="shared" si="81"/>
        <v>1.7104226669544429</v>
      </c>
      <c r="C229" s="64">
        <f t="shared" si="82"/>
        <v>80.733720536361901</v>
      </c>
      <c r="D229" s="64">
        <f t="shared" si="83"/>
        <v>9.2662794636380994</v>
      </c>
      <c r="E229" s="65">
        <f t="shared" si="94"/>
        <v>113.00197854699236</v>
      </c>
      <c r="F229" s="64">
        <f t="shared" si="84"/>
        <v>88.387178687323754</v>
      </c>
      <c r="G229" s="64">
        <f t="shared" si="85"/>
        <v>1.6128213126762461</v>
      </c>
      <c r="H229" s="65">
        <f t="shared" si="95"/>
        <v>104.07230993285792</v>
      </c>
      <c r="I229" s="64">
        <f t="shared" si="86"/>
        <v>96.079419011302193</v>
      </c>
      <c r="J229" s="64">
        <f t="shared" si="87"/>
        <v>-6.0794190113021926</v>
      </c>
      <c r="K229" s="65">
        <f t="shared" si="96"/>
        <v>95.209861666052589</v>
      </c>
      <c r="L229" s="64">
        <f t="shared" si="88"/>
        <v>103.62342379547827</v>
      </c>
      <c r="M229" s="64">
        <f t="shared" si="89"/>
        <v>-13.623423795478274</v>
      </c>
      <c r="N229" s="65">
        <f t="shared" si="97"/>
        <v>86.092334370388983</v>
      </c>
      <c r="O229" s="64">
        <f t="shared" si="90"/>
        <v>110.81444247651208</v>
      </c>
      <c r="P229" s="64">
        <f t="shared" si="91"/>
        <v>-20.814442476512085</v>
      </c>
      <c r="Q229" s="65">
        <f t="shared" si="98"/>
        <v>76.387618490728045</v>
      </c>
      <c r="R229" s="64">
        <f t="shared" si="92"/>
        <v>104.29190815420182</v>
      </c>
      <c r="S229" s="59">
        <f t="shared" si="93"/>
        <v>-14.29190815420182</v>
      </c>
      <c r="T229" s="58">
        <f t="shared" si="99"/>
        <v>85.243486006428995</v>
      </c>
      <c r="U229" s="69"/>
    </row>
    <row r="230" spans="1:38" x14ac:dyDescent="0.2">
      <c r="A230" s="67">
        <v>99</v>
      </c>
      <c r="B230" s="66">
        <f t="shared" si="81"/>
        <v>1.7278759594743862</v>
      </c>
      <c r="C230" s="64">
        <f t="shared" si="82"/>
        <v>81.432616342310396</v>
      </c>
      <c r="D230" s="64">
        <f t="shared" si="83"/>
        <v>8.5673836576896036</v>
      </c>
      <c r="E230" s="65">
        <f t="shared" si="94"/>
        <v>113.60354076495409</v>
      </c>
      <c r="F230" s="64">
        <f t="shared" si="84"/>
        <v>89.124258157754397</v>
      </c>
      <c r="G230" s="64">
        <f t="shared" si="85"/>
        <v>0.8757418422456027</v>
      </c>
      <c r="H230" s="65">
        <f t="shared" si="95"/>
        <v>104.71699467859004</v>
      </c>
      <c r="I230" s="64">
        <f t="shared" si="86"/>
        <v>96.83683505872186</v>
      </c>
      <c r="J230" s="64">
        <f t="shared" si="87"/>
        <v>-6.83683505872186</v>
      </c>
      <c r="K230" s="65">
        <f t="shared" si="96"/>
        <v>95.866969002659062</v>
      </c>
      <c r="L230" s="64">
        <f t="shared" si="88"/>
        <v>104.38289959245283</v>
      </c>
      <c r="M230" s="64">
        <f t="shared" si="89"/>
        <v>-14.38289959245283</v>
      </c>
      <c r="N230" s="65">
        <f t="shared" si="97"/>
        <v>86.729247534877089</v>
      </c>
      <c r="O230" s="64">
        <f t="shared" si="90"/>
        <v>111.55493435337411</v>
      </c>
      <c r="P230" s="64">
        <f t="shared" si="91"/>
        <v>-21.554934353374108</v>
      </c>
      <c r="Q230" s="65">
        <f t="shared" si="98"/>
        <v>76.968453520544116</v>
      </c>
      <c r="R230" s="64">
        <f t="shared" si="92"/>
        <v>105.05059306028096</v>
      </c>
      <c r="S230" s="59">
        <f t="shared" si="93"/>
        <v>-15.05059306028096</v>
      </c>
      <c r="T230" s="58">
        <f t="shared" si="99"/>
        <v>85.876856860902194</v>
      </c>
      <c r="U230" s="69"/>
    </row>
    <row r="231" spans="1:38" x14ac:dyDescent="0.2">
      <c r="A231" s="67">
        <v>100</v>
      </c>
      <c r="B231" s="66">
        <f t="shared" si="81"/>
        <v>1.7453292519943295</v>
      </c>
      <c r="C231" s="64">
        <f t="shared" si="82"/>
        <v>82.128305920084358</v>
      </c>
      <c r="D231" s="64">
        <f t="shared" si="83"/>
        <v>7.8716940799156419</v>
      </c>
      <c r="E231" s="65">
        <f t="shared" si="94"/>
        <v>114.20778990846931</v>
      </c>
      <c r="F231" s="64">
        <f t="shared" si="84"/>
        <v>89.859158422647184</v>
      </c>
      <c r="G231" s="64">
        <f t="shared" si="85"/>
        <v>0.14084157735281622</v>
      </c>
      <c r="H231" s="65">
        <f t="shared" si="95"/>
        <v>105.36403651243791</v>
      </c>
      <c r="I231" s="64">
        <f t="shared" si="86"/>
        <v>97.593357546242743</v>
      </c>
      <c r="J231" s="64">
        <f t="shared" si="87"/>
        <v>-7.5933575462427427</v>
      </c>
      <c r="K231" s="65">
        <f t="shared" si="96"/>
        <v>96.526161438472258</v>
      </c>
      <c r="L231" s="64">
        <f t="shared" si="88"/>
        <v>105.14285853250907</v>
      </c>
      <c r="M231" s="64">
        <f t="shared" si="89"/>
        <v>-15.142858532509067</v>
      </c>
      <c r="N231" s="65">
        <f t="shared" si="97"/>
        <v>87.367715707842535</v>
      </c>
      <c r="O231" s="64">
        <f t="shared" si="90"/>
        <v>112.29716624424306</v>
      </c>
      <c r="P231" s="64">
        <f t="shared" si="91"/>
        <v>-22.297166244243058</v>
      </c>
      <c r="Q231" s="65">
        <f t="shared" si="98"/>
        <v>77.549691916496897</v>
      </c>
      <c r="R231" s="64">
        <f t="shared" si="92"/>
        <v>105.80988342697819</v>
      </c>
      <c r="S231" s="59">
        <f t="shared" si="93"/>
        <v>-15.809883426978189</v>
      </c>
      <c r="T231" s="58">
        <f t="shared" si="99"/>
        <v>86.511709483142724</v>
      </c>
      <c r="U231" s="69"/>
    </row>
    <row r="232" spans="1:38" x14ac:dyDescent="0.2">
      <c r="A232" s="67">
        <v>101</v>
      </c>
      <c r="B232" s="66">
        <f t="shared" si="81"/>
        <v>1.7627825445142729</v>
      </c>
      <c r="C232" s="64">
        <f t="shared" si="82"/>
        <v>82.820697020316203</v>
      </c>
      <c r="D232" s="64">
        <f t="shared" si="83"/>
        <v>7.179302979683797</v>
      </c>
      <c r="E232" s="65">
        <f t="shared" si="94"/>
        <v>114.81487670586623</v>
      </c>
      <c r="F232" s="64">
        <f t="shared" si="84"/>
        <v>90.591777271148672</v>
      </c>
      <c r="G232" s="64">
        <f t="shared" si="85"/>
        <v>-0.59177727114867196</v>
      </c>
      <c r="H232" s="65">
        <f t="shared" si="95"/>
        <v>106.01364004674681</v>
      </c>
      <c r="I232" s="64">
        <f t="shared" si="86"/>
        <v>98.348883161742648</v>
      </c>
      <c r="J232" s="64">
        <f t="shared" si="87"/>
        <v>-8.3488831617426484</v>
      </c>
      <c r="K232" s="65">
        <f t="shared" si="96"/>
        <v>97.187677144685907</v>
      </c>
      <c r="L232" s="64">
        <f t="shared" si="88"/>
        <v>105.90320738003562</v>
      </c>
      <c r="M232" s="64">
        <f t="shared" si="89"/>
        <v>-15.903207380035624</v>
      </c>
      <c r="N232" s="65">
        <f t="shared" si="97"/>
        <v>88.007982108741956</v>
      </c>
      <c r="O232" s="64">
        <f t="shared" si="90"/>
        <v>113.04106323369678</v>
      </c>
      <c r="P232" s="64">
        <f t="shared" si="91"/>
        <v>-23.041063233696775</v>
      </c>
      <c r="Q232" s="65">
        <f t="shared" si="98"/>
        <v>78.131537849686993</v>
      </c>
      <c r="R232" s="64">
        <f t="shared" si="92"/>
        <v>106.56968743279569</v>
      </c>
      <c r="S232" s="59">
        <f t="shared" si="93"/>
        <v>-16.569687432795689</v>
      </c>
      <c r="T232" s="58">
        <f t="shared" si="99"/>
        <v>87.148285651366322</v>
      </c>
      <c r="U232" s="69"/>
    </row>
    <row r="233" spans="1:38" x14ac:dyDescent="0.2">
      <c r="A233" s="67">
        <v>102</v>
      </c>
      <c r="B233" s="66">
        <f t="shared" si="81"/>
        <v>1.7802358370342162</v>
      </c>
      <c r="C233" s="64">
        <f t="shared" si="82"/>
        <v>83.50969585536545</v>
      </c>
      <c r="D233" s="64">
        <f t="shared" si="83"/>
        <v>6.4903041446345497</v>
      </c>
      <c r="E233" s="65">
        <f t="shared" si="94"/>
        <v>115.42495045726469</v>
      </c>
      <c r="F233" s="64">
        <f t="shared" si="84"/>
        <v>91.322010951387938</v>
      </c>
      <c r="G233" s="64">
        <f t="shared" si="85"/>
        <v>-1.3220109513879379</v>
      </c>
      <c r="H233" s="65">
        <f t="shared" si="95"/>
        <v>106.66600963252432</v>
      </c>
      <c r="I233" s="64">
        <f t="shared" si="86"/>
        <v>99.103307304290183</v>
      </c>
      <c r="J233" s="64">
        <f t="shared" si="87"/>
        <v>-9.1033073042901833</v>
      </c>
      <c r="K233" s="65">
        <f t="shared" si="96"/>
        <v>97.851756337235074</v>
      </c>
      <c r="L233" s="64">
        <f t="shared" si="88"/>
        <v>106.66385220138626</v>
      </c>
      <c r="M233" s="64">
        <f t="shared" si="89"/>
        <v>-16.663852201386263</v>
      </c>
      <c r="N233" s="65">
        <f t="shared" si="97"/>
        <v>88.650294398830212</v>
      </c>
      <c r="O233" s="64">
        <f t="shared" si="90"/>
        <v>113.78655058629141</v>
      </c>
      <c r="P233" s="64">
        <f t="shared" si="91"/>
        <v>-23.786550586291412</v>
      </c>
      <c r="Q233" s="65">
        <f t="shared" si="98"/>
        <v>78.714200651692693</v>
      </c>
      <c r="R233" s="64">
        <f t="shared" si="92"/>
        <v>107.32991262918668</v>
      </c>
      <c r="S233" s="59">
        <f t="shared" si="93"/>
        <v>-17.32991262918668</v>
      </c>
      <c r="T233" s="58">
        <f t="shared" si="99"/>
        <v>87.786831751451643</v>
      </c>
      <c r="U233" s="69"/>
    </row>
    <row r="234" spans="1:38" x14ac:dyDescent="0.2">
      <c r="A234" s="67">
        <v>103</v>
      </c>
      <c r="B234" s="66">
        <f t="shared" si="81"/>
        <v>1.7976891295541595</v>
      </c>
      <c r="C234" s="64">
        <f t="shared" si="82"/>
        <v>84.195207044722068</v>
      </c>
      <c r="D234" s="64">
        <f t="shared" si="83"/>
        <v>5.8047929552779323</v>
      </c>
      <c r="E234" s="65">
        <f t="shared" si="94"/>
        <v>116.03815909398328</v>
      </c>
      <c r="F234" s="64">
        <f t="shared" si="84"/>
        <v>92.049754067426193</v>
      </c>
      <c r="G234" s="64">
        <f t="shared" si="85"/>
        <v>-2.0497540674261927</v>
      </c>
      <c r="H234" s="65">
        <f t="shared" si="95"/>
        <v>107.3213494761478</v>
      </c>
      <c r="I234" s="64">
        <f t="shared" si="86"/>
        <v>99.856523946830052</v>
      </c>
      <c r="J234" s="64">
        <f t="shared" si="87"/>
        <v>-9.8565239468300518</v>
      </c>
      <c r="K234" s="65">
        <f t="shared" si="96"/>
        <v>98.518641477749568</v>
      </c>
      <c r="L234" s="64">
        <f t="shared" si="88"/>
        <v>107.42469822890459</v>
      </c>
      <c r="M234" s="64">
        <f t="shared" si="89"/>
        <v>-17.424698228904589</v>
      </c>
      <c r="N234" s="65">
        <f t="shared" si="97"/>
        <v>89.294904995303582</v>
      </c>
      <c r="O234" s="64">
        <f t="shared" si="90"/>
        <v>114.53355365738072</v>
      </c>
      <c r="P234" s="64">
        <f t="shared" si="91"/>
        <v>-24.533553657380722</v>
      </c>
      <c r="Q234" s="65">
        <f t="shared" si="98"/>
        <v>79.297895174721162</v>
      </c>
      <c r="R234" s="64">
        <f t="shared" si="92"/>
        <v>108.09046580700688</v>
      </c>
      <c r="S234" s="59">
        <f t="shared" si="93"/>
        <v>-18.090465807006879</v>
      </c>
      <c r="T234" s="58">
        <f t="shared" si="99"/>
        <v>88.42759910040337</v>
      </c>
      <c r="U234" s="69"/>
    </row>
    <row r="235" spans="1:38" x14ac:dyDescent="0.2">
      <c r="A235" s="67">
        <v>104</v>
      </c>
      <c r="B235" s="66">
        <f t="shared" si="81"/>
        <v>1.8151424220741028</v>
      </c>
      <c r="C235" s="64">
        <f t="shared" si="82"/>
        <v>84.877133561512508</v>
      </c>
      <c r="D235" s="64">
        <f t="shared" si="83"/>
        <v>5.1228664384874918</v>
      </c>
      <c r="E235" s="65">
        <f t="shared" si="94"/>
        <v>116.65464922781041</v>
      </c>
      <c r="F235" s="64">
        <f t="shared" si="84"/>
        <v>92.774899476171043</v>
      </c>
      <c r="G235" s="64">
        <f t="shared" si="85"/>
        <v>-2.7748994761710435</v>
      </c>
      <c r="H235" s="65">
        <f t="shared" si="95"/>
        <v>107.97986374701517</v>
      </c>
      <c r="I235" s="64">
        <f t="shared" si="86"/>
        <v>100.60842549647491</v>
      </c>
      <c r="J235" s="64">
        <f t="shared" si="87"/>
        <v>-10.608425496474908</v>
      </c>
      <c r="K235" s="65">
        <f t="shared" si="96"/>
        <v>99.188577473090547</v>
      </c>
      <c r="L235" s="64">
        <f t="shared" si="88"/>
        <v>108.18564972061127</v>
      </c>
      <c r="M235" s="64">
        <f t="shared" si="89"/>
        <v>-18.185649720611266</v>
      </c>
      <c r="N235" s="65">
        <f t="shared" si="97"/>
        <v>89.942071397869043</v>
      </c>
      <c r="O235" s="64">
        <f t="shared" si="90"/>
        <v>115.28199780043334</v>
      </c>
      <c r="P235" s="64">
        <f t="shared" si="91"/>
        <v>-25.281997800433345</v>
      </c>
      <c r="Q235" s="65">
        <f t="shared" si="98"/>
        <v>79.882842176024226</v>
      </c>
      <c r="R235" s="64">
        <f t="shared" si="92"/>
        <v>108.85125285856253</v>
      </c>
      <c r="S235" s="59">
        <f t="shared" si="93"/>
        <v>-18.851252858562532</v>
      </c>
      <c r="T235" s="58">
        <f t="shared" si="99"/>
        <v>89.070844283624126</v>
      </c>
      <c r="U235" s="69"/>
    </row>
    <row r="236" spans="1:38" s="54" customFormat="1" x14ac:dyDescent="0.2">
      <c r="A236" s="63">
        <v>105</v>
      </c>
      <c r="B236" s="62">
        <f t="shared" si="81"/>
        <v>1.8325957145940461</v>
      </c>
      <c r="C236" s="60">
        <f t="shared" si="82"/>
        <v>85.555376680159597</v>
      </c>
      <c r="D236" s="60">
        <f t="shared" si="83"/>
        <v>4.444623319840403</v>
      </c>
      <c r="E236" s="61">
        <f t="shared" si="94"/>
        <v>117.27456619016218</v>
      </c>
      <c r="F236" s="60">
        <f t="shared" si="84"/>
        <v>93.497338184213746</v>
      </c>
      <c r="G236" s="60">
        <f t="shared" si="85"/>
        <v>-3.4973381842137456</v>
      </c>
      <c r="H236" s="61">
        <f t="shared" si="95"/>
        <v>108.64175667586379</v>
      </c>
      <c r="I236" s="60">
        <f t="shared" si="86"/>
        <v>101.35890265219531</v>
      </c>
      <c r="J236" s="60">
        <f t="shared" si="87"/>
        <v>-11.358902652195312</v>
      </c>
      <c r="K236" s="61">
        <f t="shared" si="96"/>
        <v>99.861811873146223</v>
      </c>
      <c r="L236" s="60">
        <f t="shared" si="88"/>
        <v>108.94660981517494</v>
      </c>
      <c r="M236" s="60">
        <f t="shared" si="89"/>
        <v>-18.946609815174938</v>
      </c>
      <c r="N236" s="61">
        <f t="shared" si="97"/>
        <v>90.59205652817846</v>
      </c>
      <c r="O236" s="60">
        <f t="shared" si="90"/>
        <v>116.03180827051639</v>
      </c>
      <c r="P236" s="60">
        <f t="shared" si="91"/>
        <v>-26.031808270516393</v>
      </c>
      <c r="Q236" s="61">
        <f t="shared" si="98"/>
        <v>80.469268728260758</v>
      </c>
      <c r="R236" s="60">
        <f t="shared" si="92"/>
        <v>109.61217863486745</v>
      </c>
      <c r="S236" s="59">
        <f t="shared" si="93"/>
        <v>-19.612178634867448</v>
      </c>
      <c r="T236" s="58">
        <f t="shared" si="99"/>
        <v>89.716829506545764</v>
      </c>
      <c r="U236" s="70"/>
      <c r="V236" s="56">
        <f>E236</f>
        <v>117.27456619016218</v>
      </c>
      <c r="W236" s="55"/>
      <c r="AL236" s="55">
        <f>D236</f>
        <v>4.444623319840403</v>
      </c>
    </row>
    <row r="237" spans="1:38" x14ac:dyDescent="0.2">
      <c r="A237" s="67">
        <v>106</v>
      </c>
      <c r="B237" s="66">
        <f t="shared" si="81"/>
        <v>1.8500490071139892</v>
      </c>
      <c r="C237" s="64">
        <f t="shared" si="82"/>
        <v>86.229835925260645</v>
      </c>
      <c r="D237" s="64">
        <f t="shared" si="83"/>
        <v>3.7701640747393554</v>
      </c>
      <c r="E237" s="65">
        <f t="shared" si="94"/>
        <v>117.89805406111864</v>
      </c>
      <c r="F237" s="64">
        <f t="shared" si="84"/>
        <v>94.216959244562844</v>
      </c>
      <c r="G237" s="64">
        <f t="shared" si="85"/>
        <v>-4.2169592445628439</v>
      </c>
      <c r="H237" s="65">
        <f t="shared" si="95"/>
        <v>109.30723264343261</v>
      </c>
      <c r="I237" s="64">
        <f t="shared" si="86"/>
        <v>102.10784425970333</v>
      </c>
      <c r="J237" s="64">
        <f t="shared" si="87"/>
        <v>-12.107844259703327</v>
      </c>
      <c r="K237" s="65">
        <f t="shared" si="96"/>
        <v>100.53859506650633</v>
      </c>
      <c r="L237" s="64">
        <f t="shared" si="88"/>
        <v>109.7074803817674</v>
      </c>
      <c r="M237" s="64">
        <f t="shared" si="89"/>
        <v>-19.707480381767397</v>
      </c>
      <c r="N237" s="65">
        <f t="shared" si="97"/>
        <v>91.245129082572134</v>
      </c>
      <c r="O237" s="64">
        <f t="shared" si="90"/>
        <v>116.78291012358217</v>
      </c>
      <c r="P237" s="64">
        <f t="shared" si="91"/>
        <v>-26.78291012358217</v>
      </c>
      <c r="Q237" s="65">
        <f t="shared" si="98"/>
        <v>81.057408657640792</v>
      </c>
      <c r="R237" s="64">
        <f t="shared" si="92"/>
        <v>110.37314679769941</v>
      </c>
      <c r="S237" s="59">
        <f t="shared" si="93"/>
        <v>-20.373146797699405</v>
      </c>
      <c r="T237" s="58">
        <f t="shared" si="99"/>
        <v>90.365822961188528</v>
      </c>
      <c r="U237" s="69"/>
      <c r="V237" s="53">
        <f>H236</f>
        <v>108.64175667586379</v>
      </c>
      <c r="AL237" s="50">
        <f>G236</f>
        <v>-3.4973381842137456</v>
      </c>
    </row>
    <row r="238" spans="1:38" x14ac:dyDescent="0.2">
      <c r="A238" s="67">
        <v>107</v>
      </c>
      <c r="B238" s="66">
        <f t="shared" si="81"/>
        <v>1.8675022996339325</v>
      </c>
      <c r="C238" s="64">
        <f t="shared" si="82"/>
        <v>86.900409021761305</v>
      </c>
      <c r="D238" s="64">
        <f t="shared" si="83"/>
        <v>3.0995909782386946</v>
      </c>
      <c r="E238" s="65">
        <f t="shared" si="94"/>
        <v>118.52525568830031</v>
      </c>
      <c r="F238" s="64">
        <f t="shared" si="84"/>
        <v>94.933649653264851</v>
      </c>
      <c r="G238" s="64">
        <f t="shared" si="85"/>
        <v>-4.9336496532648511</v>
      </c>
      <c r="H238" s="65">
        <f t="shared" si="95"/>
        <v>109.97649625909327</v>
      </c>
      <c r="I238" s="64">
        <f t="shared" si="86"/>
        <v>102.8551371633305</v>
      </c>
      <c r="J238" s="64">
        <f t="shared" si="87"/>
        <v>-12.855137163330497</v>
      </c>
      <c r="K238" s="65">
        <f t="shared" si="96"/>
        <v>101.21918047357285</v>
      </c>
      <c r="L238" s="64">
        <f t="shared" si="88"/>
        <v>110.46816186438107</v>
      </c>
      <c r="M238" s="64">
        <f t="shared" si="89"/>
        <v>-20.468161864381074</v>
      </c>
      <c r="N238" s="65">
        <f t="shared" si="97"/>
        <v>91.901563898575148</v>
      </c>
      <c r="O238" s="64">
        <f t="shared" si="90"/>
        <v>117.53522811116029</v>
      </c>
      <c r="P238" s="64">
        <f t="shared" si="91"/>
        <v>-27.535228111160293</v>
      </c>
      <c r="Q238" s="65">
        <f t="shared" si="98"/>
        <v>81.647503011850915</v>
      </c>
      <c r="R238" s="64">
        <f t="shared" si="92"/>
        <v>111.13405966602036</v>
      </c>
      <c r="S238" s="59">
        <f t="shared" si="93"/>
        <v>-21.134059666020363</v>
      </c>
      <c r="T238" s="58">
        <f t="shared" si="99"/>
        <v>91.018099208225976</v>
      </c>
      <c r="U238" s="69"/>
      <c r="V238" s="53">
        <f>K236</f>
        <v>99.861811873146223</v>
      </c>
      <c r="AL238" s="50">
        <f>J236</f>
        <v>-11.358902652195312</v>
      </c>
    </row>
    <row r="239" spans="1:38" x14ac:dyDescent="0.2">
      <c r="A239" s="67">
        <v>108</v>
      </c>
      <c r="B239" s="66">
        <f t="shared" si="81"/>
        <v>1.8849555921538759</v>
      </c>
      <c r="C239" s="64">
        <f t="shared" si="82"/>
        <v>87.56699184651599</v>
      </c>
      <c r="D239" s="64">
        <f t="shared" si="83"/>
        <v>2.4330081534840104</v>
      </c>
      <c r="E239" s="65">
        <f t="shared" si="94"/>
        <v>119.15631269551814</v>
      </c>
      <c r="F239" s="64">
        <f t="shared" si="84"/>
        <v>95.64729424592025</v>
      </c>
      <c r="G239" s="64">
        <f t="shared" si="85"/>
        <v>-5.64729424592025</v>
      </c>
      <c r="H239" s="65">
        <f t="shared" si="95"/>
        <v>110.64975242902329</v>
      </c>
      <c r="I239" s="64">
        <f t="shared" si="86"/>
        <v>103.60066605470577</v>
      </c>
      <c r="J239" s="64">
        <f t="shared" si="87"/>
        <v>-13.600666054705769</v>
      </c>
      <c r="K239" s="65">
        <f t="shared" si="96"/>
        <v>101.90382473659277</v>
      </c>
      <c r="L239" s="64">
        <f t="shared" si="88"/>
        <v>111.22855312016335</v>
      </c>
      <c r="M239" s="64">
        <f t="shared" si="89"/>
        <v>-21.228553120163355</v>
      </c>
      <c r="N239" s="65">
        <f t="shared" si="97"/>
        <v>92.561642335582917</v>
      </c>
      <c r="O239" s="64">
        <f t="shared" si="90"/>
        <v>118.2886865700189</v>
      </c>
      <c r="P239" s="64">
        <f t="shared" si="91"/>
        <v>-28.288686570018896</v>
      </c>
      <c r="Q239" s="65">
        <f t="shared" si="98"/>
        <v>82.239800559938104</v>
      </c>
      <c r="R239" s="64">
        <f t="shared" si="92"/>
        <v>111.89481805629975</v>
      </c>
      <c r="S239" s="59">
        <f t="shared" si="93"/>
        <v>-21.894818056299755</v>
      </c>
      <c r="T239" s="58">
        <f t="shared" si="99"/>
        <v>91.673939575140892</v>
      </c>
      <c r="U239" s="69"/>
      <c r="V239" s="53">
        <f>N236</f>
        <v>90.59205652817846</v>
      </c>
      <c r="AL239" s="50">
        <f>M236</f>
        <v>-18.946609815174938</v>
      </c>
    </row>
    <row r="240" spans="1:38" x14ac:dyDescent="0.2">
      <c r="A240" s="67">
        <v>109</v>
      </c>
      <c r="B240" s="66">
        <f t="shared" si="81"/>
        <v>1.9024088846738192</v>
      </c>
      <c r="C240" s="64">
        <f t="shared" si="82"/>
        <v>88.229478381340016</v>
      </c>
      <c r="D240" s="64">
        <f t="shared" si="83"/>
        <v>1.7705216186599841</v>
      </c>
      <c r="E240" s="65">
        <f t="shared" si="94"/>
        <v>119.79136548110462</v>
      </c>
      <c r="F240" s="64">
        <f t="shared" si="84"/>
        <v>96.357775594121804</v>
      </c>
      <c r="G240" s="64">
        <f t="shared" si="85"/>
        <v>-6.3577755941218044</v>
      </c>
      <c r="H240" s="65">
        <f t="shared" si="95"/>
        <v>111.32720641344166</v>
      </c>
      <c r="I240" s="64">
        <f t="shared" si="86"/>
        <v>104.34431331804738</v>
      </c>
      <c r="J240" s="64">
        <f t="shared" si="87"/>
        <v>-14.344313318047384</v>
      </c>
      <c r="K240" s="65">
        <f t="shared" si="96"/>
        <v>102.59278790602195</v>
      </c>
      <c r="L240" s="64">
        <f t="shared" si="88"/>
        <v>111.98855125129812</v>
      </c>
      <c r="M240" s="64">
        <f t="shared" si="89"/>
        <v>-21.988551251298119</v>
      </c>
      <c r="N240" s="65">
        <f t="shared" si="97"/>
        <v>93.225652670158667</v>
      </c>
      <c r="O240" s="64">
        <f t="shared" si="90"/>
        <v>119.0432093063184</v>
      </c>
      <c r="P240" s="64">
        <f t="shared" si="91"/>
        <v>-29.043209306318403</v>
      </c>
      <c r="Q240" s="65">
        <f t="shared" si="98"/>
        <v>82.834558326524387</v>
      </c>
      <c r="R240" s="64">
        <f t="shared" si="92"/>
        <v>112.65532111625221</v>
      </c>
      <c r="S240" s="59">
        <f t="shared" si="93"/>
        <v>-22.65532111625221</v>
      </c>
      <c r="T240" s="58">
        <f t="shared" si="99"/>
        <v>92.333632571057095</v>
      </c>
      <c r="U240" s="69"/>
      <c r="V240" s="53">
        <f>Q236</f>
        <v>80.469268728260758</v>
      </c>
      <c r="AL240" s="50">
        <f>P236</f>
        <v>-26.031808270516393</v>
      </c>
    </row>
    <row r="241" spans="1:39" x14ac:dyDescent="0.2">
      <c r="A241" s="67">
        <v>110</v>
      </c>
      <c r="B241" s="66">
        <f t="shared" si="81"/>
        <v>1.9198621771937625</v>
      </c>
      <c r="C241" s="64">
        <f t="shared" si="82"/>
        <v>88.887760667672126</v>
      </c>
      <c r="D241" s="64">
        <f t="shared" si="83"/>
        <v>1.1122393323278743</v>
      </c>
      <c r="E241" s="65">
        <f t="shared" si="94"/>
        <v>120.43055320580943</v>
      </c>
      <c r="F241" s="64">
        <f t="shared" si="84"/>
        <v>97.064973901862601</v>
      </c>
      <c r="G241" s="64">
        <f t="shared" si="85"/>
        <v>-7.0649739018626008</v>
      </c>
      <c r="H241" s="65">
        <f t="shared" si="95"/>
        <v>112.00906387237104</v>
      </c>
      <c r="I241" s="64">
        <f t="shared" si="86"/>
        <v>105.08595887188986</v>
      </c>
      <c r="J241" s="64">
        <f t="shared" si="87"/>
        <v>-15.085958871889858</v>
      </c>
      <c r="K241" s="65">
        <f t="shared" si="96"/>
        <v>103.28633362254061</v>
      </c>
      <c r="L241" s="64">
        <f t="shared" si="88"/>
        <v>112.74805142993932</v>
      </c>
      <c r="M241" s="64">
        <f t="shared" si="89"/>
        <v>-22.748051429939323</v>
      </c>
      <c r="N241" s="65">
        <f t="shared" si="97"/>
        <v>93.893890506343126</v>
      </c>
      <c r="O241" s="64">
        <f t="shared" si="90"/>
        <v>119.79871947373447</v>
      </c>
      <c r="P241" s="64">
        <f t="shared" si="91"/>
        <v>-29.798719473734465</v>
      </c>
      <c r="Q241" s="65">
        <f t="shared" si="98"/>
        <v>83.432042162932007</v>
      </c>
      <c r="R241" s="64">
        <f t="shared" si="92"/>
        <v>113.41546615147254</v>
      </c>
      <c r="S241" s="59">
        <f t="shared" si="93"/>
        <v>-23.415466151472543</v>
      </c>
      <c r="T241" s="58">
        <f t="shared" si="99"/>
        <v>92.997474318825311</v>
      </c>
      <c r="U241" s="69"/>
    </row>
    <row r="242" spans="1:39" x14ac:dyDescent="0.2">
      <c r="A242" s="67">
        <v>111</v>
      </c>
      <c r="B242" s="66">
        <f t="shared" si="81"/>
        <v>1.9373154697137058</v>
      </c>
      <c r="C242" s="64">
        <f t="shared" si="82"/>
        <v>89.541728762981208</v>
      </c>
      <c r="D242" s="64">
        <f t="shared" si="83"/>
        <v>0.45827123701879202</v>
      </c>
      <c r="E242" s="65">
        <f t="shared" si="94"/>
        <v>121.07401377012177</v>
      </c>
      <c r="F242" s="64">
        <f t="shared" si="84"/>
        <v>97.768766901982417</v>
      </c>
      <c r="G242" s="64">
        <f t="shared" si="85"/>
        <v>-7.768766901982417</v>
      </c>
      <c r="H242" s="65">
        <f t="shared" si="95"/>
        <v>112.69553089933557</v>
      </c>
      <c r="I242" s="64">
        <f t="shared" si="86"/>
        <v>105.82548000707905</v>
      </c>
      <c r="J242" s="64">
        <f t="shared" si="87"/>
        <v>-15.825480007079051</v>
      </c>
      <c r="K242" s="65">
        <f t="shared" si="96"/>
        <v>103.98472929394615</v>
      </c>
      <c r="L242" s="64">
        <f t="shared" si="88"/>
        <v>113.50694671567474</v>
      </c>
      <c r="M242" s="64">
        <f t="shared" si="89"/>
        <v>-23.506946715674744</v>
      </c>
      <c r="N242" s="65">
        <f t="shared" si="97"/>
        <v>94.566659201344009</v>
      </c>
      <c r="O242" s="64">
        <f t="shared" si="90"/>
        <v>120.55513944497767</v>
      </c>
      <c r="P242" s="64">
        <f t="shared" si="91"/>
        <v>-30.555139444977669</v>
      </c>
      <c r="Q242" s="65">
        <f t="shared" si="98"/>
        <v>84.032527358027437</v>
      </c>
      <c r="R242" s="64">
        <f t="shared" si="92"/>
        <v>114.17514844442024</v>
      </c>
      <c r="S242" s="59">
        <f t="shared" si="93"/>
        <v>-24.175148444420245</v>
      </c>
      <c r="T242" s="58">
        <f t="shared" si="99"/>
        <v>93.665769004924584</v>
      </c>
      <c r="U242" s="69"/>
    </row>
    <row r="243" spans="1:39" x14ac:dyDescent="0.2">
      <c r="A243" s="67">
        <v>112</v>
      </c>
      <c r="B243" s="66">
        <f t="shared" si="81"/>
        <v>1.9547687622336491</v>
      </c>
      <c r="C243" s="64">
        <f t="shared" si="82"/>
        <v>90.191270699065086</v>
      </c>
      <c r="D243" s="64">
        <f t="shared" si="83"/>
        <v>-0.19127069906508609</v>
      </c>
      <c r="E243" s="65">
        <f t="shared" si="94"/>
        <v>121.72188378086094</v>
      </c>
      <c r="F243" s="64">
        <f t="shared" si="84"/>
        <v>98.46902975274412</v>
      </c>
      <c r="G243" s="64">
        <f t="shared" si="85"/>
        <v>-8.4690297527441203</v>
      </c>
      <c r="H243" s="65">
        <f t="shared" si="95"/>
        <v>113.38681404234407</v>
      </c>
      <c r="I243" s="64">
        <f t="shared" si="86"/>
        <v>106.56275122087918</v>
      </c>
      <c r="J243" s="64">
        <f t="shared" si="87"/>
        <v>-16.562751220879179</v>
      </c>
      <c r="K243" s="65">
        <f t="shared" si="96"/>
        <v>104.68824626604145</v>
      </c>
      <c r="L243" s="64">
        <f t="shared" si="88"/>
        <v>114.26512786497058</v>
      </c>
      <c r="M243" s="64">
        <f t="shared" si="89"/>
        <v>-24.26512786497058</v>
      </c>
      <c r="N243" s="65">
        <f t="shared" si="97"/>
        <v>95.244270306929437</v>
      </c>
      <c r="O243" s="64">
        <f t="shared" si="90"/>
        <v>121.31239067608213</v>
      </c>
      <c r="P243" s="64">
        <f t="shared" si="91"/>
        <v>-31.312390676082131</v>
      </c>
      <c r="Q243" s="65">
        <f t="shared" si="98"/>
        <v>84.636299291838085</v>
      </c>
      <c r="R243" s="64">
        <f t="shared" si="92"/>
        <v>114.9342610651741</v>
      </c>
      <c r="S243" s="59">
        <f t="shared" si="93"/>
        <v>-24.934261065174098</v>
      </c>
      <c r="T243" s="58">
        <f t="shared" si="99"/>
        <v>94.338829347715333</v>
      </c>
      <c r="U243" s="69"/>
    </row>
    <row r="244" spans="1:39" x14ac:dyDescent="0.2">
      <c r="A244" s="67">
        <v>113</v>
      </c>
      <c r="B244" s="66">
        <f t="shared" si="81"/>
        <v>1.9722220547535925</v>
      </c>
      <c r="C244" s="64">
        <f t="shared" si="82"/>
        <v>90.836272442405232</v>
      </c>
      <c r="D244" s="64">
        <f t="shared" si="83"/>
        <v>-0.83627244240523169</v>
      </c>
      <c r="E244" s="65">
        <f t="shared" si="94"/>
        <v>122.37429850686038</v>
      </c>
      <c r="F244" s="64">
        <f t="shared" si="84"/>
        <v>99.165634934656566</v>
      </c>
      <c r="G244" s="64">
        <f t="shared" si="85"/>
        <v>-9.1656349346565662</v>
      </c>
      <c r="H244" s="65">
        <f t="shared" si="95"/>
        <v>114.08312031145054</v>
      </c>
      <c r="I244" s="64">
        <f t="shared" si="86"/>
        <v>107.29764404705143</v>
      </c>
      <c r="J244" s="64">
        <f t="shared" si="87"/>
        <v>-17.297644047051435</v>
      </c>
      <c r="K244" s="65">
        <f t="shared" si="96"/>
        <v>105.397159986521</v>
      </c>
      <c r="L244" s="64">
        <f t="shared" si="88"/>
        <v>115.02248313201929</v>
      </c>
      <c r="M244" s="64">
        <f t="shared" si="89"/>
        <v>-25.022483132019289</v>
      </c>
      <c r="N244" s="65">
        <f t="shared" si="97"/>
        <v>95.927044026791492</v>
      </c>
      <c r="O244" s="64">
        <f t="shared" si="90"/>
        <v>122.07039356277433</v>
      </c>
      <c r="P244" s="64">
        <f t="shared" si="91"/>
        <v>-32.070393562774328</v>
      </c>
      <c r="Q244" s="65">
        <f t="shared" si="98"/>
        <v>85.243654135261863</v>
      </c>
      <c r="R244" s="64">
        <f t="shared" si="92"/>
        <v>115.69269467334446</v>
      </c>
      <c r="S244" s="59">
        <f t="shared" si="93"/>
        <v>-25.692694673344462</v>
      </c>
      <c r="T244" s="58">
        <f t="shared" si="99"/>
        <v>95.016977084540954</v>
      </c>
      <c r="U244" s="69"/>
    </row>
    <row r="245" spans="1:39" x14ac:dyDescent="0.2">
      <c r="A245" s="67">
        <v>114</v>
      </c>
      <c r="B245" s="66">
        <f t="shared" si="81"/>
        <v>1.9896753472735358</v>
      </c>
      <c r="C245" s="64">
        <f t="shared" si="82"/>
        <v>91.476617856755681</v>
      </c>
      <c r="D245" s="64">
        <f t="shared" si="83"/>
        <v>-1.4766178567556807</v>
      </c>
      <c r="E245" s="65">
        <f t="shared" si="94"/>
        <v>123.03139182355487</v>
      </c>
      <c r="F245" s="64">
        <f t="shared" si="84"/>
        <v>99.858452147686293</v>
      </c>
      <c r="G245" s="64">
        <f t="shared" si="85"/>
        <v>-9.8584521476862932</v>
      </c>
      <c r="H245" s="65">
        <f t="shared" si="95"/>
        <v>114.78465717212292</v>
      </c>
      <c r="I245" s="64">
        <f t="shared" si="86"/>
        <v>108.03002688178051</v>
      </c>
      <c r="J245" s="64">
        <f t="shared" si="87"/>
        <v>-18.030026881780515</v>
      </c>
      <c r="K245" s="65">
        <f t="shared" si="96"/>
        <v>106.11175016072789</v>
      </c>
      <c r="L245" s="64">
        <f t="shared" si="88"/>
        <v>115.77889806038374</v>
      </c>
      <c r="M245" s="64">
        <f t="shared" si="89"/>
        <v>-25.778898060383739</v>
      </c>
      <c r="N245" s="65">
        <f t="shared" si="97"/>
        <v>96.615309690073772</v>
      </c>
      <c r="O245" s="64">
        <f t="shared" si="90"/>
        <v>122.8290672881671</v>
      </c>
      <c r="P245" s="64">
        <f t="shared" si="91"/>
        <v>-32.829067288167096</v>
      </c>
      <c r="Q245" s="65">
        <f t="shared" si="98"/>
        <v>85.854899599479353</v>
      </c>
      <c r="R245" s="64">
        <f t="shared" si="92"/>
        <v>116.45033731049622</v>
      </c>
      <c r="S245" s="59">
        <f t="shared" si="93"/>
        <v>-26.450337310496224</v>
      </c>
      <c r="T245" s="58">
        <f t="shared" si="99"/>
        <v>95.70054347812264</v>
      </c>
      <c r="U245" s="69"/>
    </row>
    <row r="246" spans="1:39" x14ac:dyDescent="0.2">
      <c r="A246" s="67">
        <v>115</v>
      </c>
      <c r="B246" s="66">
        <f t="shared" si="81"/>
        <v>2.0071286397934789</v>
      </c>
      <c r="C246" s="64">
        <f t="shared" si="82"/>
        <v>92.112188668161338</v>
      </c>
      <c r="D246" s="64">
        <f t="shared" si="83"/>
        <v>-2.1121886681613375</v>
      </c>
      <c r="E246" s="65">
        <f t="shared" si="94"/>
        <v>123.69329614626908</v>
      </c>
      <c r="F246" s="64">
        <f t="shared" si="84"/>
        <v>100.54734820902895</v>
      </c>
      <c r="G246" s="64">
        <f t="shared" si="85"/>
        <v>-10.547348209028954</v>
      </c>
      <c r="H246" s="65">
        <f t="shared" si="95"/>
        <v>115.49163252359072</v>
      </c>
      <c r="I246" s="64">
        <f t="shared" si="86"/>
        <v>108.75976480534567</v>
      </c>
      <c r="J246" s="64">
        <f t="shared" si="87"/>
        <v>-18.759764805345668</v>
      </c>
      <c r="K246" s="65">
        <f t="shared" si="96"/>
        <v>106.83230089801437</v>
      </c>
      <c r="L246" s="64">
        <f t="shared" si="88"/>
        <v>116.53425526480081</v>
      </c>
      <c r="M246" s="64">
        <f t="shared" si="89"/>
        <v>-26.534255264800805</v>
      </c>
      <c r="N246" s="65">
        <f t="shared" si="97"/>
        <v>97.30940624116397</v>
      </c>
      <c r="O246" s="64">
        <f t="shared" si="90"/>
        <v>123.58832966094927</v>
      </c>
      <c r="P246" s="64">
        <f t="shared" si="91"/>
        <v>-33.58832966094927</v>
      </c>
      <c r="Q246" s="65">
        <f t="shared" si="98"/>
        <v>86.470355738989568</v>
      </c>
      <c r="R246" s="64">
        <f t="shared" si="92"/>
        <v>117.20707418239951</v>
      </c>
      <c r="S246" s="59">
        <f t="shared" si="93"/>
        <v>-27.207074182399509</v>
      </c>
      <c r="T246" s="58">
        <f t="shared" si="99"/>
        <v>96.389869842621323</v>
      </c>
      <c r="U246" s="69"/>
    </row>
    <row r="247" spans="1:39" x14ac:dyDescent="0.2">
      <c r="A247" s="67">
        <v>116</v>
      </c>
      <c r="B247" s="66">
        <f t="shared" si="81"/>
        <v>2.0245819323134224</v>
      </c>
      <c r="C247" s="64">
        <f t="shared" si="82"/>
        <v>92.742864432615974</v>
      </c>
      <c r="D247" s="64">
        <f t="shared" si="83"/>
        <v>-2.7428644326159741</v>
      </c>
      <c r="E247" s="65">
        <f t="shared" si="94"/>
        <v>124.36014235199674</v>
      </c>
      <c r="F247" s="64">
        <f t="shared" si="84"/>
        <v>101.23218695164149</v>
      </c>
      <c r="G247" s="64">
        <f t="shared" si="85"/>
        <v>-11.232186951641495</v>
      </c>
      <c r="H247" s="65">
        <f t="shared" si="95"/>
        <v>116.20425466128111</v>
      </c>
      <c r="I247" s="64">
        <f t="shared" si="86"/>
        <v>109.48671939945682</v>
      </c>
      <c r="J247" s="64">
        <f t="shared" si="87"/>
        <v>-19.486719399456817</v>
      </c>
      <c r="K247" s="65">
        <f t="shared" si="96"/>
        <v>107.55910084728458</v>
      </c>
      <c r="L247" s="64">
        <f t="shared" si="88"/>
        <v>117.2884342024778</v>
      </c>
      <c r="M247" s="64">
        <f t="shared" si="89"/>
        <v>-27.288434202477802</v>
      </c>
      <c r="N247" s="65">
        <f t="shared" si="97"/>
        <v>98.009682745741344</v>
      </c>
      <c r="O247" s="64">
        <f t="shared" si="90"/>
        <v>124.34809694316031</v>
      </c>
      <c r="P247" s="64">
        <f t="shared" si="91"/>
        <v>-34.348096943160314</v>
      </c>
      <c r="Q247" s="65">
        <f t="shared" si="98"/>
        <v>87.090355812529666</v>
      </c>
      <c r="R247" s="64">
        <f t="shared" si="92"/>
        <v>117.96278743038907</v>
      </c>
      <c r="S247" s="59">
        <f t="shared" si="93"/>
        <v>-27.962787430389071</v>
      </c>
      <c r="T247" s="58">
        <f t="shared" si="99"/>
        <v>97.085308089651377</v>
      </c>
      <c r="U247" s="69"/>
    </row>
    <row r="248" spans="1:39" x14ac:dyDescent="0.2">
      <c r="A248" s="67">
        <v>117</v>
      </c>
      <c r="B248" s="66">
        <f t="shared" si="81"/>
        <v>2.0420352248333655</v>
      </c>
      <c r="C248" s="64">
        <f t="shared" si="82"/>
        <v>93.368522506586785</v>
      </c>
      <c r="D248" s="64">
        <f t="shared" si="83"/>
        <v>-3.3685225065867854</v>
      </c>
      <c r="E248" s="65">
        <f t="shared" si="94"/>
        <v>125.03205968945294</v>
      </c>
      <c r="F248" s="64">
        <f t="shared" si="84"/>
        <v>101.91282912376784</v>
      </c>
      <c r="G248" s="64">
        <f t="shared" si="85"/>
        <v>-11.912829123767835</v>
      </c>
      <c r="H248" s="65">
        <f t="shared" si="95"/>
        <v>116.92273222239137</v>
      </c>
      <c r="I248" s="64">
        <f t="shared" si="86"/>
        <v>110.21074856020338</v>
      </c>
      <c r="J248" s="64">
        <f t="shared" si="87"/>
        <v>-20.210748560203385</v>
      </c>
      <c r="K248" s="65">
        <f t="shared" si="96"/>
        <v>108.29244332013069</v>
      </c>
      <c r="L248" s="64">
        <f t="shared" si="88"/>
        <v>118.04131093318408</v>
      </c>
      <c r="M248" s="64">
        <f t="shared" si="89"/>
        <v>-28.041310933184079</v>
      </c>
      <c r="N248" s="65">
        <f t="shared" si="97"/>
        <v>98.716498912929794</v>
      </c>
      <c r="O248" s="64">
        <f t="shared" si="90"/>
        <v>125.10828366654908</v>
      </c>
      <c r="P248" s="64">
        <f t="shared" si="91"/>
        <v>-35.108283666549085</v>
      </c>
      <c r="Q248" s="65">
        <f t="shared" si="98"/>
        <v>87.715247206502724</v>
      </c>
      <c r="R248" s="64">
        <f t="shared" si="92"/>
        <v>118.71735589107422</v>
      </c>
      <c r="S248" s="59">
        <f t="shared" si="93"/>
        <v>-28.71735589107422</v>
      </c>
      <c r="T248" s="58">
        <f t="shared" si="99"/>
        <v>97.787221294416369</v>
      </c>
      <c r="U248" s="69"/>
    </row>
    <row r="249" spans="1:39" x14ac:dyDescent="0.2">
      <c r="A249" s="67">
        <v>118</v>
      </c>
      <c r="B249" s="66">
        <f t="shared" si="81"/>
        <v>2.0594885173533091</v>
      </c>
      <c r="C249" s="64">
        <f t="shared" si="82"/>
        <v>93.989038020649275</v>
      </c>
      <c r="D249" s="64">
        <f t="shared" si="83"/>
        <v>-3.989038020649275</v>
      </c>
      <c r="E249" s="65">
        <f t="shared" si="94"/>
        <v>125.70917567718031</v>
      </c>
      <c r="F249" s="64">
        <f t="shared" si="84"/>
        <v>102.58913228972609</v>
      </c>
      <c r="G249" s="64">
        <f t="shared" si="85"/>
        <v>-12.589132289726095</v>
      </c>
      <c r="H249" s="65">
        <f t="shared" si="95"/>
        <v>117.64727411358622</v>
      </c>
      <c r="I249" s="64">
        <f t="shared" si="86"/>
        <v>110.93170630659574</v>
      </c>
      <c r="J249" s="64">
        <f t="shared" si="87"/>
        <v>-20.931706306595743</v>
      </c>
      <c r="K249" s="65">
        <f t="shared" si="96"/>
        <v>109.03262639979074</v>
      </c>
      <c r="L249" s="64">
        <f t="shared" si="88"/>
        <v>118.79275786741097</v>
      </c>
      <c r="M249" s="64">
        <f t="shared" si="89"/>
        <v>-28.79275786741097</v>
      </c>
      <c r="N249" s="65">
        <f t="shared" si="97"/>
        <v>99.430225633242358</v>
      </c>
      <c r="O249" s="64">
        <f t="shared" si="90"/>
        <v>125.86880243641536</v>
      </c>
      <c r="P249" s="64">
        <f t="shared" si="91"/>
        <v>-35.868802436415365</v>
      </c>
      <c r="Q249" s="65">
        <f t="shared" si="98"/>
        <v>88.345392425931863</v>
      </c>
      <c r="R249" s="64">
        <f t="shared" si="92"/>
        <v>119.47065484360476</v>
      </c>
      <c r="S249" s="59">
        <f t="shared" si="93"/>
        <v>-29.470654843604763</v>
      </c>
      <c r="T249" s="58">
        <f t="shared" si="99"/>
        <v>98.495984281996712</v>
      </c>
      <c r="U249" s="68"/>
    </row>
    <row r="250" spans="1:39" x14ac:dyDescent="0.2">
      <c r="A250" s="67">
        <v>119</v>
      </c>
      <c r="B250" s="66">
        <f t="shared" si="81"/>
        <v>2.0769418098732522</v>
      </c>
      <c r="C250" s="64">
        <f t="shared" si="82"/>
        <v>94.604283856491946</v>
      </c>
      <c r="D250" s="64">
        <f t="shared" si="83"/>
        <v>-4.6042838564919464</v>
      </c>
      <c r="E250" s="65">
        <f t="shared" si="94"/>
        <v>126.39161598949117</v>
      </c>
      <c r="F250" s="64">
        <f t="shared" si="84"/>
        <v>103.26095073226118</v>
      </c>
      <c r="G250" s="64">
        <f t="shared" si="85"/>
        <v>-13.260950732261179</v>
      </c>
      <c r="H250" s="65">
        <f t="shared" si="95"/>
        <v>118.37808941974751</v>
      </c>
      <c r="I250" s="64">
        <f t="shared" si="86"/>
        <v>111.64944258471539</v>
      </c>
      <c r="J250" s="64">
        <f t="shared" si="87"/>
        <v>-21.649442584715388</v>
      </c>
      <c r="K250" s="65">
        <f t="shared" si="96"/>
        <v>109.77995303395922</v>
      </c>
      <c r="L250" s="64">
        <f t="shared" si="88"/>
        <v>119.54264350184307</v>
      </c>
      <c r="M250" s="64">
        <f t="shared" si="89"/>
        <v>-29.542643501843074</v>
      </c>
      <c r="N250" s="65">
        <f t="shared" si="97"/>
        <v>100.15124553180306</v>
      </c>
      <c r="O250" s="64">
        <f t="shared" si="90"/>
        <v>126.62956372172293</v>
      </c>
      <c r="P250" s="64">
        <f t="shared" si="91"/>
        <v>-36.629563721722931</v>
      </c>
      <c r="Q250" s="65">
        <f t="shared" si="98"/>
        <v>88.981170158382341</v>
      </c>
      <c r="R250" s="64">
        <f t="shared" si="92"/>
        <v>120.22255574365778</v>
      </c>
      <c r="S250" s="59">
        <f t="shared" si="93"/>
        <v>-30.222555743657779</v>
      </c>
      <c r="T250" s="58">
        <f t="shared" si="99"/>
        <v>99.211984233645367</v>
      </c>
    </row>
    <row r="251" spans="1:39" s="54" customFormat="1" x14ac:dyDescent="0.2">
      <c r="A251" s="63">
        <v>120</v>
      </c>
      <c r="B251" s="62">
        <f t="shared" si="81"/>
        <v>2.0943951023931953</v>
      </c>
      <c r="C251" s="60">
        <f t="shared" si="82"/>
        <v>95.21413062756784</v>
      </c>
      <c r="D251" s="60">
        <f t="shared" si="83"/>
        <v>-5.2141306275678403</v>
      </c>
      <c r="E251" s="61">
        <f t="shared" si="94"/>
        <v>127.07950433003251</v>
      </c>
      <c r="F251" s="60">
        <f t="shared" si="84"/>
        <v>103.92813535680645</v>
      </c>
      <c r="G251" s="60">
        <f t="shared" si="85"/>
        <v>-13.92813535680645</v>
      </c>
      <c r="H251" s="61">
        <f t="shared" si="95"/>
        <v>119.1153872926478</v>
      </c>
      <c r="I251" s="60">
        <f t="shared" si="86"/>
        <v>112.36380306753263</v>
      </c>
      <c r="J251" s="60">
        <f t="shared" si="87"/>
        <v>-22.363803067532629</v>
      </c>
      <c r="K251" s="61">
        <f t="shared" si="96"/>
        <v>110.5347311092675</v>
      </c>
      <c r="L251" s="60">
        <f t="shared" si="88"/>
        <v>120.29083214135635</v>
      </c>
      <c r="M251" s="60">
        <f t="shared" si="89"/>
        <v>-30.290832141356347</v>
      </c>
      <c r="N251" s="61">
        <f t="shared" si="97"/>
        <v>100.87995353609496</v>
      </c>
      <c r="O251" s="60">
        <f t="shared" si="90"/>
        <v>127.39047563015041</v>
      </c>
      <c r="P251" s="60">
        <f t="shared" si="91"/>
        <v>-37.390475630150405</v>
      </c>
      <c r="Q251" s="61">
        <f t="shared" si="98"/>
        <v>89.622976416748969</v>
      </c>
      <c r="R251" s="60">
        <f t="shared" si="92"/>
        <v>120.97292594327345</v>
      </c>
      <c r="S251" s="59">
        <f t="shared" si="93"/>
        <v>-30.972925943273452</v>
      </c>
      <c r="T251" s="58">
        <f t="shared" si="99"/>
        <v>99.935621312737311</v>
      </c>
      <c r="U251" s="57"/>
      <c r="V251" s="56">
        <f>E251</f>
        <v>127.07950433003251</v>
      </c>
      <c r="W251" s="55"/>
      <c r="AM251" s="55">
        <f>D251</f>
        <v>-5.2141306275678403</v>
      </c>
    </row>
    <row r="252" spans="1:39" x14ac:dyDescent="0.2">
      <c r="V252" s="53">
        <f>H251</f>
        <v>119.1153872926478</v>
      </c>
      <c r="AM252" s="50">
        <f>G251</f>
        <v>-13.92813535680645</v>
      </c>
    </row>
    <row r="253" spans="1:39" x14ac:dyDescent="0.2">
      <c r="V253" s="53">
        <f>K251</f>
        <v>110.5347311092675</v>
      </c>
      <c r="AM253" s="50">
        <f>J251</f>
        <v>-22.363803067532629</v>
      </c>
    </row>
    <row r="254" spans="1:39" x14ac:dyDescent="0.2">
      <c r="V254" s="53">
        <f>N251</f>
        <v>100.87995353609496</v>
      </c>
      <c r="AM254" s="50">
        <f>M251</f>
        <v>-30.290832141356347</v>
      </c>
    </row>
    <row r="255" spans="1:39" x14ac:dyDescent="0.2">
      <c r="V255" s="53">
        <f>Q251</f>
        <v>89.622976416748969</v>
      </c>
      <c r="AM255" s="50">
        <f>P251</f>
        <v>-37.390475630150405</v>
      </c>
    </row>
  </sheetData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5"/>
  <sheetViews>
    <sheetView zoomScale="70" zoomScaleNormal="70" workbookViewId="0">
      <selection activeCell="S3" sqref="S3"/>
    </sheetView>
  </sheetViews>
  <sheetFormatPr baseColWidth="10" defaultColWidth="11.42578125" defaultRowHeight="12.75" x14ac:dyDescent="0.2"/>
  <cols>
    <col min="1" max="1" width="20" style="52" customWidth="1"/>
    <col min="2" max="2" width="9" style="51" customWidth="1"/>
    <col min="3" max="3" width="9.5703125" style="49" customWidth="1"/>
    <col min="4" max="4" width="10.7109375" style="49" customWidth="1"/>
    <col min="5" max="5" width="11" style="52" customWidth="1"/>
    <col min="6" max="6" width="10.140625" style="49" customWidth="1"/>
    <col min="7" max="7" width="9.140625" style="49" customWidth="1"/>
    <col min="8" max="8" width="11" style="52" customWidth="1"/>
    <col min="9" max="10" width="11.42578125" style="49"/>
    <col min="11" max="11" width="11.42578125" style="52"/>
    <col min="12" max="13" width="11.42578125" style="49"/>
    <col min="14" max="14" width="11.42578125" style="52"/>
    <col min="15" max="16" width="11.42578125" style="49"/>
    <col min="17" max="17" width="11.42578125" style="52"/>
    <col min="18" max="19" width="11.42578125" style="49"/>
    <col min="20" max="20" width="11.42578125" style="52"/>
    <col min="21" max="21" width="4" style="51" customWidth="1"/>
    <col min="22" max="22" width="11.42578125" style="51"/>
    <col min="23" max="23" width="8.7109375" style="50" customWidth="1"/>
    <col min="24" max="39" width="8.7109375" style="49" customWidth="1"/>
    <col min="40" max="16384" width="11.42578125" style="49"/>
  </cols>
  <sheetData>
    <row r="1" spans="1:39" x14ac:dyDescent="0.2">
      <c r="A1" s="97"/>
      <c r="B1" s="49"/>
      <c r="E1" s="49"/>
      <c r="H1" s="49"/>
      <c r="K1" s="49"/>
      <c r="N1" s="49"/>
      <c r="Q1" s="49"/>
      <c r="T1" s="49"/>
      <c r="U1" s="49"/>
      <c r="V1" s="49"/>
    </row>
    <row r="2" spans="1:39" x14ac:dyDescent="0.2">
      <c r="A2" s="97"/>
      <c r="B2" s="49"/>
      <c r="E2" s="100"/>
      <c r="F2" s="101"/>
      <c r="H2" s="49"/>
      <c r="K2" s="49"/>
      <c r="N2" s="49"/>
      <c r="Q2" s="49"/>
      <c r="T2" s="49"/>
      <c r="U2" s="49"/>
      <c r="V2" s="49"/>
    </row>
    <row r="3" spans="1:39" x14ac:dyDescent="0.2">
      <c r="A3" s="49"/>
      <c r="C3" s="99" t="s">
        <v>34</v>
      </c>
      <c r="I3" s="102" t="s">
        <v>63</v>
      </c>
      <c r="O3" s="99" t="s">
        <v>35</v>
      </c>
      <c r="R3" s="96" t="s">
        <v>61</v>
      </c>
      <c r="S3" s="122">
        <f>'Ej-2a_TraySol_Mad'!S3</f>
        <v>297</v>
      </c>
      <c r="T3" s="49"/>
    </row>
    <row r="4" spans="1:39" x14ac:dyDescent="0.2">
      <c r="A4" s="49"/>
      <c r="C4" s="98" t="s">
        <v>1</v>
      </c>
      <c r="F4" s="95" t="s">
        <v>19</v>
      </c>
      <c r="G4" s="95" t="s">
        <v>1</v>
      </c>
      <c r="L4" s="95" t="s">
        <v>19</v>
      </c>
      <c r="M4" s="95" t="s">
        <v>1</v>
      </c>
      <c r="O4" s="95" t="s">
        <v>19</v>
      </c>
      <c r="P4" s="95" t="s">
        <v>1</v>
      </c>
      <c r="R4" s="95" t="s">
        <v>19</v>
      </c>
      <c r="S4" s="95" t="s">
        <v>1</v>
      </c>
      <c r="T4" s="49"/>
    </row>
    <row r="5" spans="1:39" x14ac:dyDescent="0.2">
      <c r="A5" s="7" t="s">
        <v>62</v>
      </c>
      <c r="B5" s="51">
        <v>23.45</v>
      </c>
      <c r="C5" s="49">
        <f>RADIANS(B5)</f>
        <v>0.40927970959267029</v>
      </c>
      <c r="F5" s="50">
        <f>B5/2</f>
        <v>11.725</v>
      </c>
      <c r="G5" s="49">
        <f>RADIANS(F5)</f>
        <v>0.20463985479633515</v>
      </c>
      <c r="I5" s="49">
        <v>0</v>
      </c>
      <c r="J5" s="49">
        <f>RADIANS(I5)</f>
        <v>0</v>
      </c>
      <c r="L5" s="50">
        <f>-F5</f>
        <v>-11.725</v>
      </c>
      <c r="M5" s="49">
        <f>RADIANS(L5)</f>
        <v>-0.20463985479633515</v>
      </c>
      <c r="O5" s="49">
        <f>-B5</f>
        <v>-23.45</v>
      </c>
      <c r="P5" s="49">
        <f>RADIANS(O5)</f>
        <v>-0.40927970959267029</v>
      </c>
      <c r="R5" s="50">
        <f>IF(S3&lt;&gt;"",23.45*SIN(RADIANS(360*(S3+284)/365)),"")</f>
        <v>-12.785888283778254</v>
      </c>
      <c r="S5" s="49">
        <f>RADIANS(R5)</f>
        <v>-0.22315584834409763</v>
      </c>
      <c r="U5" s="94"/>
      <c r="V5" s="94"/>
      <c r="W5" s="49">
        <v>1</v>
      </c>
      <c r="X5" s="49">
        <v>17</v>
      </c>
      <c r="Y5" s="92"/>
      <c r="Z5" s="49">
        <v>7</v>
      </c>
      <c r="AA5" s="49">
        <v>198</v>
      </c>
    </row>
    <row r="6" spans="1:39" x14ac:dyDescent="0.2">
      <c r="A6" s="7" t="s">
        <v>6</v>
      </c>
      <c r="B6" s="103">
        <v>48.133333333333333</v>
      </c>
      <c r="C6" s="49">
        <f>RADIANS(B6)</f>
        <v>0.84008514662660394</v>
      </c>
      <c r="U6" s="93"/>
      <c r="W6" s="49">
        <v>2</v>
      </c>
      <c r="X6" s="49">
        <v>46</v>
      </c>
      <c r="Y6" s="92"/>
      <c r="Z6" s="49">
        <v>8</v>
      </c>
      <c r="AA6" s="49">
        <v>228</v>
      </c>
    </row>
    <row r="7" spans="1:39" x14ac:dyDescent="0.2">
      <c r="A7" s="91">
        <v>8.14</v>
      </c>
      <c r="B7" s="88"/>
      <c r="C7" s="87"/>
      <c r="D7" s="89" t="s">
        <v>0</v>
      </c>
      <c r="E7" s="90"/>
      <c r="F7" s="87"/>
      <c r="G7" s="87"/>
      <c r="J7" s="89" t="s">
        <v>3</v>
      </c>
      <c r="P7" s="89" t="s">
        <v>2</v>
      </c>
      <c r="R7" s="86"/>
      <c r="U7" s="88"/>
    </row>
    <row r="8" spans="1:39" x14ac:dyDescent="0.2">
      <c r="D8" s="100" t="s">
        <v>4</v>
      </c>
      <c r="E8" s="101" t="s">
        <v>5</v>
      </c>
      <c r="I8" s="87"/>
      <c r="R8" s="86"/>
      <c r="W8" s="74">
        <f>A10</f>
        <v>-120</v>
      </c>
      <c r="X8" s="49">
        <f>A25</f>
        <v>-105</v>
      </c>
      <c r="Y8" s="49">
        <f>A40</f>
        <v>-90</v>
      </c>
      <c r="Z8" s="49">
        <f>A55</f>
        <v>-75</v>
      </c>
      <c r="AA8" s="49">
        <f>A70</f>
        <v>-60</v>
      </c>
      <c r="AB8" s="49">
        <f>A85</f>
        <v>-45</v>
      </c>
      <c r="AC8" s="49">
        <f>A100</f>
        <v>-30</v>
      </c>
      <c r="AD8" s="49">
        <f>A115</f>
        <v>-15</v>
      </c>
      <c r="AE8" s="49">
        <f>A131</f>
        <v>1E-3</v>
      </c>
      <c r="AF8" s="49">
        <f>A146</f>
        <v>15</v>
      </c>
      <c r="AG8" s="49">
        <f>A161</f>
        <v>30</v>
      </c>
      <c r="AH8" s="49">
        <f>A176</f>
        <v>45</v>
      </c>
      <c r="AI8" s="49">
        <f>A191</f>
        <v>60</v>
      </c>
      <c r="AJ8" s="49">
        <f>A206</f>
        <v>75</v>
      </c>
      <c r="AK8" s="49">
        <f>A221</f>
        <v>90</v>
      </c>
      <c r="AL8" s="49">
        <f>A236</f>
        <v>105</v>
      </c>
      <c r="AM8" s="49">
        <f>A251</f>
        <v>120</v>
      </c>
    </row>
    <row r="9" spans="1:39" s="80" customFormat="1" ht="16.5" x14ac:dyDescent="0.3">
      <c r="A9" s="82" t="s">
        <v>60</v>
      </c>
      <c r="B9" s="82" t="s">
        <v>59</v>
      </c>
      <c r="C9" s="85" t="s">
        <v>58</v>
      </c>
      <c r="D9" s="85" t="s">
        <v>57</v>
      </c>
      <c r="E9" s="82" t="s">
        <v>56</v>
      </c>
      <c r="F9" s="85" t="s">
        <v>58</v>
      </c>
      <c r="G9" s="85" t="s">
        <v>57</v>
      </c>
      <c r="H9" s="82" t="s">
        <v>56</v>
      </c>
      <c r="I9" s="85" t="s">
        <v>58</v>
      </c>
      <c r="J9" s="85" t="s">
        <v>57</v>
      </c>
      <c r="K9" s="82" t="s">
        <v>56</v>
      </c>
      <c r="L9" s="85" t="s">
        <v>58</v>
      </c>
      <c r="M9" s="85" t="s">
        <v>57</v>
      </c>
      <c r="N9" s="82" t="s">
        <v>56</v>
      </c>
      <c r="O9" s="85" t="s">
        <v>58</v>
      </c>
      <c r="P9" s="85" t="s">
        <v>57</v>
      </c>
      <c r="Q9" s="82" t="s">
        <v>56</v>
      </c>
      <c r="R9" s="85" t="s">
        <v>58</v>
      </c>
      <c r="S9" s="84" t="s">
        <v>57</v>
      </c>
      <c r="T9" s="84" t="s">
        <v>56</v>
      </c>
      <c r="U9" s="83"/>
      <c r="V9" s="82" t="s">
        <v>55</v>
      </c>
      <c r="W9" s="81" t="s">
        <v>54</v>
      </c>
      <c r="X9" s="81" t="s">
        <v>53</v>
      </c>
      <c r="Y9" s="81" t="s">
        <v>52</v>
      </c>
      <c r="Z9" s="81" t="s">
        <v>51</v>
      </c>
      <c r="AA9" s="81" t="s">
        <v>50</v>
      </c>
      <c r="AB9" s="81" t="s">
        <v>49</v>
      </c>
      <c r="AC9" s="81" t="s">
        <v>48</v>
      </c>
      <c r="AD9" s="81" t="s">
        <v>47</v>
      </c>
      <c r="AE9" s="81" t="s">
        <v>46</v>
      </c>
      <c r="AF9" s="81" t="s">
        <v>45</v>
      </c>
      <c r="AG9" s="81" t="s">
        <v>44</v>
      </c>
      <c r="AH9" s="81" t="s">
        <v>43</v>
      </c>
      <c r="AI9" s="81" t="s">
        <v>42</v>
      </c>
      <c r="AJ9" s="81" t="s">
        <v>41</v>
      </c>
      <c r="AK9" s="81" t="s">
        <v>40</v>
      </c>
      <c r="AL9" s="81" t="s">
        <v>39</v>
      </c>
      <c r="AM9" s="81" t="s">
        <v>38</v>
      </c>
    </row>
    <row r="10" spans="1:39" s="54" customFormat="1" x14ac:dyDescent="0.2">
      <c r="A10" s="63">
        <v>-120</v>
      </c>
      <c r="B10" s="62">
        <f t="shared" ref="B10:B73" si="0">RADIANS(A10)</f>
        <v>-2.0943951023931953</v>
      </c>
      <c r="C10" s="60">
        <f t="shared" ref="C10:C73" si="1">DEGREES(ACOS(SIN(C$5)*SIN($C$6)+COS(C$5)*COS($C$6)*COS($B10)))</f>
        <v>90.560725926502386</v>
      </c>
      <c r="D10" s="60">
        <f t="shared" ref="D10:D73" si="2">90-C10</f>
        <v>-0.56072592650238562</v>
      </c>
      <c r="E10" s="61">
        <f t="shared" ref="E10:E41" si="3">DEGREES(-ACOS((SIN(RADIANS(D10))*SIN($C$6)-SIN(C$5))/(COS(RADIANS(D10))*COS($C$6))))</f>
        <v>-127.38850858750132</v>
      </c>
      <c r="F10" s="60">
        <f t="shared" ref="F10:F73" si="4">DEGREES(ACOS(SIN(G$5)*SIN($C$6)+COS(G$5)*COS($C$6)*COS($B10)))</f>
        <v>100.10210817555337</v>
      </c>
      <c r="G10" s="60">
        <f t="shared" ref="G10:G73" si="5">90-F10</f>
        <v>-10.102108175553369</v>
      </c>
      <c r="H10" s="61">
        <f t="shared" ref="H10:H41" si="6">DEGREES(-ACOS((SIN(RADIANS(G10))*SIN($C$6)-SIN(G$5))/(COS(RADIANS(G10))*COS($C$6))))</f>
        <v>-120.53621166331894</v>
      </c>
      <c r="I10" s="60">
        <f t="shared" ref="I10:I73" si="7">DEGREES(ACOS(SIN(J$5)*SIN($C$6)+COS(J$5)*COS($C$6)*COS($B10)))</f>
        <v>109.4934873569146</v>
      </c>
      <c r="J10" s="60">
        <f t="shared" ref="J10:J73" si="8">90-I10</f>
        <v>-19.493487356914599</v>
      </c>
      <c r="K10" s="61">
        <f t="shared" ref="K10:K41" si="9">DEGREES(-ACOS((SIN(RADIANS(J10))*SIN($C$6)-SIN(J$5))/(COS(RADIANS(J10))*COS($C$6))))</f>
        <v>-113.26541836978299</v>
      </c>
      <c r="L10" s="60">
        <f t="shared" ref="L10:L73" si="10">DEGREES(ACOS(SIN(M$5)*SIN($C$6)+COS(M$5)*COS($C$6)*COS($B10)))</f>
        <v>118.5594700432308</v>
      </c>
      <c r="M10" s="60">
        <f t="shared" ref="M10:M73" si="11">90-L10</f>
        <v>-28.559470043230803</v>
      </c>
      <c r="N10" s="61">
        <f t="shared" ref="N10:N41" si="12">DEGREES(-ACOS((SIN(RADIANS(M10))*SIN($C$6)-SIN(M$5))/(COS(RADIANS(M10))*COS($C$6))))</f>
        <v>-105.1100447582172</v>
      </c>
      <c r="O10" s="60">
        <f t="shared" ref="O10:O73" si="13">DEGREES(ACOS(SIN(P$5)*SIN($C$6)+COS(P$5)*COS($C$6)*COS($B10)))</f>
        <v>127.0485120941976</v>
      </c>
      <c r="P10" s="60">
        <f t="shared" ref="P10:P73" si="14">90-O10</f>
        <v>-37.048512094197605</v>
      </c>
      <c r="Q10" s="61">
        <f t="shared" ref="Q10:Q41" si="15">DEGREES(-ACOS((SIN(RADIANS(P10))*SIN($C$6)-SIN(P$5))/(COS(RADIANS(P10))*COS($C$6))))</f>
        <v>-95.464596845714027</v>
      </c>
      <c r="R10" s="60">
        <f t="shared" ref="R10:R73" si="16">DEGREES(ACOS(SIN(S$5)*SIN($C$6)+COS(S$5)*COS($C$6)*COS($B10)))</f>
        <v>119.35593309155176</v>
      </c>
      <c r="S10" s="59">
        <f t="shared" ref="S10:S73" si="17">90-R10</f>
        <v>-29.355933091551762</v>
      </c>
      <c r="T10" s="58">
        <f t="shared" ref="T10:T41" si="18">DEGREES(-ACOS((SIN(RADIANS(S10))*SIN($C$6)-SIN(S$5))/(COS(RADIANS(S10))*COS($C$6))))</f>
        <v>-104.30908777201385</v>
      </c>
      <c r="U10" s="79"/>
      <c r="V10" s="78">
        <f>E10</f>
        <v>-127.38850858750132</v>
      </c>
      <c r="W10" s="55">
        <f>D10</f>
        <v>-0.56072592650238562</v>
      </c>
    </row>
    <row r="11" spans="1:39" x14ac:dyDescent="0.2">
      <c r="A11" s="67">
        <v>-119</v>
      </c>
      <c r="B11" s="66">
        <f t="shared" si="0"/>
        <v>-2.0769418098732522</v>
      </c>
      <c r="C11" s="64">
        <f t="shared" si="1"/>
        <v>90.02782464766338</v>
      </c>
      <c r="D11" s="64">
        <f t="shared" si="2"/>
        <v>-2.7824647663379665E-2</v>
      </c>
      <c r="E11" s="65">
        <f t="shared" si="3"/>
        <v>-126.64173655955932</v>
      </c>
      <c r="F11" s="64">
        <f t="shared" si="4"/>
        <v>99.524912826961852</v>
      </c>
      <c r="G11" s="64">
        <f t="shared" si="5"/>
        <v>-9.5249128269618524</v>
      </c>
      <c r="H11" s="65">
        <f t="shared" si="6"/>
        <v>-119.73354686562868</v>
      </c>
      <c r="I11" s="64">
        <f t="shared" si="7"/>
        <v>108.8784562988975</v>
      </c>
      <c r="J11" s="64">
        <f t="shared" si="8"/>
        <v>-18.878456298897504</v>
      </c>
      <c r="K11" s="65">
        <f t="shared" si="9"/>
        <v>-112.43053767736758</v>
      </c>
      <c r="L11" s="64">
        <f t="shared" si="10"/>
        <v>117.91389704524778</v>
      </c>
      <c r="M11" s="64">
        <f t="shared" si="11"/>
        <v>-27.913897045247779</v>
      </c>
      <c r="N11" s="65">
        <f t="shared" si="12"/>
        <v>-104.27443438167397</v>
      </c>
      <c r="O11" s="64">
        <f t="shared" si="13"/>
        <v>126.38372871880466</v>
      </c>
      <c r="P11" s="64">
        <f t="shared" si="14"/>
        <v>-36.383728718804662</v>
      </c>
      <c r="Q11" s="65">
        <f t="shared" si="15"/>
        <v>-94.675898043203972</v>
      </c>
      <c r="R11" s="64">
        <f t="shared" si="16"/>
        <v>118.70805977535002</v>
      </c>
      <c r="S11" s="59">
        <f t="shared" si="17"/>
        <v>-28.708059775350023</v>
      </c>
      <c r="T11" s="58">
        <f t="shared" si="18"/>
        <v>-103.47543919531185</v>
      </c>
      <c r="U11" s="76"/>
      <c r="V11" s="77">
        <f>H10</f>
        <v>-120.53621166331894</v>
      </c>
      <c r="W11" s="50">
        <f>G11</f>
        <v>-9.5249128269618524</v>
      </c>
    </row>
    <row r="12" spans="1:39" x14ac:dyDescent="0.2">
      <c r="A12" s="67">
        <v>-118</v>
      </c>
      <c r="B12" s="66">
        <f t="shared" si="0"/>
        <v>-2.0594885173533091</v>
      </c>
      <c r="C12" s="64">
        <f t="shared" si="1"/>
        <v>89.489744904354694</v>
      </c>
      <c r="D12" s="64">
        <f t="shared" si="2"/>
        <v>0.5102550956453058</v>
      </c>
      <c r="E12" s="65">
        <f t="shared" si="3"/>
        <v>-125.8986904391157</v>
      </c>
      <c r="F12" s="64">
        <f t="shared" si="4"/>
        <v>98.943094180714695</v>
      </c>
      <c r="G12" s="64">
        <f t="shared" si="5"/>
        <v>-8.9430941807146951</v>
      </c>
      <c r="H12" s="65">
        <f t="shared" si="6"/>
        <v>-118.9356823179883</v>
      </c>
      <c r="I12" s="64">
        <f t="shared" si="7"/>
        <v>108.25972807696607</v>
      </c>
      <c r="J12" s="64">
        <f t="shared" si="8"/>
        <v>-18.25972807696607</v>
      </c>
      <c r="K12" s="65">
        <f t="shared" si="9"/>
        <v>-111.60178202013229</v>
      </c>
      <c r="L12" s="64">
        <f t="shared" si="10"/>
        <v>117.26593448035086</v>
      </c>
      <c r="M12" s="64">
        <f t="shared" si="11"/>
        <v>-27.265934480350865</v>
      </c>
      <c r="N12" s="65">
        <f t="shared" si="12"/>
        <v>-103.44617865123361</v>
      </c>
      <c r="O12" s="64">
        <f t="shared" si="13"/>
        <v>125.7181998131078</v>
      </c>
      <c r="P12" s="64">
        <f t="shared" si="14"/>
        <v>-35.718199813107802</v>
      </c>
      <c r="Q12" s="65">
        <f t="shared" si="15"/>
        <v>-93.894888229590194</v>
      </c>
      <c r="R12" s="64">
        <f t="shared" si="16"/>
        <v>118.05793351579653</v>
      </c>
      <c r="S12" s="59">
        <f t="shared" si="17"/>
        <v>-28.057933515796535</v>
      </c>
      <c r="T12" s="58">
        <f t="shared" si="18"/>
        <v>-102.64922964719592</v>
      </c>
      <c r="U12" s="76"/>
      <c r="V12" s="77">
        <f>K10</f>
        <v>-113.26541836978299</v>
      </c>
      <c r="W12" s="50">
        <f>J10</f>
        <v>-19.493487356914599</v>
      </c>
    </row>
    <row r="13" spans="1:39" x14ac:dyDescent="0.2">
      <c r="A13" s="67">
        <v>-117</v>
      </c>
      <c r="B13" s="66">
        <f t="shared" si="0"/>
        <v>-2.0420352248333655</v>
      </c>
      <c r="C13" s="64">
        <f t="shared" si="1"/>
        <v>88.946602542164896</v>
      </c>
      <c r="D13" s="64">
        <f t="shared" si="2"/>
        <v>1.0533974578351035</v>
      </c>
      <c r="E13" s="65">
        <f t="shared" si="3"/>
        <v>-125.15927460898261</v>
      </c>
      <c r="F13" s="64">
        <f t="shared" si="4"/>
        <v>98.356792028445597</v>
      </c>
      <c r="G13" s="64">
        <f t="shared" si="5"/>
        <v>-8.3567920284455965</v>
      </c>
      <c r="H13" s="65">
        <f t="shared" si="6"/>
        <v>-118.14246706202684</v>
      </c>
      <c r="I13" s="64">
        <f t="shared" si="7"/>
        <v>107.63745841010851</v>
      </c>
      <c r="J13" s="64">
        <f t="shared" si="8"/>
        <v>-17.637458410108508</v>
      </c>
      <c r="K13" s="65">
        <f t="shared" si="9"/>
        <v>-110.77892784664718</v>
      </c>
      <c r="L13" s="64">
        <f t="shared" si="10"/>
        <v>116.61573785511489</v>
      </c>
      <c r="M13" s="64">
        <f t="shared" si="11"/>
        <v>-26.615737855114887</v>
      </c>
      <c r="N13" s="65">
        <f t="shared" si="12"/>
        <v>-102.62496377426923</v>
      </c>
      <c r="O13" s="64">
        <f t="shared" si="13"/>
        <v>125.05205558513008</v>
      </c>
      <c r="P13" s="64">
        <f t="shared" si="14"/>
        <v>-35.052055585130077</v>
      </c>
      <c r="Q13" s="65">
        <f t="shared" si="15"/>
        <v>-93.121174244862218</v>
      </c>
      <c r="R13" s="64">
        <f t="shared" si="16"/>
        <v>117.40570867735609</v>
      </c>
      <c r="S13" s="59">
        <f t="shared" si="17"/>
        <v>-27.405708677356088</v>
      </c>
      <c r="T13" s="58">
        <f t="shared" si="18"/>
        <v>-101.8301368702065</v>
      </c>
      <c r="U13" s="76"/>
      <c r="V13" s="77">
        <f>N10</f>
        <v>-105.1100447582172</v>
      </c>
      <c r="W13" s="50">
        <f>M10</f>
        <v>-28.559470043230803</v>
      </c>
    </row>
    <row r="14" spans="1:39" x14ac:dyDescent="0.2">
      <c r="A14" s="67">
        <v>-116</v>
      </c>
      <c r="B14" s="66">
        <f t="shared" si="0"/>
        <v>-2.0245819323134224</v>
      </c>
      <c r="C14" s="64">
        <f t="shared" si="1"/>
        <v>88.398512262024056</v>
      </c>
      <c r="D14" s="64">
        <f t="shared" si="2"/>
        <v>1.601487737975944</v>
      </c>
      <c r="E14" s="65">
        <f t="shared" si="3"/>
        <v>-124.42339057782527</v>
      </c>
      <c r="F14" s="64">
        <f t="shared" si="4"/>
        <v>97.766144195706374</v>
      </c>
      <c r="G14" s="64">
        <f t="shared" si="5"/>
        <v>-7.7661441957063744</v>
      </c>
      <c r="H14" s="65">
        <f t="shared" si="6"/>
        <v>-117.35374806481784</v>
      </c>
      <c r="I14" s="64">
        <f t="shared" si="7"/>
        <v>107.01180003217156</v>
      </c>
      <c r="J14" s="64">
        <f t="shared" si="8"/>
        <v>-17.011800032171564</v>
      </c>
      <c r="K14" s="65">
        <f t="shared" si="9"/>
        <v>-109.96175217784196</v>
      </c>
      <c r="L14" s="64">
        <f t="shared" si="10"/>
        <v>115.96345885219942</v>
      </c>
      <c r="M14" s="64">
        <f t="shared" si="11"/>
        <v>-25.963458852199423</v>
      </c>
      <c r="N14" s="65">
        <f t="shared" si="12"/>
        <v>-101.81048193746304</v>
      </c>
      <c r="O14" s="64">
        <f t="shared" si="13"/>
        <v>124.3854225979622</v>
      </c>
      <c r="P14" s="64">
        <f t="shared" si="14"/>
        <v>-34.385422597962204</v>
      </c>
      <c r="Q14" s="65">
        <f t="shared" si="15"/>
        <v>-92.354376740627856</v>
      </c>
      <c r="R14" s="64">
        <f t="shared" si="16"/>
        <v>116.75153575895409</v>
      </c>
      <c r="S14" s="59">
        <f t="shared" si="17"/>
        <v>-26.751535758954091</v>
      </c>
      <c r="T14" s="58">
        <f t="shared" si="18"/>
        <v>-101.01784522692914</v>
      </c>
      <c r="U14" s="76"/>
      <c r="V14" s="77">
        <f>Q10</f>
        <v>-95.464596845714027</v>
      </c>
      <c r="W14" s="50">
        <f>P10</f>
        <v>-37.048512094197605</v>
      </c>
    </row>
    <row r="15" spans="1:39" x14ac:dyDescent="0.2">
      <c r="A15" s="67">
        <v>-115</v>
      </c>
      <c r="B15" s="66">
        <f t="shared" si="0"/>
        <v>-2.0071286397934789</v>
      </c>
      <c r="C15" s="64">
        <f t="shared" si="1"/>
        <v>87.845587616273235</v>
      </c>
      <c r="D15" s="64">
        <f t="shared" si="2"/>
        <v>2.1544123837267648</v>
      </c>
      <c r="E15" s="65">
        <f t="shared" si="3"/>
        <v>-123.69093705775794</v>
      </c>
      <c r="F15" s="64">
        <f t="shared" si="4"/>
        <v>97.171286577872777</v>
      </c>
      <c r="G15" s="64">
        <f t="shared" si="5"/>
        <v>-7.1712865778727775</v>
      </c>
      <c r="H15" s="65">
        <f t="shared" si="6"/>
        <v>-116.56937034798774</v>
      </c>
      <c r="I15" s="64">
        <f t="shared" si="7"/>
        <v>106.3829027960293</v>
      </c>
      <c r="J15" s="64">
        <f t="shared" si="8"/>
        <v>-16.382902796029299</v>
      </c>
      <c r="K15" s="65">
        <f t="shared" si="9"/>
        <v>-109.15003273017567</v>
      </c>
      <c r="L15" s="64">
        <f t="shared" si="10"/>
        <v>115.30924552464539</v>
      </c>
      <c r="M15" s="64">
        <f t="shared" si="11"/>
        <v>-25.309245524645391</v>
      </c>
      <c r="N15" s="65">
        <f t="shared" si="12"/>
        <v>-101.00243122735525</v>
      </c>
      <c r="O15" s="64">
        <f t="shared" si="13"/>
        <v>123.71842402076064</v>
      </c>
      <c r="P15" s="64">
        <f t="shared" si="14"/>
        <v>-33.718424020760636</v>
      </c>
      <c r="Q15" s="65">
        <f t="shared" si="15"/>
        <v>-91.594129550962265</v>
      </c>
      <c r="R15" s="64">
        <f t="shared" si="16"/>
        <v>116.09556159619045</v>
      </c>
      <c r="S15" s="59">
        <f t="shared" si="17"/>
        <v>-26.09556159619045</v>
      </c>
      <c r="T15" s="58">
        <f t="shared" si="18"/>
        <v>-100.21204558613024</v>
      </c>
      <c r="U15" s="76"/>
      <c r="V15" s="66"/>
    </row>
    <row r="16" spans="1:39" x14ac:dyDescent="0.2">
      <c r="A16" s="67">
        <v>-114</v>
      </c>
      <c r="B16" s="66">
        <f t="shared" si="0"/>
        <v>-1.9896753472735358</v>
      </c>
      <c r="C16" s="64">
        <f t="shared" si="1"/>
        <v>87.287941008333704</v>
      </c>
      <c r="D16" s="64">
        <f t="shared" si="2"/>
        <v>2.7120589916662965</v>
      </c>
      <c r="E16" s="65">
        <f t="shared" si="3"/>
        <v>-122.96181003479269</v>
      </c>
      <c r="F16" s="64">
        <f t="shared" si="4"/>
        <v>96.572353179936187</v>
      </c>
      <c r="G16" s="64">
        <f t="shared" si="5"/>
        <v>-6.5723531799361865</v>
      </c>
      <c r="H16" s="65">
        <f t="shared" si="6"/>
        <v>-115.78917710404004</v>
      </c>
      <c r="I16" s="64">
        <f t="shared" si="7"/>
        <v>105.7509137793361</v>
      </c>
      <c r="J16" s="64">
        <f t="shared" si="8"/>
        <v>-15.750913779336102</v>
      </c>
      <c r="K16" s="65">
        <f t="shared" si="9"/>
        <v>-108.34354801966731</v>
      </c>
      <c r="L16" s="64">
        <f t="shared" si="10"/>
        <v>114.65324248524945</v>
      </c>
      <c r="M16" s="64">
        <f t="shared" si="11"/>
        <v>-24.65324248524945</v>
      </c>
      <c r="N16" s="65">
        <f t="shared" si="12"/>
        <v>-100.2005155352429</v>
      </c>
      <c r="O16" s="64">
        <f t="shared" si="13"/>
        <v>123.0511798662824</v>
      </c>
      <c r="P16" s="64">
        <f t="shared" si="14"/>
        <v>-33.051179866282396</v>
      </c>
      <c r="Q16" s="65">
        <f t="shared" si="15"/>
        <v>-90.84007908617842</v>
      </c>
      <c r="R16" s="64">
        <f t="shared" si="16"/>
        <v>115.43792955784416</v>
      </c>
      <c r="S16" s="59">
        <f t="shared" si="17"/>
        <v>-25.437929557844157</v>
      </c>
      <c r="T16" s="58">
        <f t="shared" si="18"/>
        <v>-99.412435194848371</v>
      </c>
      <c r="U16" s="76"/>
      <c r="V16" s="66"/>
    </row>
    <row r="17" spans="1:27" x14ac:dyDescent="0.2">
      <c r="A17" s="67">
        <v>-113</v>
      </c>
      <c r="B17" s="66">
        <f t="shared" si="0"/>
        <v>-1.9722220547535925</v>
      </c>
      <c r="C17" s="64">
        <f t="shared" si="1"/>
        <v>86.725683695837517</v>
      </c>
      <c r="D17" s="64">
        <f t="shared" si="2"/>
        <v>3.2743163041624825</v>
      </c>
      <c r="E17" s="65">
        <f t="shared" si="3"/>
        <v>-122.23590283203805</v>
      </c>
      <c r="F17" s="64">
        <f t="shared" si="4"/>
        <v>95.969476159911054</v>
      </c>
      <c r="G17" s="64">
        <f t="shared" si="5"/>
        <v>-5.9694761599110535</v>
      </c>
      <c r="H17" s="65">
        <f t="shared" si="6"/>
        <v>-115.0130098002507</v>
      </c>
      <c r="I17" s="64">
        <f t="shared" si="7"/>
        <v>105.11597739153427</v>
      </c>
      <c r="J17" s="64">
        <f t="shared" si="8"/>
        <v>-15.115977391534273</v>
      </c>
      <c r="K17" s="65">
        <f t="shared" si="9"/>
        <v>-107.54207744811796</v>
      </c>
      <c r="L17" s="64">
        <f t="shared" si="10"/>
        <v>113.99559109098692</v>
      </c>
      <c r="M17" s="64">
        <f t="shared" si="11"/>
        <v>-23.99559109098692</v>
      </c>
      <c r="N17" s="65">
        <f t="shared" si="12"/>
        <v>-99.404444448714656</v>
      </c>
      <c r="O17" s="64">
        <f t="shared" si="13"/>
        <v>122.38380721575999</v>
      </c>
      <c r="P17" s="64">
        <f t="shared" si="14"/>
        <v>-32.383807215759987</v>
      </c>
      <c r="Q17" s="65">
        <f t="shared" si="15"/>
        <v>-90.091883749708032</v>
      </c>
      <c r="R17" s="64">
        <f t="shared" si="16"/>
        <v>114.77877973669551</v>
      </c>
      <c r="S17" s="59">
        <f t="shared" si="17"/>
        <v>-24.778779736695512</v>
      </c>
      <c r="T17" s="58">
        <f t="shared" si="18"/>
        <v>-98.618717538736391</v>
      </c>
      <c r="U17" s="76"/>
      <c r="V17" s="66"/>
    </row>
    <row r="18" spans="1:27" x14ac:dyDescent="0.2">
      <c r="A18" s="67">
        <v>-112</v>
      </c>
      <c r="B18" s="66">
        <f t="shared" si="0"/>
        <v>-1.9547687622336491</v>
      </c>
      <c r="C18" s="64">
        <f t="shared" si="1"/>
        <v>86.158925797086908</v>
      </c>
      <c r="D18" s="64">
        <f t="shared" si="2"/>
        <v>3.8410742029130915</v>
      </c>
      <c r="E18" s="65">
        <f t="shared" si="3"/>
        <v>-121.51310616555779</v>
      </c>
      <c r="F18" s="64">
        <f t="shared" si="4"/>
        <v>95.362785875607614</v>
      </c>
      <c r="G18" s="64">
        <f t="shared" si="5"/>
        <v>-5.3627858756076137</v>
      </c>
      <c r="H18" s="65">
        <f t="shared" si="6"/>
        <v>-114.24070827050133</v>
      </c>
      <c r="I18" s="64">
        <f t="shared" si="7"/>
        <v>104.47823548182436</v>
      </c>
      <c r="J18" s="64">
        <f t="shared" si="8"/>
        <v>-14.478235481824356</v>
      </c>
      <c r="K18" s="65">
        <f t="shared" si="9"/>
        <v>-106.74540137279354</v>
      </c>
      <c r="L18" s="64">
        <f t="shared" si="10"/>
        <v>113.3364296224903</v>
      </c>
      <c r="M18" s="64">
        <f t="shared" si="11"/>
        <v>-23.3364296224903</v>
      </c>
      <c r="N18" s="65">
        <f t="shared" si="12"/>
        <v>-98.61393313188384</v>
      </c>
      <c r="O18" s="64">
        <f t="shared" si="13"/>
        <v>121.71642043187961</v>
      </c>
      <c r="P18" s="64">
        <f t="shared" si="14"/>
        <v>-31.716420431879612</v>
      </c>
      <c r="Q18" s="65">
        <f t="shared" si="15"/>
        <v>-89.349213378085096</v>
      </c>
      <c r="R18" s="64">
        <f t="shared" si="16"/>
        <v>114.11824913472584</v>
      </c>
      <c r="S18" s="59">
        <f t="shared" si="17"/>
        <v>-24.118249134725843</v>
      </c>
      <c r="T18" s="58">
        <f t="shared" si="18"/>
        <v>-97.830602192709662</v>
      </c>
      <c r="U18" s="76"/>
      <c r="V18" s="66"/>
    </row>
    <row r="19" spans="1:27" x14ac:dyDescent="0.2">
      <c r="A19" s="67">
        <v>-111</v>
      </c>
      <c r="B19" s="66">
        <f t="shared" si="0"/>
        <v>-1.9373154697137058</v>
      </c>
      <c r="C19" s="64">
        <f t="shared" si="1"/>
        <v>85.587776300715973</v>
      </c>
      <c r="D19" s="64">
        <f t="shared" si="2"/>
        <v>4.4122236992840271</v>
      </c>
      <c r="E19" s="65">
        <f t="shared" si="3"/>
        <v>-120.79330819281071</v>
      </c>
      <c r="F19" s="64">
        <f t="shared" si="4"/>
        <v>94.752410934536954</v>
      </c>
      <c r="G19" s="64">
        <f t="shared" si="5"/>
        <v>-4.7524109345369538</v>
      </c>
      <c r="H19" s="65">
        <f t="shared" si="6"/>
        <v>-113.47211079541812</v>
      </c>
      <c r="I19" s="64">
        <f t="shared" si="7"/>
        <v>103.83782744784091</v>
      </c>
      <c r="J19" s="64">
        <f t="shared" si="8"/>
        <v>-13.837827447840908</v>
      </c>
      <c r="K19" s="65">
        <f t="shared" si="9"/>
        <v>-105.95330116077545</v>
      </c>
      <c r="L19" s="64">
        <f t="shared" si="10"/>
        <v>112.67589345861936</v>
      </c>
      <c r="M19" s="64">
        <f t="shared" si="11"/>
        <v>-22.675893458619356</v>
      </c>
      <c r="N19" s="65">
        <f t="shared" si="12"/>
        <v>-97.828702196173225</v>
      </c>
      <c r="O19" s="64">
        <f t="shared" si="13"/>
        <v>121.04913136058623</v>
      </c>
      <c r="P19" s="64">
        <f t="shared" si="14"/>
        <v>-31.04913136058623</v>
      </c>
      <c r="Q19" s="65">
        <f t="shared" si="15"/>
        <v>-88.611748703864819</v>
      </c>
      <c r="R19" s="64">
        <f t="shared" si="16"/>
        <v>113.45647184278083</v>
      </c>
      <c r="S19" s="59">
        <f t="shared" si="17"/>
        <v>-23.456471842780829</v>
      </c>
      <c r="T19" s="58">
        <f t="shared" si="18"/>
        <v>-97.047804663736798</v>
      </c>
      <c r="U19" s="76"/>
      <c r="V19" s="66"/>
    </row>
    <row r="20" spans="1:27" x14ac:dyDescent="0.2">
      <c r="A20" s="67">
        <v>-110</v>
      </c>
      <c r="B20" s="66">
        <f t="shared" si="0"/>
        <v>-1.9198621771937625</v>
      </c>
      <c r="C20" s="64">
        <f t="shared" si="1"/>
        <v>85.012343078434256</v>
      </c>
      <c r="D20" s="64">
        <f t="shared" si="2"/>
        <v>4.987656921565744</v>
      </c>
      <c r="E20" s="65">
        <f t="shared" si="3"/>
        <v>-120.07639455360064</v>
      </c>
      <c r="F20" s="64">
        <f t="shared" si="4"/>
        <v>94.138478246734351</v>
      </c>
      <c r="G20" s="64">
        <f t="shared" si="5"/>
        <v>-4.1384782467343513</v>
      </c>
      <c r="H20" s="65">
        <f t="shared" si="6"/>
        <v>-112.70705417118737</v>
      </c>
      <c r="I20" s="64">
        <f t="shared" si="7"/>
        <v>103.19489034480888</v>
      </c>
      <c r="J20" s="64">
        <f t="shared" si="8"/>
        <v>-13.194890344808883</v>
      </c>
      <c r="K20" s="65">
        <f t="shared" si="9"/>
        <v>-105.16555922912441</v>
      </c>
      <c r="L20" s="64">
        <f t="shared" si="10"/>
        <v>112.0141152461847</v>
      </c>
      <c r="M20" s="64">
        <f t="shared" si="11"/>
        <v>-22.014115246184701</v>
      </c>
      <c r="N20" s="65">
        <f t="shared" si="12"/>
        <v>-97.048477563317519</v>
      </c>
      <c r="O20" s="64">
        <f t="shared" si="13"/>
        <v>120.38204952239953</v>
      </c>
      <c r="P20" s="64">
        <f t="shared" si="14"/>
        <v>-30.382049522399527</v>
      </c>
      <c r="Q20" s="65">
        <f t="shared" si="15"/>
        <v>-87.879180841181395</v>
      </c>
      <c r="R20" s="64">
        <f t="shared" si="16"/>
        <v>112.79357921480572</v>
      </c>
      <c r="S20" s="59">
        <f t="shared" si="17"/>
        <v>-22.793579214805717</v>
      </c>
      <c r="T20" s="58">
        <f t="shared" si="18"/>
        <v>-96.270046227409921</v>
      </c>
      <c r="U20" s="66"/>
      <c r="V20" s="53"/>
    </row>
    <row r="21" spans="1:27" x14ac:dyDescent="0.2">
      <c r="A21" s="67">
        <v>-109</v>
      </c>
      <c r="B21" s="66">
        <f t="shared" si="0"/>
        <v>-1.9024088846738192</v>
      </c>
      <c r="C21" s="64">
        <f t="shared" si="1"/>
        <v>84.432732900739467</v>
      </c>
      <c r="D21" s="64">
        <f t="shared" si="2"/>
        <v>5.5672670992605333</v>
      </c>
      <c r="E21" s="65">
        <f t="shared" si="3"/>
        <v>-119.36224840347282</v>
      </c>
      <c r="F21" s="64">
        <f t="shared" si="4"/>
        <v>93.521113080304275</v>
      </c>
      <c r="G21" s="64">
        <f t="shared" si="5"/>
        <v>-3.5211130803042749</v>
      </c>
      <c r="H21" s="65">
        <f t="shared" si="6"/>
        <v>-111.9453737674169</v>
      </c>
      <c r="I21" s="64">
        <f t="shared" si="7"/>
        <v>102.54955899498576</v>
      </c>
      <c r="J21" s="64">
        <f t="shared" si="8"/>
        <v>-12.549558994985759</v>
      </c>
      <c r="K21" s="65">
        <f t="shared" si="9"/>
        <v>-104.38195907194186</v>
      </c>
      <c r="L21" s="64">
        <f t="shared" si="10"/>
        <v>111.35122506490798</v>
      </c>
      <c r="M21" s="64">
        <f t="shared" si="11"/>
        <v>-21.351225064907979</v>
      </c>
      <c r="N21" s="65">
        <f t="shared" si="12"/>
        <v>-96.272990322076168</v>
      </c>
      <c r="O21" s="64">
        <f t="shared" si="13"/>
        <v>119.71528229388691</v>
      </c>
      <c r="P21" s="64">
        <f t="shared" si="14"/>
        <v>-29.715282293886915</v>
      </c>
      <c r="Q21" s="65">
        <f t="shared" si="15"/>
        <v>-87.151210793547449</v>
      </c>
      <c r="R21" s="64">
        <f t="shared" si="16"/>
        <v>112.12970003677893</v>
      </c>
      <c r="S21" s="59">
        <f t="shared" si="17"/>
        <v>-22.129700036778928</v>
      </c>
      <c r="T21" s="58">
        <f t="shared" si="18"/>
        <v>-95.497053759751864</v>
      </c>
      <c r="U21" s="66"/>
      <c r="V21" s="53"/>
    </row>
    <row r="22" spans="1:27" x14ac:dyDescent="0.2">
      <c r="A22" s="67">
        <v>-108</v>
      </c>
      <c r="B22" s="66">
        <f t="shared" si="0"/>
        <v>-1.8849555921538759</v>
      </c>
      <c r="C22" s="64">
        <f t="shared" si="1"/>
        <v>83.849051455493054</v>
      </c>
      <c r="D22" s="64">
        <f t="shared" si="2"/>
        <v>6.1509485445069458</v>
      </c>
      <c r="E22" s="65">
        <f t="shared" si="3"/>
        <v>-118.65075043949679</v>
      </c>
      <c r="F22" s="64">
        <f t="shared" si="4"/>
        <v>92.900439119508135</v>
      </c>
      <c r="G22" s="64">
        <f t="shared" si="5"/>
        <v>-2.9004391195081354</v>
      </c>
      <c r="H22" s="65">
        <f t="shared" si="6"/>
        <v>-111.18690357440764</v>
      </c>
      <c r="I22" s="64">
        <f t="shared" si="7"/>
        <v>101.90196609722182</v>
      </c>
      <c r="J22" s="64">
        <f t="shared" si="8"/>
        <v>-11.901966097221816</v>
      </c>
      <c r="K22" s="65">
        <f t="shared" si="9"/>
        <v>-103.60228527535293</v>
      </c>
      <c r="L22" s="64">
        <f t="shared" si="10"/>
        <v>110.68735058771833</v>
      </c>
      <c r="M22" s="64">
        <f t="shared" si="11"/>
        <v>-20.687350587718328</v>
      </c>
      <c r="N22" s="65">
        <f t="shared" si="12"/>
        <v>-95.501976579992075</v>
      </c>
      <c r="O22" s="64">
        <f t="shared" si="13"/>
        <v>119.0489350799016</v>
      </c>
      <c r="P22" s="64">
        <f t="shared" si="14"/>
        <v>-29.048935079901597</v>
      </c>
      <c r="Q22" s="65">
        <f t="shared" si="15"/>
        <v>-86.427548983417395</v>
      </c>
      <c r="R22" s="64">
        <f t="shared" si="16"/>
        <v>111.46496069048474</v>
      </c>
      <c r="S22" s="59">
        <f t="shared" si="17"/>
        <v>-21.464960690484745</v>
      </c>
      <c r="T22" s="58">
        <f t="shared" si="18"/>
        <v>-94.728559565554448</v>
      </c>
      <c r="U22" s="66"/>
      <c r="V22" s="53"/>
    </row>
    <row r="23" spans="1:27" x14ac:dyDescent="0.2">
      <c r="A23" s="67">
        <v>-107</v>
      </c>
      <c r="B23" s="66">
        <f t="shared" si="0"/>
        <v>-1.8675022996339325</v>
      </c>
      <c r="C23" s="64">
        <f t="shared" si="1"/>
        <v>83.261403369260535</v>
      </c>
      <c r="D23" s="64">
        <f t="shared" si="2"/>
        <v>6.7385966307394654</v>
      </c>
      <c r="E23" s="65">
        <f t="shared" si="3"/>
        <v>-117.94177891837896</v>
      </c>
      <c r="F23" s="64">
        <f t="shared" si="4"/>
        <v>92.276578525232281</v>
      </c>
      <c r="G23" s="64">
        <f t="shared" si="5"/>
        <v>-2.2765785252322814</v>
      </c>
      <c r="H23" s="65">
        <f t="shared" si="6"/>
        <v>-110.43147624019461</v>
      </c>
      <c r="I23" s="64">
        <f t="shared" si="7"/>
        <v>101.25224233649661</v>
      </c>
      <c r="J23" s="64">
        <f t="shared" si="8"/>
        <v>-11.252242336496607</v>
      </c>
      <c r="K23" s="65">
        <f t="shared" si="9"/>
        <v>-102.8263235213772</v>
      </c>
      <c r="L23" s="64">
        <f t="shared" si="10"/>
        <v>110.02261723650041</v>
      </c>
      <c r="M23" s="64">
        <f t="shared" si="11"/>
        <v>-20.022617236500409</v>
      </c>
      <c r="N23" s="65">
        <f t="shared" si="12"/>
        <v>-94.73517731139053</v>
      </c>
      <c r="O23" s="64">
        <f t="shared" si="13"/>
        <v>118.38311147715834</v>
      </c>
      <c r="P23" s="64">
        <f t="shared" si="14"/>
        <v>-28.383111477158337</v>
      </c>
      <c r="Q23" s="65">
        <f t="shared" si="15"/>
        <v>-85.707914802978053</v>
      </c>
      <c r="R23" s="64">
        <f t="shared" si="16"/>
        <v>110.79948531227727</v>
      </c>
      <c r="S23" s="59">
        <f t="shared" si="17"/>
        <v>-20.79948531227727</v>
      </c>
      <c r="T23" s="58">
        <f t="shared" si="18"/>
        <v>-93.964301204395269</v>
      </c>
      <c r="U23" s="66"/>
      <c r="V23" s="53"/>
    </row>
    <row r="24" spans="1:27" x14ac:dyDescent="0.2">
      <c r="A24" s="67">
        <v>-106</v>
      </c>
      <c r="B24" s="66">
        <f t="shared" si="0"/>
        <v>-1.8500490071139892</v>
      </c>
      <c r="C24" s="64">
        <f t="shared" si="1"/>
        <v>82.669892231326102</v>
      </c>
      <c r="D24" s="64">
        <f t="shared" si="2"/>
        <v>7.3301077686738978</v>
      </c>
      <c r="E24" s="65">
        <f t="shared" si="3"/>
        <v>-117.23520966684802</v>
      </c>
      <c r="F24" s="64">
        <f t="shared" si="4"/>
        <v>91.649651997690938</v>
      </c>
      <c r="G24" s="64">
        <f t="shared" si="5"/>
        <v>-1.6496519976909383</v>
      </c>
      <c r="H24" s="65">
        <f t="shared" si="6"/>
        <v>-109.67892309770824</v>
      </c>
      <c r="I24" s="64">
        <f t="shared" si="7"/>
        <v>100.60051649331267</v>
      </c>
      <c r="J24" s="64">
        <f t="shared" si="8"/>
        <v>-10.600516493312668</v>
      </c>
      <c r="K24" s="65">
        <f t="shared" si="9"/>
        <v>-102.05386058159665</v>
      </c>
      <c r="L24" s="64">
        <f t="shared" si="10"/>
        <v>109.35714833341922</v>
      </c>
      <c r="M24" s="64">
        <f t="shared" si="11"/>
        <v>-19.357148333419218</v>
      </c>
      <c r="N24" s="65">
        <f t="shared" si="12"/>
        <v>-93.972338202682991</v>
      </c>
      <c r="O24" s="64">
        <f t="shared" si="13"/>
        <v>117.71791342968477</v>
      </c>
      <c r="P24" s="64">
        <f t="shared" si="14"/>
        <v>-27.717913429684771</v>
      </c>
      <c r="Q24" s="65">
        <f t="shared" si="15"/>
        <v>-84.992036185585349</v>
      </c>
      <c r="R24" s="64">
        <f t="shared" si="16"/>
        <v>110.13339594699603</v>
      </c>
      <c r="S24" s="59">
        <f t="shared" si="17"/>
        <v>-20.133395946996032</v>
      </c>
      <c r="T24" s="58">
        <f t="shared" si="18"/>
        <v>-93.204021315348371</v>
      </c>
      <c r="U24" s="66"/>
      <c r="V24" s="53"/>
    </row>
    <row r="25" spans="1:27" s="54" customFormat="1" x14ac:dyDescent="0.2">
      <c r="A25" s="63">
        <v>-105</v>
      </c>
      <c r="B25" s="62">
        <f t="shared" si="0"/>
        <v>-1.8325957145940461</v>
      </c>
      <c r="C25" s="60">
        <f t="shared" si="1"/>
        <v>82.074620620299271</v>
      </c>
      <c r="D25" s="60">
        <f t="shared" si="2"/>
        <v>7.925379379700729</v>
      </c>
      <c r="E25" s="61">
        <f t="shared" si="3"/>
        <v>-116.53091608425655</v>
      </c>
      <c r="F25" s="60">
        <f t="shared" si="4"/>
        <v>91.019778841234057</v>
      </c>
      <c r="G25" s="60">
        <f t="shared" si="5"/>
        <v>-1.0197788412340572</v>
      </c>
      <c r="H25" s="61">
        <f t="shared" si="6"/>
        <v>-108.92907418239781</v>
      </c>
      <c r="I25" s="60">
        <f t="shared" si="7"/>
        <v>99.946915552849006</v>
      </c>
      <c r="J25" s="60">
        <f t="shared" si="8"/>
        <v>-9.9469155528490063</v>
      </c>
      <c r="K25" s="61">
        <f t="shared" si="9"/>
        <v>-101.28468430147653</v>
      </c>
      <c r="L25" s="60">
        <f t="shared" si="10"/>
        <v>108.69106524795673</v>
      </c>
      <c r="M25" s="60">
        <f t="shared" si="11"/>
        <v>-18.691065247956729</v>
      </c>
      <c r="N25" s="61">
        <f t="shared" si="12"/>
        <v>-93.213209495925128</v>
      </c>
      <c r="O25" s="60">
        <f t="shared" si="13"/>
        <v>117.05344137665232</v>
      </c>
      <c r="P25" s="60">
        <f t="shared" si="14"/>
        <v>-27.053441376652316</v>
      </c>
      <c r="Q25" s="61">
        <f t="shared" si="15"/>
        <v>-84.279649197235912</v>
      </c>
      <c r="R25" s="60">
        <f t="shared" si="16"/>
        <v>109.4668126972</v>
      </c>
      <c r="S25" s="59">
        <f t="shared" si="17"/>
        <v>-19.466812697199998</v>
      </c>
      <c r="T25" s="58">
        <f t="shared" si="18"/>
        <v>-92.447467441285966</v>
      </c>
      <c r="U25" s="62"/>
      <c r="V25" s="56">
        <f>E25</f>
        <v>-116.53091608425655</v>
      </c>
      <c r="W25" s="55"/>
      <c r="X25" s="55">
        <f>D25</f>
        <v>7.925379379700729</v>
      </c>
      <c r="Y25" s="55"/>
      <c r="Z25" s="55"/>
      <c r="AA25" s="55"/>
    </row>
    <row r="26" spans="1:27" x14ac:dyDescent="0.2">
      <c r="A26" s="67">
        <v>-104</v>
      </c>
      <c r="B26" s="66">
        <f t="shared" si="0"/>
        <v>-1.8151424220741028</v>
      </c>
      <c r="C26" s="64">
        <f t="shared" si="1"/>
        <v>81.475690133239496</v>
      </c>
      <c r="D26" s="64">
        <f t="shared" si="2"/>
        <v>8.524309866760504</v>
      </c>
      <c r="E26" s="65">
        <f t="shared" si="3"/>
        <v>-115.82876913733779</v>
      </c>
      <c r="F26" s="64">
        <f t="shared" si="4"/>
        <v>90.387077031145964</v>
      </c>
      <c r="G26" s="64">
        <f t="shared" si="5"/>
        <v>-0.3870770311459637</v>
      </c>
      <c r="H26" s="65">
        <f t="shared" si="6"/>
        <v>-108.18175824064853</v>
      </c>
      <c r="I26" s="64">
        <f t="shared" si="7"/>
        <v>99.291564813796143</v>
      </c>
      <c r="J26" s="64">
        <f t="shared" si="8"/>
        <v>-9.2915648137961426</v>
      </c>
      <c r="K26" s="65">
        <f t="shared" si="9"/>
        <v>-100.51858357614276</v>
      </c>
      <c r="L26" s="64">
        <f t="shared" si="10"/>
        <v>108.02448753980147</v>
      </c>
      <c r="M26" s="64">
        <f t="shared" si="11"/>
        <v>-18.02448753980147</v>
      </c>
      <c r="N26" s="65">
        <f t="shared" si="12"/>
        <v>-92.457545831474064</v>
      </c>
      <c r="O26" s="64">
        <f t="shared" si="13"/>
        <v>116.38979439305935</v>
      </c>
      <c r="P26" s="64">
        <f t="shared" si="14"/>
        <v>-26.389794393059347</v>
      </c>
      <c r="Q26" s="65">
        <f t="shared" si="15"/>
        <v>-83.570497647442849</v>
      </c>
      <c r="R26" s="64">
        <f t="shared" si="16"/>
        <v>108.79985386789083</v>
      </c>
      <c r="S26" s="59">
        <f t="shared" si="17"/>
        <v>-18.799853867890832</v>
      </c>
      <c r="T26" s="58">
        <f t="shared" si="18"/>
        <v>-91.694391853562976</v>
      </c>
      <c r="U26" s="66"/>
      <c r="V26" s="53">
        <f>H25</f>
        <v>-108.92907418239781</v>
      </c>
      <c r="X26" s="50">
        <f>G25</f>
        <v>-1.0197788412340572</v>
      </c>
    </row>
    <row r="27" spans="1:27" x14ac:dyDescent="0.2">
      <c r="A27" s="67">
        <v>-103</v>
      </c>
      <c r="B27" s="66">
        <f t="shared" si="0"/>
        <v>-1.7976891295541595</v>
      </c>
      <c r="C27" s="64">
        <f t="shared" si="1"/>
        <v>80.873201417233815</v>
      </c>
      <c r="D27" s="64">
        <f t="shared" si="2"/>
        <v>9.1267985827661846</v>
      </c>
      <c r="E27" s="65">
        <f t="shared" si="3"/>
        <v>-115.12863734705395</v>
      </c>
      <c r="F27" s="64">
        <f t="shared" si="4"/>
        <v>89.751663282335358</v>
      </c>
      <c r="G27" s="64">
        <f t="shared" si="5"/>
        <v>0.24833671766464249</v>
      </c>
      <c r="H27" s="65">
        <f t="shared" si="6"/>
        <v>-107.43680272931215</v>
      </c>
      <c r="I27" s="64">
        <f t="shared" si="7"/>
        <v>98.634587996812485</v>
      </c>
      <c r="J27" s="64">
        <f t="shared" si="8"/>
        <v>-8.6345879968124848</v>
      </c>
      <c r="K27" s="65">
        <f t="shared" si="9"/>
        <v>-99.755348318371446</v>
      </c>
      <c r="L27" s="64">
        <f t="shared" si="10"/>
        <v>107.3575330977369</v>
      </c>
      <c r="M27" s="64">
        <f t="shared" si="11"/>
        <v>-17.357533097736905</v>
      </c>
      <c r="N27" s="65">
        <f t="shared" si="12"/>
        <v>-91.705106090496116</v>
      </c>
      <c r="O27" s="64">
        <f t="shared" si="13"/>
        <v>115.7270703237086</v>
      </c>
      <c r="P27" s="64">
        <f t="shared" si="14"/>
        <v>-25.727070323708602</v>
      </c>
      <c r="Q27" s="65">
        <f t="shared" si="15"/>
        <v>-82.864332718875616</v>
      </c>
      <c r="R27" s="64">
        <f t="shared" si="16"/>
        <v>108.13263610689818</v>
      </c>
      <c r="S27" s="59">
        <f t="shared" si="17"/>
        <v>-18.132636106898175</v>
      </c>
      <c r="T27" s="58">
        <f t="shared" si="18"/>
        <v>-90.944551377781494</v>
      </c>
      <c r="U27" s="66"/>
      <c r="V27" s="53">
        <f>K25</f>
        <v>-101.28468430147653</v>
      </c>
      <c r="X27" s="50">
        <f>J25</f>
        <v>-9.9469155528490063</v>
      </c>
    </row>
    <row r="28" spans="1:27" x14ac:dyDescent="0.2">
      <c r="A28" s="67">
        <v>-102</v>
      </c>
      <c r="B28" s="66">
        <f t="shared" si="0"/>
        <v>-1.7802358370342162</v>
      </c>
      <c r="C28" s="64">
        <f t="shared" si="1"/>
        <v>80.267254203370811</v>
      </c>
      <c r="D28" s="64">
        <f t="shared" si="2"/>
        <v>9.7327457966291888</v>
      </c>
      <c r="E28" s="65">
        <f t="shared" si="3"/>
        <v>-114.43038676746509</v>
      </c>
      <c r="F28" s="64">
        <f t="shared" si="4"/>
        <v>89.113653119831937</v>
      </c>
      <c r="G28" s="64">
        <f t="shared" si="5"/>
        <v>0.88634688016806251</v>
      </c>
      <c r="H28" s="65">
        <f t="shared" si="6"/>
        <v>-106.69403380665962</v>
      </c>
      <c r="I28" s="64">
        <f t="shared" si="7"/>
        <v>97.976107352557293</v>
      </c>
      <c r="J28" s="64">
        <f t="shared" si="8"/>
        <v>-7.9761073525572925</v>
      </c>
      <c r="K28" s="65">
        <f t="shared" si="9"/>
        <v>-98.994769419498553</v>
      </c>
      <c r="L28" s="64">
        <f t="shared" si="10"/>
        <v>106.69031827467752</v>
      </c>
      <c r="M28" s="64">
        <f t="shared" si="11"/>
        <v>-16.690318274677523</v>
      </c>
      <c r="N28" s="65">
        <f t="shared" si="12"/>
        <v>-90.955653237993104</v>
      </c>
      <c r="O28" s="64">
        <f t="shared" si="13"/>
        <v>115.06536591089181</v>
      </c>
      <c r="P28" s="64">
        <f t="shared" si="14"/>
        <v>-25.065365910891813</v>
      </c>
      <c r="Q28" s="65">
        <f t="shared" si="15"/>
        <v>-82.160912615122101</v>
      </c>
      <c r="R28" s="64">
        <f t="shared" si="16"/>
        <v>107.46527454110046</v>
      </c>
      <c r="S28" s="59">
        <f t="shared" si="17"/>
        <v>-17.465274541100456</v>
      </c>
      <c r="T28" s="58">
        <f t="shared" si="18"/>
        <v>-90.19770722124872</v>
      </c>
      <c r="U28" s="75"/>
      <c r="V28" s="53">
        <f>N25</f>
        <v>-93.213209495925128</v>
      </c>
      <c r="X28" s="50">
        <f>M25</f>
        <v>-18.691065247956729</v>
      </c>
      <c r="Y28" s="50"/>
      <c r="Z28" s="50"/>
      <c r="AA28" s="50"/>
    </row>
    <row r="29" spans="1:27" x14ac:dyDescent="0.2">
      <c r="A29" s="67">
        <v>-101</v>
      </c>
      <c r="B29" s="66">
        <f t="shared" si="0"/>
        <v>-1.7627825445142729</v>
      </c>
      <c r="C29" s="64">
        <f t="shared" si="1"/>
        <v>79.657947343063285</v>
      </c>
      <c r="D29" s="64">
        <f t="shared" si="2"/>
        <v>10.342052656936715</v>
      </c>
      <c r="E29" s="65">
        <f t="shared" si="3"/>
        <v>-113.73388095654092</v>
      </c>
      <c r="F29" s="64">
        <f t="shared" si="4"/>
        <v>88.473160951018315</v>
      </c>
      <c r="G29" s="64">
        <f t="shared" si="5"/>
        <v>1.5268390489816852</v>
      </c>
      <c r="H29" s="65">
        <f t="shared" si="6"/>
        <v>-105.95327631505113</v>
      </c>
      <c r="I29" s="64">
        <f t="shared" si="7"/>
        <v>97.316243769270841</v>
      </c>
      <c r="J29" s="64">
        <f t="shared" si="8"/>
        <v>-7.3162437692708409</v>
      </c>
      <c r="K29" s="65">
        <f t="shared" si="9"/>
        <v>-98.23663870391583</v>
      </c>
      <c r="L29" s="64">
        <f t="shared" si="10"/>
        <v>106.02295801900289</v>
      </c>
      <c r="M29" s="64">
        <f t="shared" si="11"/>
        <v>-16.022958019002886</v>
      </c>
      <c r="N29" s="65">
        <f t="shared" si="12"/>
        <v>-90.208954166940899</v>
      </c>
      <c r="O29" s="64">
        <f t="shared" si="13"/>
        <v>114.40477691616721</v>
      </c>
      <c r="P29" s="64">
        <f t="shared" si="14"/>
        <v>-24.404776916167208</v>
      </c>
      <c r="Q29" s="65">
        <f t="shared" si="15"/>
        <v>-81.46000222593544</v>
      </c>
      <c r="R29" s="64">
        <f t="shared" si="16"/>
        <v>106.79788290865444</v>
      </c>
      <c r="S29" s="59">
        <f t="shared" si="17"/>
        <v>-16.797882908654444</v>
      </c>
      <c r="T29" s="58">
        <f t="shared" si="18"/>
        <v>-89.453624802668472</v>
      </c>
      <c r="U29" s="66"/>
      <c r="V29" s="53">
        <f>Q25</f>
        <v>-84.279649197235912</v>
      </c>
      <c r="X29" s="50">
        <f>P25</f>
        <v>-27.053441376652316</v>
      </c>
    </row>
    <row r="30" spans="1:27" x14ac:dyDescent="0.2">
      <c r="A30" s="67">
        <v>-100</v>
      </c>
      <c r="B30" s="66">
        <f t="shared" si="0"/>
        <v>-1.7453292519943295</v>
      </c>
      <c r="C30" s="64">
        <f t="shared" si="1"/>
        <v>79.0453788466817</v>
      </c>
      <c r="D30" s="64">
        <f t="shared" si="2"/>
        <v>10.9546211533183</v>
      </c>
      <c r="E30" s="65">
        <f t="shared" si="3"/>
        <v>-113.03898093882904</v>
      </c>
      <c r="F30" s="64">
        <f t="shared" si="4"/>
        <v>87.830300139539972</v>
      </c>
      <c r="G30" s="64">
        <f t="shared" si="5"/>
        <v>2.1696998604600282</v>
      </c>
      <c r="H30" s="65">
        <f t="shared" si="6"/>
        <v>-105.21435375560725</v>
      </c>
      <c r="I30" s="64">
        <f t="shared" si="7"/>
        <v>96.655116879884673</v>
      </c>
      <c r="J30" s="64">
        <f t="shared" si="8"/>
        <v>-6.6551168798846732</v>
      </c>
      <c r="K30" s="65">
        <f t="shared" si="9"/>
        <v>-97.480748877777614</v>
      </c>
      <c r="L30" s="64">
        <f t="shared" si="10"/>
        <v>105.3555660023402</v>
      </c>
      <c r="M30" s="64">
        <f t="shared" si="11"/>
        <v>-15.355566002340197</v>
      </c>
      <c r="N30" s="65">
        <f t="shared" si="12"/>
        <v>-89.464779544067724</v>
      </c>
      <c r="O30" s="64">
        <f t="shared" si="13"/>
        <v>113.74539823658873</v>
      </c>
      <c r="P30" s="64">
        <f t="shared" si="14"/>
        <v>-23.745398236588727</v>
      </c>
      <c r="Q30" s="65">
        <f t="shared" si="15"/>
        <v>-80.761372809337246</v>
      </c>
      <c r="R30" s="64">
        <f t="shared" si="16"/>
        <v>106.13057368740415</v>
      </c>
      <c r="S30" s="59">
        <f t="shared" si="17"/>
        <v>-16.130573687404151</v>
      </c>
      <c r="T30" s="58">
        <f t="shared" si="18"/>
        <v>-88.712073584540235</v>
      </c>
      <c r="U30" s="66"/>
      <c r="V30" s="53"/>
      <c r="X30" s="50"/>
    </row>
    <row r="31" spans="1:27" x14ac:dyDescent="0.2">
      <c r="A31" s="67">
        <v>-99</v>
      </c>
      <c r="B31" s="66">
        <f t="shared" si="0"/>
        <v>-1.7278759594743862</v>
      </c>
      <c r="C31" s="64">
        <f t="shared" si="1"/>
        <v>78.429645924469241</v>
      </c>
      <c r="D31" s="64">
        <f t="shared" si="2"/>
        <v>11.570354075530759</v>
      </c>
      <c r="E31" s="65">
        <f t="shared" si="3"/>
        <v>-112.34554515988289</v>
      </c>
      <c r="F31" s="64">
        <f t="shared" si="4"/>
        <v>87.185183080848404</v>
      </c>
      <c r="G31" s="64">
        <f t="shared" si="5"/>
        <v>2.8148169191515962</v>
      </c>
      <c r="H31" s="65">
        <f t="shared" si="6"/>
        <v>-104.47708825515134</v>
      </c>
      <c r="I31" s="64">
        <f t="shared" si="7"/>
        <v>95.992845168657254</v>
      </c>
      <c r="J31" s="64">
        <f t="shared" si="8"/>
        <v>-5.9928451686572544</v>
      </c>
      <c r="K31" s="65">
        <f t="shared" si="9"/>
        <v>-96.726893472506376</v>
      </c>
      <c r="L31" s="64">
        <f t="shared" si="10"/>
        <v>104.6882547439448</v>
      </c>
      <c r="M31" s="64">
        <f t="shared" si="11"/>
        <v>-14.688254743944796</v>
      </c>
      <c r="N31" s="65">
        <f t="shared" si="12"/>
        <v>-88.722903657741711</v>
      </c>
      <c r="O31" s="64">
        <f t="shared" si="13"/>
        <v>113.08732401572179</v>
      </c>
      <c r="P31" s="64">
        <f t="shared" si="14"/>
        <v>-23.087324015721791</v>
      </c>
      <c r="Q31" s="65">
        <f t="shared" si="15"/>
        <v>-80.0648016899639</v>
      </c>
      <c r="R31" s="64">
        <f t="shared" si="16"/>
        <v>105.46345821963756</v>
      </c>
      <c r="S31" s="59">
        <f t="shared" si="17"/>
        <v>-15.463458219637559</v>
      </c>
      <c r="T31" s="58">
        <f t="shared" si="18"/>
        <v>-87.972826908683302</v>
      </c>
      <c r="U31" s="66"/>
      <c r="V31" s="53"/>
      <c r="X31" s="50"/>
      <c r="Y31" s="50"/>
      <c r="Z31" s="50"/>
      <c r="AA31" s="50"/>
    </row>
    <row r="32" spans="1:27" x14ac:dyDescent="0.2">
      <c r="A32" s="67">
        <v>-98</v>
      </c>
      <c r="B32" s="66">
        <f t="shared" si="0"/>
        <v>-1.7104226669544429</v>
      </c>
      <c r="C32" s="64">
        <f t="shared" si="1"/>
        <v>77.81084502971909</v>
      </c>
      <c r="D32" s="64">
        <f t="shared" si="2"/>
        <v>12.18915497028091</v>
      </c>
      <c r="E32" s="65">
        <f t="shared" si="3"/>
        <v>-111.65342943234077</v>
      </c>
      <c r="F32" s="64">
        <f t="shared" si="4"/>
        <v>86.537921279345042</v>
      </c>
      <c r="G32" s="64">
        <f t="shared" si="5"/>
        <v>3.4620787206549579</v>
      </c>
      <c r="H32" s="65">
        <f t="shared" si="6"/>
        <v>-103.7413005256813</v>
      </c>
      <c r="I32" s="64">
        <f t="shared" si="7"/>
        <v>95.329546077340609</v>
      </c>
      <c r="J32" s="64">
        <f t="shared" si="8"/>
        <v>-5.3295460773406091</v>
      </c>
      <c r="K32" s="65">
        <f t="shared" si="9"/>
        <v>-95.974866783650128</v>
      </c>
      <c r="L32" s="64">
        <f t="shared" si="10"/>
        <v>104.02113573182611</v>
      </c>
      <c r="M32" s="64">
        <f t="shared" si="11"/>
        <v>-14.021135731826107</v>
      </c>
      <c r="N32" s="65">
        <f t="shared" si="12"/>
        <v>-87.983104268385972</v>
      </c>
      <c r="O32" s="64">
        <f t="shared" si="13"/>
        <v>112.43064774975581</v>
      </c>
      <c r="P32" s="64">
        <f t="shared" si="14"/>
        <v>-22.430647749755806</v>
      </c>
      <c r="Q32" s="65">
        <f t="shared" si="15"/>
        <v>-79.370071973058629</v>
      </c>
      <c r="R32" s="64">
        <f t="shared" si="16"/>
        <v>104.79664683335528</v>
      </c>
      <c r="S32" s="59">
        <f t="shared" si="17"/>
        <v>-14.796646833355283</v>
      </c>
      <c r="T32" s="58">
        <f t="shared" si="18"/>
        <v>-87.235661835252913</v>
      </c>
      <c r="U32" s="66"/>
      <c r="V32" s="53"/>
      <c r="X32" s="50"/>
    </row>
    <row r="33" spans="1:27" x14ac:dyDescent="0.2">
      <c r="A33" s="67">
        <v>-97</v>
      </c>
      <c r="B33" s="66">
        <f t="shared" si="0"/>
        <v>-1.6929693744344996</v>
      </c>
      <c r="C33" s="64">
        <f t="shared" si="1"/>
        <v>77.189071904204539</v>
      </c>
      <c r="D33" s="64">
        <f t="shared" si="2"/>
        <v>12.810928095795461</v>
      </c>
      <c r="E33" s="65">
        <f t="shared" si="3"/>
        <v>-110.96248687353535</v>
      </c>
      <c r="F33" s="64">
        <f t="shared" si="4"/>
        <v>85.888625427106263</v>
      </c>
      <c r="G33" s="64">
        <f t="shared" si="5"/>
        <v>4.1113745728937374</v>
      </c>
      <c r="H33" s="65">
        <f t="shared" si="6"/>
        <v>-103.00680981661696</v>
      </c>
      <c r="I33" s="64">
        <f t="shared" si="7"/>
        <v>94.665336110892724</v>
      </c>
      <c r="J33" s="64">
        <f t="shared" si="8"/>
        <v>-4.6653361108927243</v>
      </c>
      <c r="K33" s="65">
        <f t="shared" si="9"/>
        <v>-95.224463805612999</v>
      </c>
      <c r="L33" s="64">
        <f t="shared" si="10"/>
        <v>103.35431954076385</v>
      </c>
      <c r="M33" s="64">
        <f t="shared" si="11"/>
        <v>-13.354319540763854</v>
      </c>
      <c r="N33" s="65">
        <f t="shared" si="12"/>
        <v>-87.245162461794507</v>
      </c>
      <c r="O33" s="64">
        <f t="shared" si="13"/>
        <v>111.7754623890019</v>
      </c>
      <c r="P33" s="64">
        <f t="shared" si="14"/>
        <v>-21.775462389001902</v>
      </c>
      <c r="Q33" s="65">
        <f t="shared" si="15"/>
        <v>-78.676972273532584</v>
      </c>
      <c r="R33" s="64">
        <f t="shared" si="16"/>
        <v>104.13024896021136</v>
      </c>
      <c r="S33" s="59">
        <f t="shared" si="17"/>
        <v>-14.130248960211361</v>
      </c>
      <c r="T33" s="58">
        <f t="shared" si="18"/>
        <v>-86.500358985572618</v>
      </c>
      <c r="U33" s="66"/>
      <c r="V33" s="53"/>
      <c r="X33" s="50"/>
    </row>
    <row r="34" spans="1:27" x14ac:dyDescent="0.2">
      <c r="A34" s="67">
        <v>-96</v>
      </c>
      <c r="B34" s="66">
        <f t="shared" si="0"/>
        <v>-1.6755160819145565</v>
      </c>
      <c r="C34" s="64">
        <f t="shared" si="1"/>
        <v>76.564421625862082</v>
      </c>
      <c r="D34" s="64">
        <f t="shared" si="2"/>
        <v>13.435578374137918</v>
      </c>
      <c r="E34" s="65">
        <f t="shared" si="3"/>
        <v>-110.27256783449837</v>
      </c>
      <c r="F34" s="64">
        <f t="shared" si="4"/>
        <v>85.237405484179973</v>
      </c>
      <c r="G34" s="64">
        <f t="shared" si="5"/>
        <v>4.7625945158200267</v>
      </c>
      <c r="H34" s="65">
        <f t="shared" si="6"/>
        <v>-102.27343386005684</v>
      </c>
      <c r="I34" s="64">
        <f t="shared" si="7"/>
        <v>94.000330942759291</v>
      </c>
      <c r="J34" s="64">
        <f t="shared" si="8"/>
        <v>-4.000330942759291</v>
      </c>
      <c r="K34" s="65">
        <f t="shared" si="9"/>
        <v>-94.475480162752646</v>
      </c>
      <c r="L34" s="64">
        <f t="shared" si="10"/>
        <v>102.68791594735561</v>
      </c>
      <c r="M34" s="64">
        <f t="shared" si="11"/>
        <v>-12.687915947355606</v>
      </c>
      <c r="N34" s="65">
        <f t="shared" si="12"/>
        <v>-86.508862505683652</v>
      </c>
      <c r="O34" s="64">
        <f t="shared" si="13"/>
        <v>111.12186043504288</v>
      </c>
      <c r="P34" s="64">
        <f t="shared" si="14"/>
        <v>-21.121860435042876</v>
      </c>
      <c r="Q34" s="65">
        <f t="shared" si="15"/>
        <v>-77.985296459539825</v>
      </c>
      <c r="R34" s="64">
        <f t="shared" si="16"/>
        <v>103.46437325028077</v>
      </c>
      <c r="S34" s="59">
        <f t="shared" si="17"/>
        <v>-13.464373250280772</v>
      </c>
      <c r="T34" s="58">
        <f t="shared" si="18"/>
        <v>-85.766702389069025</v>
      </c>
      <c r="U34" s="66"/>
      <c r="V34" s="53"/>
      <c r="X34" s="50"/>
      <c r="Y34" s="50"/>
      <c r="Z34" s="50"/>
      <c r="AA34" s="50"/>
    </row>
    <row r="35" spans="1:27" x14ac:dyDescent="0.2">
      <c r="A35" s="67">
        <v>-95</v>
      </c>
      <c r="B35" s="66">
        <f t="shared" si="0"/>
        <v>-1.6580627893946132</v>
      </c>
      <c r="C35" s="64">
        <f t="shared" si="1"/>
        <v>75.936988658737974</v>
      </c>
      <c r="D35" s="64">
        <f t="shared" si="2"/>
        <v>14.063011341262026</v>
      </c>
      <c r="E35" s="65">
        <f t="shared" si="3"/>
        <v>-109.58351982021017</v>
      </c>
      <c r="F35" s="64">
        <f t="shared" si="4"/>
        <v>84.584370760456849</v>
      </c>
      <c r="G35" s="64">
        <f t="shared" si="5"/>
        <v>5.4156292395431507</v>
      </c>
      <c r="H35" s="65">
        <f t="shared" si="6"/>
        <v>-101.54098880926769</v>
      </c>
      <c r="I35" s="64">
        <f t="shared" si="7"/>
        <v>93.334645519754915</v>
      </c>
      <c r="J35" s="64">
        <f t="shared" si="8"/>
        <v>-3.3346455197549147</v>
      </c>
      <c r="K35" s="65">
        <f t="shared" si="9"/>
        <v>-93.727712037311349</v>
      </c>
      <c r="L35" s="64">
        <f t="shared" si="10"/>
        <v>102.02203404223259</v>
      </c>
      <c r="M35" s="64">
        <f t="shared" si="11"/>
        <v>-12.02203404223259</v>
      </c>
      <c r="N35" s="65">
        <f t="shared" si="12"/>
        <v>-85.773991709780361</v>
      </c>
      <c r="O35" s="64">
        <f t="shared" si="13"/>
        <v>110.46993403378181</v>
      </c>
      <c r="P35" s="64">
        <f t="shared" si="14"/>
        <v>-20.469934033781811</v>
      </c>
      <c r="Q35" s="65">
        <f t="shared" si="15"/>
        <v>-77.294843410034005</v>
      </c>
      <c r="R35" s="64">
        <f t="shared" si="16"/>
        <v>102.79912768380272</v>
      </c>
      <c r="S35" s="59">
        <f t="shared" si="17"/>
        <v>-12.799127683802723</v>
      </c>
      <c r="T35" s="58">
        <f t="shared" si="18"/>
        <v>-85.034479334563798</v>
      </c>
      <c r="U35" s="66"/>
      <c r="V35" s="53"/>
      <c r="Y35" s="50"/>
    </row>
    <row r="36" spans="1:27" x14ac:dyDescent="0.2">
      <c r="A36" s="67">
        <v>-94</v>
      </c>
      <c r="B36" s="66">
        <f t="shared" si="0"/>
        <v>-1.6406094968746698</v>
      </c>
      <c r="C36" s="64">
        <f t="shared" si="1"/>
        <v>75.30686690521965</v>
      </c>
      <c r="D36" s="64">
        <f t="shared" si="2"/>
        <v>14.69313309478035</v>
      </c>
      <c r="E36" s="65">
        <f t="shared" si="3"/>
        <v>-108.89518740092839</v>
      </c>
      <c r="F36" s="64">
        <f t="shared" si="4"/>
        <v>83.929629999129105</v>
      </c>
      <c r="G36" s="64">
        <f t="shared" si="5"/>
        <v>6.070370000870895</v>
      </c>
      <c r="H36" s="65">
        <f t="shared" si="6"/>
        <v>-100.80928917062005</v>
      </c>
      <c r="I36" s="64">
        <f t="shared" si="7"/>
        <v>92.668394166581166</v>
      </c>
      <c r="J36" s="64">
        <f t="shared" si="8"/>
        <v>-2.6683941665811659</v>
      </c>
      <c r="K36" s="65">
        <f t="shared" si="9"/>
        <v>-92.980956094626336</v>
      </c>
      <c r="L36" s="64">
        <f t="shared" si="10"/>
        <v>101.35678233957577</v>
      </c>
      <c r="M36" s="64">
        <f t="shared" si="11"/>
        <v>-11.356782339575773</v>
      </c>
      <c r="N36" s="65">
        <f t="shared" si="12"/>
        <v>-85.040340289719651</v>
      </c>
      <c r="O36" s="64">
        <f t="shared" si="13"/>
        <v>109.8197750646171</v>
      </c>
      <c r="P36" s="64">
        <f t="shared" si="14"/>
        <v>-19.819775064617104</v>
      </c>
      <c r="Q36" s="65">
        <f t="shared" si="15"/>
        <v>-76.605416785799704</v>
      </c>
      <c r="R36" s="64">
        <f t="shared" si="16"/>
        <v>102.13461968004287</v>
      </c>
      <c r="S36" s="59">
        <f t="shared" si="17"/>
        <v>-12.134619680042874</v>
      </c>
      <c r="T36" s="58">
        <f t="shared" si="18"/>
        <v>-84.303480226150413</v>
      </c>
      <c r="U36" s="66"/>
      <c r="V36" s="53"/>
      <c r="Y36" s="50"/>
    </row>
    <row r="37" spans="1:27" x14ac:dyDescent="0.2">
      <c r="A37" s="67">
        <v>-93</v>
      </c>
      <c r="B37" s="66">
        <f t="shared" si="0"/>
        <v>-1.6231562043547265</v>
      </c>
      <c r="C37" s="64">
        <f t="shared" si="1"/>
        <v>74.674149760583035</v>
      </c>
      <c r="D37" s="64">
        <f t="shared" si="2"/>
        <v>15.325850239416965</v>
      </c>
      <c r="E37" s="65">
        <f t="shared" si="3"/>
        <v>-108.20741211441103</v>
      </c>
      <c r="F37" s="64">
        <f t="shared" si="4"/>
        <v>83.273291461760067</v>
      </c>
      <c r="G37" s="64">
        <f t="shared" si="5"/>
        <v>6.726708538239933</v>
      </c>
      <c r="H37" s="65">
        <f t="shared" si="6"/>
        <v>-100.07814772917305</v>
      </c>
      <c r="I37" s="64">
        <f t="shared" si="7"/>
        <v>92.001690690023096</v>
      </c>
      <c r="J37" s="64">
        <f t="shared" si="8"/>
        <v>-2.0016906900230964</v>
      </c>
      <c r="K37" s="65">
        <f t="shared" si="9"/>
        <v>-92.235009406043901</v>
      </c>
      <c r="L37" s="64">
        <f t="shared" si="10"/>
        <v>100.69226888405893</v>
      </c>
      <c r="M37" s="64">
        <f t="shared" si="11"/>
        <v>-10.692268884058933</v>
      </c>
      <c r="N37" s="65">
        <f t="shared" si="12"/>
        <v>-84.307701235000025</v>
      </c>
      <c r="O37" s="64">
        <f t="shared" si="13"/>
        <v>109.17147522595305</v>
      </c>
      <c r="P37" s="64">
        <f t="shared" si="14"/>
        <v>-19.171475225953046</v>
      </c>
      <c r="Q37" s="65">
        <f t="shared" si="15"/>
        <v>-75.916824813475344</v>
      </c>
      <c r="R37" s="64">
        <f t="shared" si="16"/>
        <v>101.47095620341068</v>
      </c>
      <c r="S37" s="59">
        <f t="shared" si="17"/>
        <v>-11.47095620341068</v>
      </c>
      <c r="T37" s="58">
        <f t="shared" si="18"/>
        <v>-83.573498443861027</v>
      </c>
      <c r="U37" s="66"/>
      <c r="V37" s="53"/>
      <c r="W37" s="49"/>
      <c r="X37" s="50"/>
      <c r="Y37" s="50"/>
      <c r="Z37" s="50"/>
      <c r="AA37" s="50"/>
    </row>
    <row r="38" spans="1:27" x14ac:dyDescent="0.2">
      <c r="A38" s="67">
        <v>-92</v>
      </c>
      <c r="B38" s="66">
        <f t="shared" si="0"/>
        <v>-1.6057029118347832</v>
      </c>
      <c r="C38" s="64">
        <f t="shared" si="1"/>
        <v>74.038930169898535</v>
      </c>
      <c r="D38" s="64">
        <f t="shared" si="2"/>
        <v>15.961069830101465</v>
      </c>
      <c r="E38" s="65">
        <f t="shared" si="3"/>
        <v>-107.5200323588321</v>
      </c>
      <c r="F38" s="64">
        <f t="shared" si="4"/>
        <v>82.615463014998255</v>
      </c>
      <c r="G38" s="64">
        <f t="shared" si="5"/>
        <v>7.3845369850017448</v>
      </c>
      <c r="H38" s="65">
        <f t="shared" si="6"/>
        <v>-99.347375468104431</v>
      </c>
      <c r="I38" s="64">
        <f t="shared" si="7"/>
        <v>91.334648482871629</v>
      </c>
      <c r="J38" s="64">
        <f t="shared" si="8"/>
        <v>-1.3346484828716285</v>
      </c>
      <c r="K38" s="65">
        <f t="shared" si="9"/>
        <v>-91.489669369946157</v>
      </c>
      <c r="L38" s="64">
        <f t="shared" si="10"/>
        <v>100.0286013553397</v>
      </c>
      <c r="M38" s="64">
        <f t="shared" si="11"/>
        <v>-10.028601355339703</v>
      </c>
      <c r="N38" s="65">
        <f t="shared" si="12"/>
        <v>-83.575870181225312</v>
      </c>
      <c r="O38" s="64">
        <f t="shared" si="13"/>
        <v>108.52512611723772</v>
      </c>
      <c r="P38" s="64">
        <f t="shared" si="14"/>
        <v>-18.525126117237718</v>
      </c>
      <c r="Q38" s="65">
        <f t="shared" si="15"/>
        <v>-75.228880082111075</v>
      </c>
      <c r="R38" s="64">
        <f t="shared" si="16"/>
        <v>100.80824386696111</v>
      </c>
      <c r="S38" s="59">
        <f t="shared" si="17"/>
        <v>-10.808243866961107</v>
      </c>
      <c r="T38" s="58">
        <f t="shared" si="18"/>
        <v>-82.844330209310002</v>
      </c>
      <c r="U38" s="66"/>
      <c r="V38" s="53"/>
      <c r="Y38" s="50"/>
    </row>
    <row r="39" spans="1:27" x14ac:dyDescent="0.2">
      <c r="A39" s="67">
        <v>-91</v>
      </c>
      <c r="B39" s="66">
        <f t="shared" si="0"/>
        <v>-1.5882496193148399</v>
      </c>
      <c r="C39" s="64">
        <f t="shared" si="1"/>
        <v>73.401300687349888</v>
      </c>
      <c r="D39" s="64">
        <f t="shared" si="2"/>
        <v>16.598699312650112</v>
      </c>
      <c r="E39" s="65">
        <f t="shared" si="3"/>
        <v>-106.83288327616863</v>
      </c>
      <c r="F39" s="64">
        <f t="shared" si="4"/>
        <v>81.956252218978776</v>
      </c>
      <c r="G39" s="64">
        <f t="shared" si="5"/>
        <v>8.0437477810212243</v>
      </c>
      <c r="H39" s="65">
        <f t="shared" si="6"/>
        <v>-98.61678148217392</v>
      </c>
      <c r="I39" s="64">
        <f t="shared" si="7"/>
        <v>90.66738062762164</v>
      </c>
      <c r="J39" s="64">
        <f t="shared" si="8"/>
        <v>-0.66738062762163963</v>
      </c>
      <c r="K39" s="65">
        <f t="shared" si="9"/>
        <v>-90.744733631283935</v>
      </c>
      <c r="L39" s="64">
        <f t="shared" si="10"/>
        <v>99.365887170213114</v>
      </c>
      <c r="M39" s="64">
        <f t="shared" si="11"/>
        <v>-9.3658871702131137</v>
      </c>
      <c r="N39" s="65">
        <f t="shared" si="12"/>
        <v>-82.844645286845619</v>
      </c>
      <c r="O39" s="64">
        <f t="shared" si="13"/>
        <v>107.88081931770343</v>
      </c>
      <c r="P39" s="64">
        <f t="shared" si="14"/>
        <v>-17.880819317703427</v>
      </c>
      <c r="Q39" s="65">
        <f t="shared" si="15"/>
        <v>-74.541399351829511</v>
      </c>
      <c r="R39" s="64">
        <f t="shared" si="16"/>
        <v>100.14658903340305</v>
      </c>
      <c r="S39" s="59">
        <f t="shared" si="17"/>
        <v>-10.146589033403046</v>
      </c>
      <c r="T39" s="58">
        <f t="shared" si="18"/>
        <v>-82.115774456486207</v>
      </c>
      <c r="U39" s="66"/>
      <c r="V39" s="53"/>
      <c r="Z39" s="50"/>
    </row>
    <row r="40" spans="1:27" s="54" customFormat="1" x14ac:dyDescent="0.2">
      <c r="A40" s="63">
        <v>-90</v>
      </c>
      <c r="B40" s="62">
        <f t="shared" si="0"/>
        <v>-1.5707963267948966</v>
      </c>
      <c r="C40" s="60">
        <f t="shared" si="1"/>
        <v>72.761353538030704</v>
      </c>
      <c r="D40" s="60">
        <f t="shared" si="2"/>
        <v>17.238646461969296</v>
      </c>
      <c r="E40" s="61">
        <f t="shared" si="3"/>
        <v>-106.1457966258162</v>
      </c>
      <c r="F40" s="60">
        <f t="shared" si="4"/>
        <v>81.295766417464307</v>
      </c>
      <c r="G40" s="60">
        <f t="shared" si="5"/>
        <v>8.7042335825356929</v>
      </c>
      <c r="H40" s="61">
        <f t="shared" si="6"/>
        <v>-97.886172885403653</v>
      </c>
      <c r="I40" s="60">
        <f t="shared" si="7"/>
        <v>90</v>
      </c>
      <c r="J40" s="60">
        <f t="shared" si="8"/>
        <v>0</v>
      </c>
      <c r="K40" s="61">
        <f t="shared" si="9"/>
        <v>-90</v>
      </c>
      <c r="L40" s="60">
        <f t="shared" si="10"/>
        <v>98.704233582535679</v>
      </c>
      <c r="M40" s="60">
        <f t="shared" si="11"/>
        <v>-8.7042335825356787</v>
      </c>
      <c r="N40" s="61">
        <f t="shared" si="12"/>
        <v>-82.113827114596333</v>
      </c>
      <c r="O40" s="60">
        <f t="shared" si="13"/>
        <v>107.23864646196928</v>
      </c>
      <c r="P40" s="60">
        <f t="shared" si="14"/>
        <v>-17.238646461969282</v>
      </c>
      <c r="Q40" s="61">
        <f t="shared" si="15"/>
        <v>-73.854203374183783</v>
      </c>
      <c r="R40" s="60">
        <f t="shared" si="16"/>
        <v>99.486097913728813</v>
      </c>
      <c r="S40" s="59">
        <f t="shared" si="17"/>
        <v>-9.4860979137288126</v>
      </c>
      <c r="T40" s="58">
        <f t="shared" si="18"/>
        <v>-81.387632707854976</v>
      </c>
      <c r="U40" s="62"/>
      <c r="V40" s="56">
        <f>E40</f>
        <v>-106.1457966258162</v>
      </c>
      <c r="X40" s="55"/>
      <c r="Y40" s="55">
        <f>D40</f>
        <v>17.238646461969296</v>
      </c>
      <c r="Z40" s="55"/>
      <c r="AA40" s="55"/>
    </row>
    <row r="41" spans="1:27" x14ac:dyDescent="0.2">
      <c r="A41" s="67">
        <v>-89</v>
      </c>
      <c r="B41" s="66">
        <f t="shared" si="0"/>
        <v>-1.5533430342749532</v>
      </c>
      <c r="C41" s="64">
        <f t="shared" si="1"/>
        <v>72.119180682296573</v>
      </c>
      <c r="D41" s="64">
        <f t="shared" si="2"/>
        <v>17.880819317703427</v>
      </c>
      <c r="E41" s="65">
        <f t="shared" si="3"/>
        <v>-105.45860064817049</v>
      </c>
      <c r="F41" s="64">
        <f t="shared" si="4"/>
        <v>80.634112829786886</v>
      </c>
      <c r="G41" s="64">
        <f t="shared" si="5"/>
        <v>9.3658871702131137</v>
      </c>
      <c r="H41" s="65">
        <f t="shared" si="6"/>
        <v>-97.155354713154381</v>
      </c>
      <c r="I41" s="64">
        <f t="shared" si="7"/>
        <v>89.332619372378346</v>
      </c>
      <c r="J41" s="64">
        <f t="shared" si="8"/>
        <v>0.66738062762165384</v>
      </c>
      <c r="K41" s="65">
        <f t="shared" si="9"/>
        <v>-89.25526636871605</v>
      </c>
      <c r="L41" s="64">
        <f t="shared" si="10"/>
        <v>98.04374778102121</v>
      </c>
      <c r="M41" s="64">
        <f t="shared" si="11"/>
        <v>-8.0437477810212101</v>
      </c>
      <c r="N41" s="65">
        <f t="shared" si="12"/>
        <v>-81.383218517826066</v>
      </c>
      <c r="O41" s="64">
        <f t="shared" si="13"/>
        <v>106.59869931265011</v>
      </c>
      <c r="P41" s="64">
        <f t="shared" si="14"/>
        <v>-16.598699312650112</v>
      </c>
      <c r="Q41" s="65">
        <f t="shared" si="15"/>
        <v>-73.16711672383137</v>
      </c>
      <c r="R41" s="64">
        <f t="shared" si="16"/>
        <v>98.826876663571042</v>
      </c>
      <c r="S41" s="59">
        <f t="shared" si="17"/>
        <v>-8.8268766635710421</v>
      </c>
      <c r="T41" s="58">
        <f t="shared" si="18"/>
        <v>-80.659708955921303</v>
      </c>
      <c r="U41" s="66"/>
      <c r="V41" s="53">
        <f>H40</f>
        <v>-97.886172885403653</v>
      </c>
      <c r="Y41" s="50">
        <f>G40</f>
        <v>8.7042335825356929</v>
      </c>
      <c r="Z41" s="50"/>
    </row>
    <row r="42" spans="1:27" x14ac:dyDescent="0.2">
      <c r="A42" s="67">
        <v>-88</v>
      </c>
      <c r="B42" s="66">
        <f t="shared" si="0"/>
        <v>-1.5358897417550099</v>
      </c>
      <c r="C42" s="64">
        <f t="shared" si="1"/>
        <v>71.474873882762282</v>
      </c>
      <c r="D42" s="64">
        <f t="shared" si="2"/>
        <v>18.525126117237718</v>
      </c>
      <c r="E42" s="65">
        <f t="shared" ref="E42:E73" si="19">DEGREES(-ACOS((SIN(RADIANS(D42))*SIN($C$6)-SIN(C$5))/(COS(RADIANS(D42))*COS($C$6))))</f>
        <v>-104.77111991788892</v>
      </c>
      <c r="F42" s="64">
        <f t="shared" si="4"/>
        <v>79.971398644660297</v>
      </c>
      <c r="G42" s="64">
        <f t="shared" si="5"/>
        <v>10.028601355339703</v>
      </c>
      <c r="H42" s="65">
        <f t="shared" ref="H42:H73" si="20">DEGREES(-ACOS((SIN(RADIANS(G42))*SIN($C$6)-SIN(G$5))/(COS(RADIANS(G42))*COS($C$6))))</f>
        <v>-96.424129818774688</v>
      </c>
      <c r="I42" s="64">
        <f t="shared" si="7"/>
        <v>88.665351517128371</v>
      </c>
      <c r="J42" s="64">
        <f t="shared" si="8"/>
        <v>1.3346484828716285</v>
      </c>
      <c r="K42" s="65">
        <f t="shared" ref="K42:K73" si="21">DEGREES(-ACOS((SIN(RADIANS(J42))*SIN($C$6)-SIN(J$5))/(COS(RADIANS(J42))*COS($C$6))))</f>
        <v>-88.510330630053843</v>
      </c>
      <c r="L42" s="64">
        <f t="shared" si="10"/>
        <v>97.384536985001745</v>
      </c>
      <c r="M42" s="64">
        <f t="shared" si="11"/>
        <v>-7.3845369850017448</v>
      </c>
      <c r="N42" s="65">
        <f t="shared" ref="N42:N73" si="22">DEGREES(-ACOS((SIN(RADIANS(M42))*SIN($C$6)-SIN(M$5))/(COS(RADIANS(M42))*COS($C$6))))</f>
        <v>-80.652624531895569</v>
      </c>
      <c r="O42" s="64">
        <f t="shared" si="13"/>
        <v>105.96106983010147</v>
      </c>
      <c r="P42" s="64">
        <f t="shared" si="14"/>
        <v>-15.961069830101465</v>
      </c>
      <c r="Q42" s="65">
        <f t="shared" ref="Q42:Q73" si="23">DEGREES(-ACOS((SIN(RADIANS(P42))*SIN($C$6)-SIN(P$5))/(COS(RADIANS(P42))*COS($C$6))))</f>
        <v>-72.479967641167903</v>
      </c>
      <c r="R42" s="64">
        <f t="shared" si="16"/>
        <v>98.169031477385971</v>
      </c>
      <c r="S42" s="59">
        <f t="shared" si="17"/>
        <v>-8.1690314773859711</v>
      </c>
      <c r="T42" s="58">
        <f t="shared" ref="T42:T73" si="24">DEGREES(-ACOS((SIN(RADIANS(S42))*SIN($C$6)-SIN(S$5))/(COS(RADIANS(S42))*COS($C$6))))</f>
        <v>-79.931809550401809</v>
      </c>
      <c r="U42" s="66"/>
      <c r="V42" s="53">
        <f>K40</f>
        <v>-90</v>
      </c>
      <c r="Y42" s="50">
        <f>J40</f>
        <v>0</v>
      </c>
      <c r="Z42" s="50"/>
    </row>
    <row r="43" spans="1:27" x14ac:dyDescent="0.2">
      <c r="A43" s="67">
        <v>-87</v>
      </c>
      <c r="B43" s="66">
        <f t="shared" si="0"/>
        <v>-1.5184364492350666</v>
      </c>
      <c r="C43" s="64">
        <f t="shared" si="1"/>
        <v>70.828524774046954</v>
      </c>
      <c r="D43" s="64">
        <f t="shared" si="2"/>
        <v>19.171475225953046</v>
      </c>
      <c r="E43" s="65">
        <f t="shared" si="19"/>
        <v>-104.08317518652466</v>
      </c>
      <c r="F43" s="64">
        <f t="shared" si="4"/>
        <v>79.307731115941067</v>
      </c>
      <c r="G43" s="64">
        <f t="shared" si="5"/>
        <v>10.692268884058933</v>
      </c>
      <c r="H43" s="65">
        <f t="shared" si="20"/>
        <v>-95.692298764999975</v>
      </c>
      <c r="I43" s="64">
        <f t="shared" si="7"/>
        <v>87.998309309976889</v>
      </c>
      <c r="J43" s="64">
        <f t="shared" si="8"/>
        <v>2.0016906900231106</v>
      </c>
      <c r="K43" s="65">
        <f t="shared" si="21"/>
        <v>-87.764990593956085</v>
      </c>
      <c r="L43" s="64">
        <f t="shared" si="10"/>
        <v>96.726708538239919</v>
      </c>
      <c r="M43" s="64">
        <f t="shared" si="11"/>
        <v>-6.7267085382399188</v>
      </c>
      <c r="N43" s="65">
        <f t="shared" si="22"/>
        <v>-79.921852270826918</v>
      </c>
      <c r="O43" s="64">
        <f t="shared" si="13"/>
        <v>105.32585023941697</v>
      </c>
      <c r="P43" s="64">
        <f t="shared" si="14"/>
        <v>-15.325850239416965</v>
      </c>
      <c r="Q43" s="65">
        <f t="shared" si="23"/>
        <v>-71.792587885588972</v>
      </c>
      <c r="R43" s="64">
        <f t="shared" si="16"/>
        <v>97.512668680552622</v>
      </c>
      <c r="S43" s="59">
        <f t="shared" si="17"/>
        <v>-7.5126686805526219</v>
      </c>
      <c r="T43" s="58">
        <f t="shared" si="24"/>
        <v>-79.203743091147885</v>
      </c>
      <c r="U43" s="66"/>
      <c r="V43" s="53">
        <f>N40</f>
        <v>-82.113827114596333</v>
      </c>
      <c r="W43" s="49"/>
      <c r="X43" s="50"/>
      <c r="Y43" s="50">
        <f>M40</f>
        <v>-8.7042335825356787</v>
      </c>
      <c r="Z43" s="50"/>
      <c r="AA43" s="50"/>
    </row>
    <row r="44" spans="1:27" x14ac:dyDescent="0.2">
      <c r="A44" s="67">
        <v>-86</v>
      </c>
      <c r="B44" s="66">
        <f t="shared" si="0"/>
        <v>-1.5009831567151235</v>
      </c>
      <c r="C44" s="64">
        <f t="shared" si="1"/>
        <v>70.18022493538291</v>
      </c>
      <c r="D44" s="64">
        <f t="shared" si="2"/>
        <v>19.81977506461709</v>
      </c>
      <c r="E44" s="65">
        <f t="shared" si="19"/>
        <v>-103.39458321420031</v>
      </c>
      <c r="F44" s="64">
        <f t="shared" si="4"/>
        <v>78.643217660424227</v>
      </c>
      <c r="G44" s="64">
        <f t="shared" si="5"/>
        <v>11.356782339575773</v>
      </c>
      <c r="H44" s="65">
        <f t="shared" si="20"/>
        <v>-94.959659710280349</v>
      </c>
      <c r="I44" s="64">
        <f t="shared" si="7"/>
        <v>87.331605833418848</v>
      </c>
      <c r="J44" s="64">
        <f t="shared" si="8"/>
        <v>2.6683941665811517</v>
      </c>
      <c r="K44" s="65">
        <f t="shared" si="21"/>
        <v>-87.019043905373692</v>
      </c>
      <c r="L44" s="64">
        <f t="shared" si="10"/>
        <v>96.070370000870909</v>
      </c>
      <c r="M44" s="64">
        <f t="shared" si="11"/>
        <v>-6.0703700008709092</v>
      </c>
      <c r="N44" s="65">
        <f t="shared" si="22"/>
        <v>-79.190710829379967</v>
      </c>
      <c r="O44" s="64">
        <f t="shared" si="13"/>
        <v>104.69313309478035</v>
      </c>
      <c r="P44" s="64">
        <f t="shared" si="14"/>
        <v>-14.69313309478035</v>
      </c>
      <c r="Q44" s="65">
        <f t="shared" si="23"/>
        <v>-71.104812599071607</v>
      </c>
      <c r="R44" s="64">
        <f t="shared" si="16"/>
        <v>96.857894819469578</v>
      </c>
      <c r="S44" s="59">
        <f t="shared" si="17"/>
        <v>-6.8578948194695784</v>
      </c>
      <c r="T44" s="58">
        <f t="shared" si="24"/>
        <v>-78.4753203269632</v>
      </c>
      <c r="U44" s="66"/>
      <c r="V44" s="53">
        <f>Q40</f>
        <v>-73.854203374183783</v>
      </c>
      <c r="Y44" s="50">
        <f>P40</f>
        <v>-17.238646461969282</v>
      </c>
      <c r="AA44" s="50"/>
    </row>
    <row r="45" spans="1:27" x14ac:dyDescent="0.2">
      <c r="A45" s="67">
        <v>-85</v>
      </c>
      <c r="B45" s="66">
        <f t="shared" si="0"/>
        <v>-1.4835298641951802</v>
      </c>
      <c r="C45" s="64">
        <f t="shared" si="1"/>
        <v>69.530065966218189</v>
      </c>
      <c r="D45" s="64">
        <f t="shared" si="2"/>
        <v>20.469934033781811</v>
      </c>
      <c r="E45" s="65">
        <f t="shared" si="19"/>
        <v>-102.70515658996599</v>
      </c>
      <c r="F45" s="64">
        <f t="shared" si="4"/>
        <v>77.97796595776741</v>
      </c>
      <c r="G45" s="64">
        <f t="shared" si="5"/>
        <v>12.02203404223259</v>
      </c>
      <c r="H45" s="65">
        <f t="shared" si="20"/>
        <v>-94.226008290219639</v>
      </c>
      <c r="I45" s="64">
        <f t="shared" si="7"/>
        <v>86.665354480245085</v>
      </c>
      <c r="J45" s="64">
        <f t="shared" si="8"/>
        <v>3.3346455197549147</v>
      </c>
      <c r="K45" s="65">
        <f t="shared" si="21"/>
        <v>-86.272287962688651</v>
      </c>
      <c r="L45" s="64">
        <f t="shared" si="10"/>
        <v>95.415629239543151</v>
      </c>
      <c r="M45" s="64">
        <f t="shared" si="11"/>
        <v>-5.4156292395431507</v>
      </c>
      <c r="N45" s="65">
        <f t="shared" si="22"/>
        <v>-78.459011190732312</v>
      </c>
      <c r="O45" s="64">
        <f t="shared" si="13"/>
        <v>104.06301134126203</v>
      </c>
      <c r="P45" s="64">
        <f t="shared" si="14"/>
        <v>-14.063011341262026</v>
      </c>
      <c r="Q45" s="65">
        <f t="shared" si="23"/>
        <v>-70.416480179789829</v>
      </c>
      <c r="R45" s="64">
        <f t="shared" si="16"/>
        <v>96.204816749721886</v>
      </c>
      <c r="S45" s="59">
        <f t="shared" si="17"/>
        <v>-6.2048167497218856</v>
      </c>
      <c r="T45" s="58">
        <f t="shared" si="24"/>
        <v>-77.746354060458529</v>
      </c>
      <c r="U45" s="66"/>
      <c r="V45" s="53"/>
      <c r="AA45" s="50"/>
    </row>
    <row r="46" spans="1:27" x14ac:dyDescent="0.2">
      <c r="A46" s="67">
        <v>-84</v>
      </c>
      <c r="B46" s="66">
        <f t="shared" si="0"/>
        <v>-1.4660765716752369</v>
      </c>
      <c r="C46" s="64">
        <f t="shared" si="1"/>
        <v>68.878139564957124</v>
      </c>
      <c r="D46" s="64">
        <f t="shared" si="2"/>
        <v>21.121860435042876</v>
      </c>
      <c r="E46" s="65">
        <f t="shared" si="19"/>
        <v>-102.01470354046018</v>
      </c>
      <c r="F46" s="64">
        <f t="shared" si="4"/>
        <v>77.312084052644394</v>
      </c>
      <c r="G46" s="64">
        <f t="shared" si="5"/>
        <v>12.687915947355606</v>
      </c>
      <c r="H46" s="65">
        <f t="shared" si="20"/>
        <v>-93.491137494316348</v>
      </c>
      <c r="I46" s="64">
        <f t="shared" si="7"/>
        <v>85.999669057240723</v>
      </c>
      <c r="J46" s="64">
        <f t="shared" si="8"/>
        <v>4.0003309427592768</v>
      </c>
      <c r="K46" s="65">
        <f t="shared" si="21"/>
        <v>-85.524519837247368</v>
      </c>
      <c r="L46" s="64">
        <f t="shared" si="10"/>
        <v>94.762594515820027</v>
      </c>
      <c r="M46" s="64">
        <f t="shared" si="11"/>
        <v>-4.7625945158200267</v>
      </c>
      <c r="N46" s="65">
        <f t="shared" si="22"/>
        <v>-77.726566139943159</v>
      </c>
      <c r="O46" s="64">
        <f t="shared" si="13"/>
        <v>103.43557837413793</v>
      </c>
      <c r="P46" s="64">
        <f t="shared" si="14"/>
        <v>-13.435578374137933</v>
      </c>
      <c r="Q46" s="65">
        <f t="shared" si="23"/>
        <v>-69.727432165501654</v>
      </c>
      <c r="R46" s="64">
        <f t="shared" si="16"/>
        <v>95.553541722381169</v>
      </c>
      <c r="S46" s="59">
        <f t="shared" si="17"/>
        <v>-5.5535417223811692</v>
      </c>
      <c r="T46" s="58">
        <f t="shared" si="24"/>
        <v>-77.016659059090358</v>
      </c>
      <c r="U46" s="69"/>
      <c r="V46" s="53"/>
      <c r="X46" s="50"/>
      <c r="Y46" s="50"/>
      <c r="Z46" s="50"/>
      <c r="AA46" s="50"/>
    </row>
    <row r="47" spans="1:27" x14ac:dyDescent="0.2">
      <c r="A47" s="67">
        <v>-83</v>
      </c>
      <c r="B47" s="66">
        <f t="shared" si="0"/>
        <v>-1.4486232791552935</v>
      </c>
      <c r="C47" s="64">
        <f t="shared" si="1"/>
        <v>68.224537610998084</v>
      </c>
      <c r="D47" s="64">
        <f t="shared" si="2"/>
        <v>21.775462389001916</v>
      </c>
      <c r="E47" s="65">
        <f t="shared" si="19"/>
        <v>-101.3230277264674</v>
      </c>
      <c r="F47" s="64">
        <f t="shared" si="4"/>
        <v>76.645680459236146</v>
      </c>
      <c r="G47" s="64">
        <f t="shared" si="5"/>
        <v>13.354319540763854</v>
      </c>
      <c r="H47" s="65">
        <f t="shared" si="20"/>
        <v>-92.754837538205493</v>
      </c>
      <c r="I47" s="64">
        <f t="shared" si="7"/>
        <v>85.334663889107262</v>
      </c>
      <c r="J47" s="64">
        <f t="shared" si="8"/>
        <v>4.6653361108927385</v>
      </c>
      <c r="K47" s="65">
        <f t="shared" si="21"/>
        <v>-84.775536194386973</v>
      </c>
      <c r="L47" s="64">
        <f t="shared" si="10"/>
        <v>94.111374572893723</v>
      </c>
      <c r="M47" s="64">
        <f t="shared" si="11"/>
        <v>-4.1113745728937232</v>
      </c>
      <c r="N47" s="65">
        <f t="shared" si="22"/>
        <v>-76.993190183383007</v>
      </c>
      <c r="O47" s="64">
        <f t="shared" si="13"/>
        <v>102.81092809579545</v>
      </c>
      <c r="P47" s="64">
        <f t="shared" si="14"/>
        <v>-12.810928095795447</v>
      </c>
      <c r="Q47" s="65">
        <f t="shared" si="23"/>
        <v>-69.037513126464617</v>
      </c>
      <c r="R47" s="64">
        <f t="shared" si="16"/>
        <v>94.904177468493373</v>
      </c>
      <c r="S47" s="59">
        <f t="shared" si="17"/>
        <v>-4.9041774684933728</v>
      </c>
      <c r="T47" s="58">
        <f t="shared" si="24"/>
        <v>-76.286051972534068</v>
      </c>
      <c r="U47" s="69"/>
      <c r="V47" s="53"/>
      <c r="AA47" s="50"/>
    </row>
    <row r="48" spans="1:27" x14ac:dyDescent="0.2">
      <c r="A48" s="67">
        <v>-82</v>
      </c>
      <c r="B48" s="66">
        <f t="shared" si="0"/>
        <v>-1.4311699866353502</v>
      </c>
      <c r="C48" s="64">
        <f t="shared" si="1"/>
        <v>67.569352250244194</v>
      </c>
      <c r="D48" s="64">
        <f t="shared" si="2"/>
        <v>22.430647749755806</v>
      </c>
      <c r="E48" s="65">
        <f t="shared" si="19"/>
        <v>-100.62992802694137</v>
      </c>
      <c r="F48" s="64">
        <f t="shared" si="4"/>
        <v>75.978864268173893</v>
      </c>
      <c r="G48" s="64">
        <f t="shared" si="5"/>
        <v>14.021135731826107</v>
      </c>
      <c r="H48" s="65">
        <f t="shared" si="20"/>
        <v>-92.016895731614028</v>
      </c>
      <c r="I48" s="64">
        <f t="shared" si="7"/>
        <v>84.670453922659391</v>
      </c>
      <c r="J48" s="64">
        <f t="shared" si="8"/>
        <v>5.3295460773406091</v>
      </c>
      <c r="K48" s="65">
        <f t="shared" si="21"/>
        <v>-84.025133216349872</v>
      </c>
      <c r="L48" s="64">
        <f t="shared" si="10"/>
        <v>93.462078720654958</v>
      </c>
      <c r="M48" s="64">
        <f t="shared" si="11"/>
        <v>-3.4620787206549579</v>
      </c>
      <c r="N48" s="65">
        <f t="shared" si="22"/>
        <v>-76.258699474318703</v>
      </c>
      <c r="O48" s="64">
        <f t="shared" si="13"/>
        <v>102.1891549702809</v>
      </c>
      <c r="P48" s="64">
        <f t="shared" si="14"/>
        <v>-12.189154970280896</v>
      </c>
      <c r="Q48" s="65">
        <f t="shared" si="23"/>
        <v>-68.346570567659214</v>
      </c>
      <c r="R48" s="64">
        <f t="shared" si="16"/>
        <v>94.256832281797955</v>
      </c>
      <c r="S48" s="59">
        <f t="shared" si="17"/>
        <v>-4.2568322817979549</v>
      </c>
      <c r="T48" s="58">
        <f t="shared" si="24"/>
        <v>-75.554351256547946</v>
      </c>
      <c r="U48" s="69"/>
      <c r="V48" s="53"/>
      <c r="AA48" s="50"/>
    </row>
    <row r="49" spans="1:29" x14ac:dyDescent="0.2">
      <c r="A49" s="67">
        <v>-81</v>
      </c>
      <c r="B49" s="66">
        <f t="shared" si="0"/>
        <v>-1.4137166941154069</v>
      </c>
      <c r="C49" s="64">
        <f t="shared" si="1"/>
        <v>66.912675984278195</v>
      </c>
      <c r="D49" s="64">
        <f t="shared" si="2"/>
        <v>23.087324015721805</v>
      </c>
      <c r="E49" s="65">
        <f t="shared" si="19"/>
        <v>-99.9351983100361</v>
      </c>
      <c r="F49" s="64">
        <f t="shared" si="4"/>
        <v>75.31174525605519</v>
      </c>
      <c r="G49" s="64">
        <f t="shared" si="5"/>
        <v>14.68825474394481</v>
      </c>
      <c r="H49" s="65">
        <f t="shared" si="20"/>
        <v>-91.277096342258275</v>
      </c>
      <c r="I49" s="64">
        <f t="shared" si="7"/>
        <v>84.007154831342746</v>
      </c>
      <c r="J49" s="64">
        <f t="shared" si="8"/>
        <v>5.9928451686572544</v>
      </c>
      <c r="K49" s="65">
        <f t="shared" si="21"/>
        <v>-83.273106527493624</v>
      </c>
      <c r="L49" s="64">
        <f t="shared" si="10"/>
        <v>92.814816919151596</v>
      </c>
      <c r="M49" s="64">
        <f t="shared" si="11"/>
        <v>-2.8148169191515962</v>
      </c>
      <c r="N49" s="65">
        <f t="shared" si="22"/>
        <v>-75.522911744848656</v>
      </c>
      <c r="O49" s="64">
        <f t="shared" si="13"/>
        <v>101.57035407553076</v>
      </c>
      <c r="P49" s="64">
        <f t="shared" si="14"/>
        <v>-11.570354075530759</v>
      </c>
      <c r="Q49" s="65">
        <f t="shared" si="23"/>
        <v>-67.654454840117111</v>
      </c>
      <c r="R49" s="64">
        <f t="shared" si="16"/>
        <v>93.611615099713376</v>
      </c>
      <c r="S49" s="59">
        <f t="shared" si="17"/>
        <v>-3.6116150997133758</v>
      </c>
      <c r="T49" s="58">
        <f t="shared" si="24"/>
        <v>-74.821377103492125</v>
      </c>
      <c r="U49" s="69"/>
      <c r="V49" s="53"/>
      <c r="X49" s="50"/>
      <c r="Y49" s="50"/>
      <c r="Z49" s="50"/>
      <c r="AA49" s="50"/>
      <c r="AB49" s="50"/>
    </row>
    <row r="50" spans="1:29" x14ac:dyDescent="0.2">
      <c r="A50" s="67">
        <v>-80</v>
      </c>
      <c r="B50" s="66">
        <f t="shared" si="0"/>
        <v>-1.3962634015954636</v>
      </c>
      <c r="C50" s="64">
        <f t="shared" si="1"/>
        <v>66.254601763411259</v>
      </c>
      <c r="D50" s="64">
        <f t="shared" si="2"/>
        <v>23.745398236588741</v>
      </c>
      <c r="E50" s="65">
        <f t="shared" si="19"/>
        <v>-99.238627190662726</v>
      </c>
      <c r="F50" s="64">
        <f t="shared" si="4"/>
        <v>74.644433997659789</v>
      </c>
      <c r="G50" s="64">
        <f t="shared" si="5"/>
        <v>15.355566002340211</v>
      </c>
      <c r="H50" s="65">
        <f t="shared" si="20"/>
        <v>-90.535220455932262</v>
      </c>
      <c r="I50" s="64">
        <f t="shared" si="7"/>
        <v>83.344883120115327</v>
      </c>
      <c r="J50" s="64">
        <f t="shared" si="8"/>
        <v>6.6551168798846732</v>
      </c>
      <c r="K50" s="65">
        <f t="shared" si="21"/>
        <v>-82.519251122222386</v>
      </c>
      <c r="L50" s="64">
        <f t="shared" si="10"/>
        <v>92.169699860460014</v>
      </c>
      <c r="M50" s="64">
        <f t="shared" si="11"/>
        <v>-2.169699860460014</v>
      </c>
      <c r="N50" s="65">
        <f t="shared" si="22"/>
        <v>-74.785646244392737</v>
      </c>
      <c r="O50" s="64">
        <f t="shared" si="13"/>
        <v>100.95462115331829</v>
      </c>
      <c r="P50" s="64">
        <f t="shared" si="14"/>
        <v>-10.954621153318286</v>
      </c>
      <c r="Q50" s="65">
        <f t="shared" si="23"/>
        <v>-66.961019061170944</v>
      </c>
      <c r="R50" s="64">
        <f t="shared" si="16"/>
        <v>92.968635582612592</v>
      </c>
      <c r="S50" s="59">
        <f t="shared" si="17"/>
        <v>-2.9686355826125919</v>
      </c>
      <c r="T50" s="58">
        <f t="shared" si="24"/>
        <v>-74.086951379673877</v>
      </c>
      <c r="U50" s="69"/>
      <c r="V50" s="53"/>
      <c r="AB50" s="50"/>
    </row>
    <row r="51" spans="1:29" x14ac:dyDescent="0.2">
      <c r="A51" s="67">
        <v>-79</v>
      </c>
      <c r="B51" s="66">
        <f t="shared" si="0"/>
        <v>-1.3788101090755203</v>
      </c>
      <c r="C51" s="64">
        <f t="shared" si="1"/>
        <v>65.595223083832792</v>
      </c>
      <c r="D51" s="64">
        <f t="shared" si="2"/>
        <v>24.404776916167208</v>
      </c>
      <c r="E51" s="65">
        <f t="shared" si="19"/>
        <v>-98.53999777406456</v>
      </c>
      <c r="F51" s="64">
        <f t="shared" si="4"/>
        <v>73.977041980997114</v>
      </c>
      <c r="G51" s="64">
        <f t="shared" si="5"/>
        <v>16.022958019002886</v>
      </c>
      <c r="H51" s="65">
        <f t="shared" si="20"/>
        <v>-89.791045833059101</v>
      </c>
      <c r="I51" s="64">
        <f t="shared" si="7"/>
        <v>82.683756230729145</v>
      </c>
      <c r="J51" s="64">
        <f t="shared" si="8"/>
        <v>7.3162437692708551</v>
      </c>
      <c r="K51" s="65">
        <f t="shared" si="21"/>
        <v>-81.763361296084156</v>
      </c>
      <c r="L51" s="64">
        <f t="shared" si="10"/>
        <v>91.526839048981671</v>
      </c>
      <c r="M51" s="64">
        <f t="shared" si="11"/>
        <v>-1.526839048981671</v>
      </c>
      <c r="N51" s="65">
        <f t="shared" si="22"/>
        <v>-74.046723684948859</v>
      </c>
      <c r="O51" s="64">
        <f t="shared" si="13"/>
        <v>100.34205265693672</v>
      </c>
      <c r="P51" s="64">
        <f t="shared" si="14"/>
        <v>-10.342052656936715</v>
      </c>
      <c r="Q51" s="65">
        <f t="shared" si="23"/>
        <v>-66.266119043459085</v>
      </c>
      <c r="R51" s="64">
        <f t="shared" si="16"/>
        <v>92.328004191402442</v>
      </c>
      <c r="S51" s="59">
        <f t="shared" si="17"/>
        <v>-2.3280041914024423</v>
      </c>
      <c r="T51" s="58">
        <f t="shared" si="24"/>
        <v>-73.350897569700734</v>
      </c>
      <c r="U51" s="69"/>
      <c r="V51" s="53"/>
      <c r="AB51" s="50"/>
    </row>
    <row r="52" spans="1:29" x14ac:dyDescent="0.2">
      <c r="A52" s="67">
        <v>-78</v>
      </c>
      <c r="B52" s="66">
        <f t="shared" si="0"/>
        <v>-1.3613568165555769</v>
      </c>
      <c r="C52" s="64">
        <f t="shared" si="1"/>
        <v>64.934634089108172</v>
      </c>
      <c r="D52" s="64">
        <f t="shared" si="2"/>
        <v>25.065365910891828</v>
      </c>
      <c r="E52" s="65">
        <f t="shared" si="19"/>
        <v>-97.839087384877885</v>
      </c>
      <c r="F52" s="64">
        <f t="shared" si="4"/>
        <v>73.309681725322477</v>
      </c>
      <c r="G52" s="64">
        <f t="shared" si="5"/>
        <v>16.690318274677523</v>
      </c>
      <c r="H52" s="65">
        <f t="shared" si="20"/>
        <v>-89.044346762006882</v>
      </c>
      <c r="I52" s="64">
        <f t="shared" si="7"/>
        <v>82.023892647442707</v>
      </c>
      <c r="J52" s="64">
        <f t="shared" si="8"/>
        <v>7.9761073525572925</v>
      </c>
      <c r="K52" s="65">
        <f t="shared" si="21"/>
        <v>-81.005230580501447</v>
      </c>
      <c r="L52" s="64">
        <f t="shared" si="10"/>
        <v>90.886346880168048</v>
      </c>
      <c r="M52" s="64">
        <f t="shared" si="11"/>
        <v>-0.8863468801680483</v>
      </c>
      <c r="N52" s="65">
        <f t="shared" si="22"/>
        <v>-73.305966193340367</v>
      </c>
      <c r="O52" s="64">
        <f t="shared" si="13"/>
        <v>99.732745796629189</v>
      </c>
      <c r="P52" s="64">
        <f t="shared" si="14"/>
        <v>-9.7327457966291888</v>
      </c>
      <c r="Q52" s="65">
        <f t="shared" si="23"/>
        <v>-65.569613232534905</v>
      </c>
      <c r="R52" s="64">
        <f t="shared" si="16"/>
        <v>91.689832263409514</v>
      </c>
      <c r="S52" s="59">
        <f t="shared" si="17"/>
        <v>-1.6898322634095138</v>
      </c>
      <c r="T52" s="58">
        <f t="shared" si="24"/>
        <v>-72.613040728032061</v>
      </c>
      <c r="U52" s="69"/>
      <c r="V52" s="53"/>
      <c r="X52" s="50"/>
      <c r="Y52" s="50"/>
      <c r="Z52" s="50"/>
      <c r="AA52" s="50"/>
      <c r="AB52" s="50"/>
    </row>
    <row r="53" spans="1:29" x14ac:dyDescent="0.2">
      <c r="A53" s="67">
        <v>-77</v>
      </c>
      <c r="B53" s="66">
        <f t="shared" si="0"/>
        <v>-1.3439035240356338</v>
      </c>
      <c r="C53" s="64">
        <f t="shared" si="1"/>
        <v>64.272929676291398</v>
      </c>
      <c r="D53" s="64">
        <f t="shared" si="2"/>
        <v>25.727070323708602</v>
      </c>
      <c r="E53" s="65">
        <f t="shared" si="19"/>
        <v>-97.135667281124384</v>
      </c>
      <c r="F53" s="64">
        <f t="shared" si="4"/>
        <v>72.642466902263095</v>
      </c>
      <c r="G53" s="64">
        <f t="shared" si="5"/>
        <v>17.357533097736905</v>
      </c>
      <c r="H53" s="65">
        <f t="shared" si="20"/>
        <v>-88.294893909503884</v>
      </c>
      <c r="I53" s="64">
        <f t="shared" si="7"/>
        <v>81.365412003187515</v>
      </c>
      <c r="J53" s="64">
        <f t="shared" si="8"/>
        <v>8.6345879968124848</v>
      </c>
      <c r="K53" s="65">
        <f t="shared" si="21"/>
        <v>-80.244651681628554</v>
      </c>
      <c r="L53" s="64">
        <f t="shared" si="10"/>
        <v>90.248336717664642</v>
      </c>
      <c r="M53" s="64">
        <f t="shared" si="11"/>
        <v>-0.24833671766464249</v>
      </c>
      <c r="N53" s="65">
        <f t="shared" si="22"/>
        <v>-72.563197270687851</v>
      </c>
      <c r="O53" s="64">
        <f t="shared" si="13"/>
        <v>99.126798582766199</v>
      </c>
      <c r="P53" s="64">
        <f t="shared" si="14"/>
        <v>-9.1267985827661988</v>
      </c>
      <c r="Q53" s="65">
        <f t="shared" si="23"/>
        <v>-64.871362652946061</v>
      </c>
      <c r="R53" s="64">
        <f t="shared" si="16"/>
        <v>91.054232086564085</v>
      </c>
      <c r="S53" s="59">
        <f t="shared" si="17"/>
        <v>-1.0542320865640846</v>
      </c>
      <c r="T53" s="58">
        <f t="shared" si="24"/>
        <v>-71.873207437930844</v>
      </c>
      <c r="U53" s="69"/>
      <c r="V53" s="53"/>
      <c r="AB53" s="50"/>
    </row>
    <row r="54" spans="1:29" x14ac:dyDescent="0.2">
      <c r="A54" s="67">
        <v>-76</v>
      </c>
      <c r="B54" s="66">
        <f t="shared" si="0"/>
        <v>-1.3264502315156905</v>
      </c>
      <c r="C54" s="64">
        <f t="shared" si="1"/>
        <v>63.610205606940653</v>
      </c>
      <c r="D54" s="64">
        <f t="shared" si="2"/>
        <v>26.389794393059347</v>
      </c>
      <c r="E54" s="65">
        <f t="shared" si="19"/>
        <v>-96.429502352557151</v>
      </c>
      <c r="F54" s="64">
        <f t="shared" si="4"/>
        <v>71.97551246019853</v>
      </c>
      <c r="G54" s="64">
        <f t="shared" si="5"/>
        <v>18.02448753980147</v>
      </c>
      <c r="H54" s="65">
        <f t="shared" si="20"/>
        <v>-87.542454168525936</v>
      </c>
      <c r="I54" s="64">
        <f t="shared" si="7"/>
        <v>80.708435186203857</v>
      </c>
      <c r="J54" s="64">
        <f t="shared" si="8"/>
        <v>9.2915648137961426</v>
      </c>
      <c r="K54" s="65">
        <f t="shared" si="21"/>
        <v>-79.48141642385724</v>
      </c>
      <c r="L54" s="64">
        <f t="shared" si="10"/>
        <v>89.612922968854036</v>
      </c>
      <c r="M54" s="64">
        <f t="shared" si="11"/>
        <v>0.3870770311459637</v>
      </c>
      <c r="N54" s="65">
        <f t="shared" si="22"/>
        <v>-71.818241759351466</v>
      </c>
      <c r="O54" s="64">
        <f t="shared" si="13"/>
        <v>98.524309866760518</v>
      </c>
      <c r="P54" s="64">
        <f t="shared" si="14"/>
        <v>-8.5243098667605182</v>
      </c>
      <c r="Q54" s="65">
        <f t="shared" si="23"/>
        <v>-64.171230862662227</v>
      </c>
      <c r="R54" s="64">
        <f t="shared" si="16"/>
        <v>90.421316971862055</v>
      </c>
      <c r="S54" s="59">
        <f t="shared" si="17"/>
        <v>-0.42131697186205486</v>
      </c>
      <c r="T54" s="58">
        <f t="shared" si="24"/>
        <v>-71.131225778028366</v>
      </c>
      <c r="U54" s="69"/>
      <c r="V54" s="53"/>
      <c r="AC54" s="50"/>
    </row>
    <row r="55" spans="1:29" s="54" customFormat="1" x14ac:dyDescent="0.2">
      <c r="A55" s="63">
        <v>-75</v>
      </c>
      <c r="B55" s="62">
        <f t="shared" si="0"/>
        <v>-1.3089969389957472</v>
      </c>
      <c r="C55" s="60">
        <f t="shared" si="1"/>
        <v>62.946558623347684</v>
      </c>
      <c r="D55" s="60">
        <f t="shared" si="2"/>
        <v>27.053441376652316</v>
      </c>
      <c r="E55" s="61">
        <f t="shared" si="19"/>
        <v>-95.720350802764088</v>
      </c>
      <c r="F55" s="60">
        <f t="shared" si="4"/>
        <v>71.308934752043271</v>
      </c>
      <c r="G55" s="60">
        <f t="shared" si="5"/>
        <v>18.691065247956729</v>
      </c>
      <c r="H55" s="61">
        <f t="shared" si="20"/>
        <v>-86.786790504074872</v>
      </c>
      <c r="I55" s="60">
        <f t="shared" si="7"/>
        <v>80.053084447151008</v>
      </c>
      <c r="J55" s="60">
        <f t="shared" si="8"/>
        <v>9.9469155528489921</v>
      </c>
      <c r="K55" s="61">
        <f t="shared" si="21"/>
        <v>-78.715315698523483</v>
      </c>
      <c r="L55" s="60">
        <f t="shared" si="10"/>
        <v>88.980221158765943</v>
      </c>
      <c r="M55" s="60">
        <f t="shared" si="11"/>
        <v>1.0197788412340572</v>
      </c>
      <c r="N55" s="61">
        <f t="shared" si="22"/>
        <v>-71.070925817602188</v>
      </c>
      <c r="O55" s="60">
        <f t="shared" si="13"/>
        <v>97.925379379700729</v>
      </c>
      <c r="P55" s="60">
        <f t="shared" si="14"/>
        <v>-7.925379379700729</v>
      </c>
      <c r="Q55" s="61">
        <f t="shared" si="23"/>
        <v>-63.469083915743454</v>
      </c>
      <c r="R55" s="60">
        <f t="shared" si="16"/>
        <v>89.791201324072901</v>
      </c>
      <c r="S55" s="59">
        <f t="shared" si="17"/>
        <v>0.208798675927099</v>
      </c>
      <c r="T55" s="58">
        <f t="shared" si="24"/>
        <v>-70.386925296725224</v>
      </c>
      <c r="U55" s="70"/>
      <c r="V55" s="56">
        <f>E55</f>
        <v>-95.720350802764088</v>
      </c>
      <c r="W55" s="55"/>
      <c r="X55" s="55"/>
      <c r="Y55" s="55"/>
      <c r="Z55" s="55">
        <f>D55</f>
        <v>27.053441376652316</v>
      </c>
      <c r="AA55" s="55"/>
      <c r="AC55" s="55"/>
    </row>
    <row r="56" spans="1:29" x14ac:dyDescent="0.2">
      <c r="A56" s="67">
        <v>-74</v>
      </c>
      <c r="B56" s="66">
        <f t="shared" si="0"/>
        <v>-1.2915436464758039</v>
      </c>
      <c r="C56" s="64">
        <f t="shared" si="1"/>
        <v>62.282086570315229</v>
      </c>
      <c r="D56" s="64">
        <f t="shared" si="2"/>
        <v>27.717913429684771</v>
      </c>
      <c r="E56" s="65">
        <f t="shared" si="19"/>
        <v>-95.007963814414651</v>
      </c>
      <c r="F56" s="64">
        <f t="shared" si="4"/>
        <v>70.642851666580782</v>
      </c>
      <c r="G56" s="64">
        <f t="shared" si="5"/>
        <v>19.357148333419218</v>
      </c>
      <c r="H56" s="65">
        <f t="shared" si="20"/>
        <v>-86.027661797317009</v>
      </c>
      <c r="I56" s="64">
        <f t="shared" si="7"/>
        <v>79.399483506687318</v>
      </c>
      <c r="J56" s="64">
        <f t="shared" si="8"/>
        <v>10.600516493312682</v>
      </c>
      <c r="K56" s="65">
        <f t="shared" si="21"/>
        <v>-77.946139418403334</v>
      </c>
      <c r="L56" s="64">
        <f t="shared" si="10"/>
        <v>88.350348002309062</v>
      </c>
      <c r="M56" s="64">
        <f t="shared" si="11"/>
        <v>1.6496519976909383</v>
      </c>
      <c r="N56" s="65">
        <f t="shared" si="22"/>
        <v>-70.321076902291765</v>
      </c>
      <c r="O56" s="64">
        <f t="shared" si="13"/>
        <v>97.330107768673884</v>
      </c>
      <c r="P56" s="64">
        <f t="shared" si="14"/>
        <v>-7.3301077686738836</v>
      </c>
      <c r="Q56" s="65">
        <f t="shared" si="23"/>
        <v>-62.764790333151971</v>
      </c>
      <c r="R56" s="64">
        <f t="shared" si="16"/>
        <v>89.164000710649489</v>
      </c>
      <c r="S56" s="59">
        <f t="shared" si="17"/>
        <v>0.83599928935051082</v>
      </c>
      <c r="T56" s="58">
        <f t="shared" si="24"/>
        <v>-69.640136994664843</v>
      </c>
      <c r="U56" s="69"/>
      <c r="V56" s="53">
        <f>H55</f>
        <v>-86.786790504074872</v>
      </c>
      <c r="Z56" s="50">
        <f>G55</f>
        <v>18.691065247956729</v>
      </c>
      <c r="AC56" s="50"/>
    </row>
    <row r="57" spans="1:29" x14ac:dyDescent="0.2">
      <c r="A57" s="67">
        <v>-73</v>
      </c>
      <c r="B57" s="66">
        <f t="shared" si="0"/>
        <v>-1.2740903539558606</v>
      </c>
      <c r="C57" s="64">
        <f t="shared" si="1"/>
        <v>61.616888522841656</v>
      </c>
      <c r="D57" s="64">
        <f t="shared" si="2"/>
        <v>28.383111477158344</v>
      </c>
      <c r="E57" s="65">
        <f t="shared" si="19"/>
        <v>-94.292085197021947</v>
      </c>
      <c r="F57" s="64">
        <f t="shared" si="4"/>
        <v>69.977382763499577</v>
      </c>
      <c r="G57" s="64">
        <f t="shared" si="5"/>
        <v>20.022617236500423</v>
      </c>
      <c r="H57" s="65">
        <f t="shared" si="20"/>
        <v>-85.264822688609456</v>
      </c>
      <c r="I57" s="64">
        <f t="shared" si="7"/>
        <v>78.747757663503378</v>
      </c>
      <c r="J57" s="64">
        <f t="shared" si="8"/>
        <v>11.252242336496622</v>
      </c>
      <c r="K57" s="65">
        <f t="shared" si="21"/>
        <v>-77.173676478622781</v>
      </c>
      <c r="L57" s="64">
        <f t="shared" si="10"/>
        <v>87.723421474767719</v>
      </c>
      <c r="M57" s="64">
        <f t="shared" si="11"/>
        <v>2.2765785252322814</v>
      </c>
      <c r="N57" s="65">
        <f t="shared" si="22"/>
        <v>-69.568523759805387</v>
      </c>
      <c r="O57" s="64">
        <f t="shared" si="13"/>
        <v>96.738596630739465</v>
      </c>
      <c r="P57" s="64">
        <f t="shared" si="14"/>
        <v>-6.7385966307394654</v>
      </c>
      <c r="Q57" s="65">
        <f t="shared" si="23"/>
        <v>-62.058221081621042</v>
      </c>
      <c r="R57" s="64">
        <f t="shared" si="16"/>
        <v>88.539831928782505</v>
      </c>
      <c r="S57" s="59">
        <f t="shared" si="17"/>
        <v>1.4601680712174954</v>
      </c>
      <c r="T57" s="58">
        <f t="shared" si="24"/>
        <v>-68.890693315525937</v>
      </c>
      <c r="U57" s="69"/>
      <c r="V57" s="53">
        <f>K55</f>
        <v>-78.715315698523483</v>
      </c>
      <c r="Z57" s="50">
        <f>J55</f>
        <v>9.9469155528489921</v>
      </c>
      <c r="AC57" s="50"/>
    </row>
    <row r="58" spans="1:29" x14ac:dyDescent="0.2">
      <c r="A58" s="67">
        <v>-72</v>
      </c>
      <c r="B58" s="66">
        <f t="shared" si="0"/>
        <v>-1.2566370614359172</v>
      </c>
      <c r="C58" s="64">
        <f t="shared" si="1"/>
        <v>60.951064920098382</v>
      </c>
      <c r="D58" s="64">
        <f t="shared" si="2"/>
        <v>29.048935079901618</v>
      </c>
      <c r="E58" s="65">
        <f t="shared" si="19"/>
        <v>-93.572451016582576</v>
      </c>
      <c r="F58" s="64">
        <f t="shared" si="4"/>
        <v>69.312649412281658</v>
      </c>
      <c r="G58" s="64">
        <f t="shared" si="5"/>
        <v>20.687350587718342</v>
      </c>
      <c r="H58" s="65">
        <f t="shared" si="20"/>
        <v>-84.498023420007911</v>
      </c>
      <c r="I58" s="64">
        <f t="shared" si="7"/>
        <v>78.098033902778184</v>
      </c>
      <c r="J58" s="64">
        <f t="shared" si="8"/>
        <v>11.901966097221816</v>
      </c>
      <c r="K58" s="65">
        <f t="shared" si="21"/>
        <v>-76.397714724647074</v>
      </c>
      <c r="L58" s="64">
        <f t="shared" si="10"/>
        <v>87.099560880491865</v>
      </c>
      <c r="M58" s="64">
        <f t="shared" si="11"/>
        <v>2.9004391195081354</v>
      </c>
      <c r="N58" s="65">
        <f t="shared" si="22"/>
        <v>-68.813096425592349</v>
      </c>
      <c r="O58" s="64">
        <f t="shared" si="13"/>
        <v>96.150948544506946</v>
      </c>
      <c r="P58" s="64">
        <f t="shared" si="14"/>
        <v>-6.1509485445069458</v>
      </c>
      <c r="Q58" s="65">
        <f t="shared" si="23"/>
        <v>-61.349249560503196</v>
      </c>
      <c r="R58" s="64">
        <f t="shared" si="16"/>
        <v>87.918813070529723</v>
      </c>
      <c r="S58" s="59">
        <f t="shared" si="17"/>
        <v>2.0811869294702774</v>
      </c>
      <c r="T58" s="58">
        <f t="shared" si="24"/>
        <v>-68.138428145392453</v>
      </c>
      <c r="U58" s="69"/>
      <c r="V58" s="53">
        <f>N55</f>
        <v>-71.070925817602188</v>
      </c>
      <c r="X58" s="50"/>
      <c r="Y58" s="50"/>
      <c r="Z58" s="50">
        <f>M55</f>
        <v>1.0197788412340572</v>
      </c>
      <c r="AA58" s="50"/>
      <c r="AC58" s="50"/>
    </row>
    <row r="59" spans="1:29" x14ac:dyDescent="0.2">
      <c r="A59" s="67">
        <v>-71</v>
      </c>
      <c r="B59" s="66">
        <f t="shared" si="0"/>
        <v>-1.2391837689159739</v>
      </c>
      <c r="C59" s="64">
        <f t="shared" si="1"/>
        <v>60.284717706113049</v>
      </c>
      <c r="D59" s="64">
        <f t="shared" si="2"/>
        <v>29.715282293886951</v>
      </c>
      <c r="E59" s="65">
        <f t="shared" si="19"/>
        <v>-92.848789206452508</v>
      </c>
      <c r="F59" s="64">
        <f t="shared" si="4"/>
        <v>68.648774935092007</v>
      </c>
      <c r="G59" s="64">
        <f t="shared" si="5"/>
        <v>21.351225064907993</v>
      </c>
      <c r="H59" s="65">
        <f t="shared" si="20"/>
        <v>-83.727009677923803</v>
      </c>
      <c r="I59" s="64">
        <f t="shared" si="7"/>
        <v>77.450441005014241</v>
      </c>
      <c r="J59" s="64">
        <f t="shared" si="8"/>
        <v>12.549558994985759</v>
      </c>
      <c r="K59" s="65">
        <f t="shared" si="21"/>
        <v>-75.618040928058136</v>
      </c>
      <c r="L59" s="64">
        <f t="shared" si="10"/>
        <v>86.478886919695711</v>
      </c>
      <c r="M59" s="64">
        <f t="shared" si="11"/>
        <v>3.5211130803042892</v>
      </c>
      <c r="N59" s="65">
        <f t="shared" si="22"/>
        <v>-68.05462623258309</v>
      </c>
      <c r="O59" s="64">
        <f t="shared" si="13"/>
        <v>95.567267099260533</v>
      </c>
      <c r="P59" s="64">
        <f t="shared" si="14"/>
        <v>-5.5672670992605333</v>
      </c>
      <c r="Q59" s="65">
        <f t="shared" si="23"/>
        <v>-60.637751596527181</v>
      </c>
      <c r="R59" s="64">
        <f t="shared" si="16"/>
        <v>87.301063585936035</v>
      </c>
      <c r="S59" s="59">
        <f t="shared" si="17"/>
        <v>2.6989364140639651</v>
      </c>
      <c r="T59" s="58">
        <f t="shared" si="24"/>
        <v>-67.383176820970107</v>
      </c>
      <c r="U59" s="69"/>
      <c r="V59" s="53">
        <f>Q55</f>
        <v>-63.469083915743454</v>
      </c>
      <c r="Z59" s="50">
        <f>P55</f>
        <v>-7.925379379700729</v>
      </c>
    </row>
    <row r="60" spans="1:29" x14ac:dyDescent="0.2">
      <c r="A60" s="67">
        <v>-70</v>
      </c>
      <c r="B60" s="66">
        <f t="shared" si="0"/>
        <v>-1.2217304763960306</v>
      </c>
      <c r="C60" s="64">
        <f t="shared" si="1"/>
        <v>59.617950477600466</v>
      </c>
      <c r="D60" s="64">
        <f t="shared" si="2"/>
        <v>30.382049522399534</v>
      </c>
      <c r="E60" s="65">
        <f t="shared" si="19"/>
        <v>-92.120819158818591</v>
      </c>
      <c r="F60" s="64">
        <f t="shared" si="4"/>
        <v>67.985884753815284</v>
      </c>
      <c r="G60" s="64">
        <f t="shared" si="5"/>
        <v>22.014115246184716</v>
      </c>
      <c r="H60" s="65">
        <f t="shared" si="20"/>
        <v>-82.951522436682453</v>
      </c>
      <c r="I60" s="64">
        <f t="shared" si="7"/>
        <v>76.805109655191117</v>
      </c>
      <c r="J60" s="64">
        <f t="shared" si="8"/>
        <v>13.194890344808883</v>
      </c>
      <c r="K60" s="65">
        <f t="shared" si="21"/>
        <v>-74.834440770875574</v>
      </c>
      <c r="L60" s="64">
        <f t="shared" si="10"/>
        <v>85.861521753265635</v>
      </c>
      <c r="M60" s="64">
        <f t="shared" si="11"/>
        <v>4.1384782467343655</v>
      </c>
      <c r="N60" s="65">
        <f t="shared" si="22"/>
        <v>-67.292945828812606</v>
      </c>
      <c r="O60" s="64">
        <f t="shared" si="13"/>
        <v>94.987656921565744</v>
      </c>
      <c r="P60" s="64">
        <f t="shared" si="14"/>
        <v>-4.987656921565744</v>
      </c>
      <c r="Q60" s="65">
        <f t="shared" si="23"/>
        <v>-59.923605446399364</v>
      </c>
      <c r="R60" s="64">
        <f t="shared" si="16"/>
        <v>86.686704344046987</v>
      </c>
      <c r="S60" s="59">
        <f t="shared" si="17"/>
        <v>3.3132956559530129</v>
      </c>
      <c r="T60" s="58">
        <f t="shared" si="24"/>
        <v>-66.624776146929065</v>
      </c>
      <c r="U60" s="69"/>
      <c r="W60" s="74"/>
      <c r="X60" s="74"/>
      <c r="Y60" s="74"/>
      <c r="Z60" s="74"/>
      <c r="AA60" s="74"/>
      <c r="AB60" s="74"/>
      <c r="AC60" s="74"/>
    </row>
    <row r="61" spans="1:29" x14ac:dyDescent="0.2">
      <c r="A61" s="67">
        <v>-69</v>
      </c>
      <c r="B61" s="66">
        <f t="shared" si="0"/>
        <v>-1.2042771838760873</v>
      </c>
      <c r="C61" s="64">
        <f t="shared" si="1"/>
        <v>58.950868639413784</v>
      </c>
      <c r="D61" s="64">
        <f t="shared" si="2"/>
        <v>31.049131360586216</v>
      </c>
      <c r="E61" s="65">
        <f t="shared" si="19"/>
        <v>-91.388251296135195</v>
      </c>
      <c r="F61" s="64">
        <f t="shared" si="4"/>
        <v>67.324106541380644</v>
      </c>
      <c r="G61" s="64">
        <f t="shared" si="5"/>
        <v>22.675893458619356</v>
      </c>
      <c r="H61" s="65">
        <f t="shared" si="20"/>
        <v>-82.171297803826761</v>
      </c>
      <c r="I61" s="64">
        <f t="shared" si="7"/>
        <v>76.162172552159078</v>
      </c>
      <c r="J61" s="64">
        <f t="shared" si="8"/>
        <v>13.837827447840922</v>
      </c>
      <c r="K61" s="65">
        <f t="shared" si="21"/>
        <v>-74.046698839224533</v>
      </c>
      <c r="L61" s="64">
        <f t="shared" si="10"/>
        <v>85.247589065463032</v>
      </c>
      <c r="M61" s="64">
        <f t="shared" si="11"/>
        <v>4.7524109345369681</v>
      </c>
      <c r="N61" s="65">
        <f t="shared" si="22"/>
        <v>-66.527889204581868</v>
      </c>
      <c r="O61" s="64">
        <f t="shared" si="13"/>
        <v>94.412223699284027</v>
      </c>
      <c r="P61" s="64">
        <f t="shared" si="14"/>
        <v>-4.4122236992840271</v>
      </c>
      <c r="Q61" s="65">
        <f t="shared" si="23"/>
        <v>-59.206691807189287</v>
      </c>
      <c r="R61" s="64">
        <f t="shared" si="16"/>
        <v>86.075857691703391</v>
      </c>
      <c r="S61" s="59">
        <f t="shared" si="17"/>
        <v>3.9241423082966094</v>
      </c>
      <c r="T61" s="58">
        <f t="shared" si="24"/>
        <v>-65.863064422662077</v>
      </c>
      <c r="U61" s="69"/>
      <c r="V61" s="53"/>
      <c r="Y61" s="50"/>
      <c r="AA61" s="50"/>
      <c r="AC61" s="50"/>
    </row>
    <row r="62" spans="1:29" x14ac:dyDescent="0.2">
      <c r="A62" s="67">
        <v>-68</v>
      </c>
      <c r="B62" s="66">
        <f t="shared" si="0"/>
        <v>-1.1868238913561442</v>
      </c>
      <c r="C62" s="64">
        <f t="shared" si="1"/>
        <v>58.283579568120388</v>
      </c>
      <c r="D62" s="64">
        <f t="shared" si="2"/>
        <v>31.716420431879612</v>
      </c>
      <c r="E62" s="65">
        <f t="shared" si="19"/>
        <v>-90.650786621914904</v>
      </c>
      <c r="F62" s="64">
        <f t="shared" si="4"/>
        <v>66.6635703775097</v>
      </c>
      <c r="G62" s="64">
        <f t="shared" si="5"/>
        <v>23.3364296224903</v>
      </c>
      <c r="H62" s="65">
        <f t="shared" si="20"/>
        <v>-81.38606686811616</v>
      </c>
      <c r="I62" s="64">
        <f t="shared" si="7"/>
        <v>75.521764518175644</v>
      </c>
      <c r="J62" s="64">
        <f t="shared" si="8"/>
        <v>14.478235481824356</v>
      </c>
      <c r="K62" s="65">
        <f t="shared" si="21"/>
        <v>-73.254598627206462</v>
      </c>
      <c r="L62" s="64">
        <f t="shared" si="10"/>
        <v>84.637214124392386</v>
      </c>
      <c r="M62" s="64">
        <f t="shared" si="11"/>
        <v>5.3627858756076137</v>
      </c>
      <c r="N62" s="65">
        <f t="shared" si="22"/>
        <v>-65.759291729498671</v>
      </c>
      <c r="O62" s="64">
        <f t="shared" si="13"/>
        <v>93.841074202913092</v>
      </c>
      <c r="P62" s="64">
        <f t="shared" si="14"/>
        <v>-3.8410742029130915</v>
      </c>
      <c r="Q62" s="65">
        <f t="shared" si="23"/>
        <v>-58.486893834442228</v>
      </c>
      <c r="R62" s="64">
        <f t="shared" si="16"/>
        <v>85.468647509990475</v>
      </c>
      <c r="S62" s="59">
        <f t="shared" si="17"/>
        <v>4.5313524900095246</v>
      </c>
      <c r="T62" s="58">
        <f t="shared" si="24"/>
        <v>-65.097881478755269</v>
      </c>
      <c r="U62" s="69"/>
      <c r="V62" s="53"/>
      <c r="X62" s="50"/>
      <c r="Y62" s="50"/>
      <c r="Z62" s="50"/>
      <c r="AA62" s="50"/>
      <c r="AB62" s="50"/>
      <c r="AC62" s="50"/>
    </row>
    <row r="63" spans="1:29" x14ac:dyDescent="0.2">
      <c r="A63" s="67">
        <v>-67</v>
      </c>
      <c r="B63" s="66">
        <f t="shared" si="0"/>
        <v>-1.1693705988362009</v>
      </c>
      <c r="C63" s="64">
        <f t="shared" si="1"/>
        <v>57.616192784240013</v>
      </c>
      <c r="D63" s="64">
        <f t="shared" si="2"/>
        <v>32.383807215759987</v>
      </c>
      <c r="E63" s="65">
        <f t="shared" si="19"/>
        <v>-89.908116250291968</v>
      </c>
      <c r="F63" s="64">
        <f t="shared" si="4"/>
        <v>66.00440890901308</v>
      </c>
      <c r="G63" s="64">
        <f t="shared" si="5"/>
        <v>23.99559109098692</v>
      </c>
      <c r="H63" s="65">
        <f t="shared" si="20"/>
        <v>-80.595555551285344</v>
      </c>
      <c r="I63" s="64">
        <f t="shared" si="7"/>
        <v>74.884022608465727</v>
      </c>
      <c r="J63" s="64">
        <f t="shared" si="8"/>
        <v>15.115977391534273</v>
      </c>
      <c r="K63" s="65">
        <f t="shared" si="21"/>
        <v>-72.457922551882035</v>
      </c>
      <c r="L63" s="64">
        <f t="shared" si="10"/>
        <v>84.030523840088946</v>
      </c>
      <c r="M63" s="64">
        <f t="shared" si="11"/>
        <v>5.9694761599110535</v>
      </c>
      <c r="N63" s="65">
        <f t="shared" si="22"/>
        <v>-64.986990199749286</v>
      </c>
      <c r="O63" s="64">
        <f t="shared" si="13"/>
        <v>93.274316304162483</v>
      </c>
      <c r="P63" s="64">
        <f t="shared" si="14"/>
        <v>-3.2743163041624825</v>
      </c>
      <c r="Q63" s="65">
        <f t="shared" si="23"/>
        <v>-57.76409716796195</v>
      </c>
      <c r="R63" s="64">
        <f t="shared" si="16"/>
        <v>84.865199268199319</v>
      </c>
      <c r="S63" s="59">
        <f t="shared" si="17"/>
        <v>5.1348007318006808</v>
      </c>
      <c r="T63" s="58">
        <f t="shared" si="24"/>
        <v>-64.329068723477107</v>
      </c>
      <c r="U63" s="69"/>
      <c r="V63" s="53"/>
      <c r="X63" s="50"/>
      <c r="Y63" s="50"/>
      <c r="Z63" s="50"/>
      <c r="AA63" s="50"/>
      <c r="AB63" s="50"/>
      <c r="AC63" s="50"/>
    </row>
    <row r="64" spans="1:29" x14ac:dyDescent="0.2">
      <c r="A64" s="67">
        <v>-66</v>
      </c>
      <c r="B64" s="66">
        <f t="shared" si="0"/>
        <v>-1.1519173063162575</v>
      </c>
      <c r="C64" s="64">
        <f t="shared" si="1"/>
        <v>56.948820133717597</v>
      </c>
      <c r="D64" s="64">
        <f t="shared" si="2"/>
        <v>33.051179866282403</v>
      </c>
      <c r="E64" s="65">
        <f t="shared" si="19"/>
        <v>-89.159920913821566</v>
      </c>
      <c r="F64" s="64">
        <f t="shared" si="4"/>
        <v>65.34675751475055</v>
      </c>
      <c r="G64" s="64">
        <f t="shared" si="5"/>
        <v>24.65324248524945</v>
      </c>
      <c r="H64" s="65">
        <f t="shared" si="20"/>
        <v>-79.7994844647571</v>
      </c>
      <c r="I64" s="64">
        <f t="shared" si="7"/>
        <v>74.249086220663898</v>
      </c>
      <c r="J64" s="64">
        <f t="shared" si="8"/>
        <v>15.750913779336102</v>
      </c>
      <c r="K64" s="65">
        <f t="shared" si="21"/>
        <v>-71.656451980332676</v>
      </c>
      <c r="L64" s="64">
        <f t="shared" si="10"/>
        <v>83.427646820063813</v>
      </c>
      <c r="M64" s="64">
        <f t="shared" si="11"/>
        <v>6.5723531799361865</v>
      </c>
      <c r="N64" s="65">
        <f t="shared" si="22"/>
        <v>-64.210822895959964</v>
      </c>
      <c r="O64" s="64">
        <f t="shared" si="13"/>
        <v>92.712058991666296</v>
      </c>
      <c r="P64" s="64">
        <f t="shared" si="14"/>
        <v>-2.7120589916662965</v>
      </c>
      <c r="Q64" s="65">
        <f t="shared" si="23"/>
        <v>-57.038189965207309</v>
      </c>
      <c r="R64" s="64">
        <f t="shared" si="16"/>
        <v>84.265640075142798</v>
      </c>
      <c r="S64" s="59">
        <f t="shared" si="17"/>
        <v>5.7343599248572019</v>
      </c>
      <c r="T64" s="58">
        <f t="shared" si="24"/>
        <v>-63.556469199595462</v>
      </c>
      <c r="U64" s="69"/>
      <c r="V64" s="53"/>
      <c r="X64" s="50"/>
      <c r="Y64" s="50"/>
      <c r="Z64" s="50"/>
      <c r="AA64" s="50"/>
      <c r="AB64" s="50"/>
      <c r="AC64" s="50"/>
    </row>
    <row r="65" spans="1:29" x14ac:dyDescent="0.2">
      <c r="A65" s="67">
        <v>-65</v>
      </c>
      <c r="B65" s="66">
        <f t="shared" si="0"/>
        <v>-1.1344640137963142</v>
      </c>
      <c r="C65" s="64">
        <f t="shared" si="1"/>
        <v>56.281575979239356</v>
      </c>
      <c r="D65" s="64">
        <f t="shared" si="2"/>
        <v>33.718424020760644</v>
      </c>
      <c r="E65" s="65">
        <f t="shared" si="19"/>
        <v>-88.405870449037721</v>
      </c>
      <c r="F65" s="64">
        <f t="shared" si="4"/>
        <v>64.690754475354595</v>
      </c>
      <c r="G65" s="64">
        <f t="shared" si="5"/>
        <v>25.309245524645405</v>
      </c>
      <c r="H65" s="65">
        <f t="shared" si="20"/>
        <v>-78.997568772644726</v>
      </c>
      <c r="I65" s="64">
        <f t="shared" si="7"/>
        <v>73.617097203970701</v>
      </c>
      <c r="J65" s="64">
        <f t="shared" si="8"/>
        <v>16.382902796029299</v>
      </c>
      <c r="K65" s="65">
        <f t="shared" si="21"/>
        <v>-70.849967269824333</v>
      </c>
      <c r="L65" s="64">
        <f t="shared" si="10"/>
        <v>82.828713422127208</v>
      </c>
      <c r="M65" s="64">
        <f t="shared" si="11"/>
        <v>7.1712865778727917</v>
      </c>
      <c r="N65" s="65">
        <f t="shared" si="22"/>
        <v>-63.430629652012229</v>
      </c>
      <c r="O65" s="64">
        <f t="shared" si="13"/>
        <v>92.154412383726751</v>
      </c>
      <c r="P65" s="64">
        <f t="shared" si="14"/>
        <v>-2.1544123837267506</v>
      </c>
      <c r="Q65" s="65">
        <f t="shared" si="23"/>
        <v>-56.309062942242022</v>
      </c>
      <c r="R65" s="64">
        <f t="shared" si="16"/>
        <v>83.670098727652459</v>
      </c>
      <c r="S65" s="59">
        <f t="shared" si="17"/>
        <v>6.3299012723475414</v>
      </c>
      <c r="T65" s="58">
        <f t="shared" si="24"/>
        <v>-62.779927651837895</v>
      </c>
      <c r="U65" s="69"/>
      <c r="V65" s="53"/>
      <c r="X65" s="50"/>
      <c r="Y65" s="50"/>
      <c r="Z65" s="50"/>
      <c r="AA65" s="50"/>
      <c r="AB65" s="50"/>
      <c r="AC65" s="50"/>
    </row>
    <row r="66" spans="1:29" x14ac:dyDescent="0.2">
      <c r="A66" s="67">
        <v>-64</v>
      </c>
      <c r="B66" s="66">
        <f t="shared" si="0"/>
        <v>-1.1170107212763709</v>
      </c>
      <c r="C66" s="64">
        <f t="shared" si="1"/>
        <v>55.614577402037781</v>
      </c>
      <c r="D66" s="64">
        <f t="shared" si="2"/>
        <v>34.385422597962219</v>
      </c>
      <c r="E66" s="65">
        <f t="shared" si="19"/>
        <v>-87.64562325937213</v>
      </c>
      <c r="F66" s="64">
        <f t="shared" si="4"/>
        <v>64.036541147800563</v>
      </c>
      <c r="G66" s="64">
        <f t="shared" si="5"/>
        <v>25.963458852199437</v>
      </c>
      <c r="H66" s="65">
        <f t="shared" si="20"/>
        <v>-78.189518062536948</v>
      </c>
      <c r="I66" s="64">
        <f t="shared" si="7"/>
        <v>72.98819996782845</v>
      </c>
      <c r="J66" s="64">
        <f t="shared" si="8"/>
        <v>17.01180003217155</v>
      </c>
      <c r="K66" s="65">
        <f t="shared" si="21"/>
        <v>-70.038247822158056</v>
      </c>
      <c r="L66" s="64">
        <f t="shared" si="10"/>
        <v>82.233855804293626</v>
      </c>
      <c r="M66" s="64">
        <f t="shared" si="11"/>
        <v>7.7661441957063744</v>
      </c>
      <c r="N66" s="65">
        <f t="shared" si="22"/>
        <v>-62.646251935182178</v>
      </c>
      <c r="O66" s="64">
        <f t="shared" si="13"/>
        <v>91.601487737975944</v>
      </c>
      <c r="P66" s="64">
        <f t="shared" si="14"/>
        <v>-1.601487737975944</v>
      </c>
      <c r="Q66" s="65">
        <f t="shared" si="23"/>
        <v>-55.576609422174712</v>
      </c>
      <c r="R66" s="64">
        <f t="shared" si="16"/>
        <v>83.078705756066014</v>
      </c>
      <c r="S66" s="59">
        <f t="shared" si="17"/>
        <v>6.9212942439339855</v>
      </c>
      <c r="T66" s="58">
        <f t="shared" si="24"/>
        <v>-61.999290605310641</v>
      </c>
      <c r="U66" s="69"/>
      <c r="V66" s="53"/>
      <c r="X66" s="50"/>
      <c r="Y66" s="50"/>
      <c r="Z66" s="50"/>
      <c r="AA66" s="50"/>
      <c r="AB66" s="50"/>
      <c r="AC66" s="50"/>
    </row>
    <row r="67" spans="1:29" x14ac:dyDescent="0.2">
      <c r="A67" s="67">
        <v>-63</v>
      </c>
      <c r="B67" s="66">
        <f t="shared" si="0"/>
        <v>-1.0995574287564276</v>
      </c>
      <c r="C67" s="64">
        <f t="shared" si="1"/>
        <v>54.947944414869916</v>
      </c>
      <c r="D67" s="64">
        <f t="shared" si="2"/>
        <v>35.052055585130084</v>
      </c>
      <c r="E67" s="65">
        <f t="shared" si="19"/>
        <v>-86.878825755137782</v>
      </c>
      <c r="F67" s="64">
        <f t="shared" si="4"/>
        <v>63.384262144885099</v>
      </c>
      <c r="G67" s="64">
        <f t="shared" si="5"/>
        <v>26.615737855114901</v>
      </c>
      <c r="H67" s="65">
        <f t="shared" si="20"/>
        <v>-77.375036225730753</v>
      </c>
      <c r="I67" s="64">
        <f t="shared" si="7"/>
        <v>72.362541589891492</v>
      </c>
      <c r="J67" s="64">
        <f t="shared" si="8"/>
        <v>17.637458410108508</v>
      </c>
      <c r="K67" s="65">
        <f t="shared" si="21"/>
        <v>-69.221072153352821</v>
      </c>
      <c r="L67" s="64">
        <f t="shared" si="10"/>
        <v>81.643207971554403</v>
      </c>
      <c r="M67" s="64">
        <f t="shared" si="11"/>
        <v>8.3567920284455965</v>
      </c>
      <c r="N67" s="65">
        <f t="shared" si="22"/>
        <v>-61.857532937973161</v>
      </c>
      <c r="O67" s="64">
        <f t="shared" si="13"/>
        <v>91.053397457835104</v>
      </c>
      <c r="P67" s="64">
        <f t="shared" si="14"/>
        <v>-1.0533974578351035</v>
      </c>
      <c r="Q67" s="65">
        <f t="shared" si="23"/>
        <v>-54.840725391017394</v>
      </c>
      <c r="R67" s="64">
        <f t="shared" si="16"/>
        <v>82.491593466499268</v>
      </c>
      <c r="S67" s="59">
        <f t="shared" si="17"/>
        <v>7.5084065335007324</v>
      </c>
      <c r="T67" s="58">
        <f t="shared" si="24"/>
        <v>-61.214406455192943</v>
      </c>
      <c r="U67" s="69"/>
      <c r="V67" s="53"/>
      <c r="X67" s="50"/>
      <c r="Y67" s="50"/>
      <c r="Z67" s="50"/>
      <c r="AA67" s="50"/>
      <c r="AB67" s="50"/>
      <c r="AC67" s="50"/>
    </row>
    <row r="68" spans="1:29" x14ac:dyDescent="0.2">
      <c r="A68" s="67">
        <v>-62</v>
      </c>
      <c r="B68" s="66">
        <f t="shared" si="0"/>
        <v>-1.0821041362364843</v>
      </c>
      <c r="C68" s="64">
        <f t="shared" si="1"/>
        <v>54.281800186892198</v>
      </c>
      <c r="D68" s="64">
        <f t="shared" si="2"/>
        <v>35.718199813107802</v>
      </c>
      <c r="E68" s="65">
        <f t="shared" si="19"/>
        <v>-86.105111770409806</v>
      </c>
      <c r="F68" s="64">
        <f t="shared" si="4"/>
        <v>62.734065519649135</v>
      </c>
      <c r="G68" s="64">
        <f t="shared" si="5"/>
        <v>27.265934480350865</v>
      </c>
      <c r="H68" s="64">
        <f t="shared" si="20"/>
        <v>-76.553821348766391</v>
      </c>
      <c r="I68" s="72">
        <f t="shared" si="7"/>
        <v>71.74027192303393</v>
      </c>
      <c r="J68" s="64">
        <f t="shared" si="8"/>
        <v>18.25972807696607</v>
      </c>
      <c r="K68" s="65">
        <f t="shared" si="21"/>
        <v>-68.398217979867709</v>
      </c>
      <c r="L68" s="64">
        <f t="shared" si="10"/>
        <v>81.056905819285305</v>
      </c>
      <c r="M68" s="64">
        <f t="shared" si="11"/>
        <v>8.9430941807146951</v>
      </c>
      <c r="N68" s="65">
        <f t="shared" si="22"/>
        <v>-61.064317682011698</v>
      </c>
      <c r="O68" s="64">
        <f t="shared" si="13"/>
        <v>90.510255095645306</v>
      </c>
      <c r="P68" s="64">
        <f t="shared" si="14"/>
        <v>-0.5102550956453058</v>
      </c>
      <c r="Q68" s="65">
        <f t="shared" si="23"/>
        <v>-54.101309560884317</v>
      </c>
      <c r="R68" s="64">
        <f t="shared" si="16"/>
        <v>81.908895979678093</v>
      </c>
      <c r="S68" s="59">
        <f t="shared" si="17"/>
        <v>8.0911040203219073</v>
      </c>
      <c r="T68" s="58">
        <f t="shared" si="24"/>
        <v>-60.42512556801762</v>
      </c>
      <c r="U68" s="68"/>
      <c r="V68" s="53"/>
      <c r="X68" s="50"/>
      <c r="Y68" s="50"/>
      <c r="Z68" s="50"/>
      <c r="AA68" s="50"/>
      <c r="AB68" s="50"/>
      <c r="AC68" s="50"/>
    </row>
    <row r="69" spans="1:29" x14ac:dyDescent="0.2">
      <c r="A69" s="67">
        <v>-61</v>
      </c>
      <c r="B69" s="66">
        <f t="shared" si="0"/>
        <v>-1.064650843716541</v>
      </c>
      <c r="C69" s="64">
        <f t="shared" si="1"/>
        <v>53.616271281195345</v>
      </c>
      <c r="D69" s="64">
        <f t="shared" si="2"/>
        <v>36.383728718804655</v>
      </c>
      <c r="E69" s="65">
        <f t="shared" si="19"/>
        <v>-85.324101956796042</v>
      </c>
      <c r="F69" s="64">
        <f t="shared" si="4"/>
        <v>62.086102954752221</v>
      </c>
      <c r="G69" s="64">
        <f t="shared" si="5"/>
        <v>27.913897045247779</v>
      </c>
      <c r="H69" s="64">
        <f t="shared" si="20"/>
        <v>-75.72556561832603</v>
      </c>
      <c r="I69" s="72">
        <f t="shared" si="7"/>
        <v>71.121543701102496</v>
      </c>
      <c r="J69" s="64">
        <f t="shared" si="8"/>
        <v>18.878456298897504</v>
      </c>
      <c r="K69" s="65">
        <f t="shared" si="21"/>
        <v>-67.569462322632418</v>
      </c>
      <c r="L69" s="64">
        <f t="shared" si="10"/>
        <v>80.475087173038148</v>
      </c>
      <c r="M69" s="64">
        <f t="shared" si="11"/>
        <v>9.5249128269618524</v>
      </c>
      <c r="N69" s="65">
        <f t="shared" si="22"/>
        <v>-60.266453134371325</v>
      </c>
      <c r="O69" s="64">
        <f t="shared" si="13"/>
        <v>89.97217535233662</v>
      </c>
      <c r="P69" s="64">
        <f t="shared" si="14"/>
        <v>2.7824647663379665E-2</v>
      </c>
      <c r="Q69" s="65">
        <f t="shared" si="23"/>
        <v>-53.35826344044068</v>
      </c>
      <c r="R69" s="64">
        <f t="shared" si="16"/>
        <v>81.330749266090677</v>
      </c>
      <c r="S69" s="59">
        <f t="shared" si="17"/>
        <v>8.6692507339093225</v>
      </c>
      <c r="T69" s="58">
        <f t="shared" si="24"/>
        <v>-59.631300394844239</v>
      </c>
      <c r="U69" s="66"/>
      <c r="V69" s="53"/>
      <c r="X69" s="50"/>
      <c r="Y69" s="50"/>
      <c r="Z69" s="50"/>
      <c r="AA69" s="50"/>
      <c r="AB69" s="50"/>
      <c r="AC69" s="50"/>
    </row>
    <row r="70" spans="1:29" s="54" customFormat="1" x14ac:dyDescent="0.2">
      <c r="A70" s="63">
        <v>-60</v>
      </c>
      <c r="B70" s="62">
        <f t="shared" si="0"/>
        <v>-1.0471975511965976</v>
      </c>
      <c r="C70" s="60">
        <f t="shared" si="1"/>
        <v>52.951487905802381</v>
      </c>
      <c r="D70" s="60">
        <f t="shared" si="2"/>
        <v>37.048512094197619</v>
      </c>
      <c r="E70" s="61">
        <f t="shared" si="19"/>
        <v>-84.535403154285959</v>
      </c>
      <c r="F70" s="60">
        <f t="shared" si="4"/>
        <v>61.440529956769169</v>
      </c>
      <c r="G70" s="60">
        <f t="shared" si="5"/>
        <v>28.559470043230831</v>
      </c>
      <c r="H70" s="60">
        <f t="shared" si="20"/>
        <v>-74.889955241782758</v>
      </c>
      <c r="I70" s="73">
        <f t="shared" si="7"/>
        <v>70.506512643085387</v>
      </c>
      <c r="J70" s="60">
        <f t="shared" si="8"/>
        <v>19.493487356914613</v>
      </c>
      <c r="K70" s="61">
        <f t="shared" si="21"/>
        <v>-66.734581630216994</v>
      </c>
      <c r="L70" s="60">
        <f t="shared" si="10"/>
        <v>79.897891824446617</v>
      </c>
      <c r="M70" s="60">
        <f t="shared" si="11"/>
        <v>10.102108175553383</v>
      </c>
      <c r="N70" s="61">
        <f t="shared" si="22"/>
        <v>-59.463788336681034</v>
      </c>
      <c r="O70" s="60">
        <f t="shared" si="13"/>
        <v>89.4392740734976</v>
      </c>
      <c r="P70" s="60">
        <f t="shared" si="14"/>
        <v>0.56072592650239983</v>
      </c>
      <c r="Q70" s="61">
        <f t="shared" si="23"/>
        <v>-52.611491412498673</v>
      </c>
      <c r="R70" s="60">
        <f t="shared" si="16"/>
        <v>80.757291177201566</v>
      </c>
      <c r="S70" s="59">
        <f t="shared" si="17"/>
        <v>9.2427088227984342</v>
      </c>
      <c r="T70" s="58">
        <f t="shared" si="24"/>
        <v>-58.832785596619615</v>
      </c>
      <c r="U70" s="62"/>
      <c r="V70" s="56">
        <f>E70</f>
        <v>-84.535403154285959</v>
      </c>
      <c r="W70" s="55"/>
      <c r="X70" s="55"/>
      <c r="Y70" s="55"/>
      <c r="Z70" s="55"/>
      <c r="AA70" s="55">
        <f>D70</f>
        <v>37.048512094197619</v>
      </c>
      <c r="AB70" s="55"/>
      <c r="AC70" s="55"/>
    </row>
    <row r="71" spans="1:29" x14ac:dyDescent="0.2">
      <c r="A71" s="67">
        <v>-59</v>
      </c>
      <c r="B71" s="66">
        <f t="shared" si="0"/>
        <v>-1.0297442586766545</v>
      </c>
      <c r="C71" s="64">
        <f t="shared" si="1"/>
        <v>52.287584178973148</v>
      </c>
      <c r="D71" s="64">
        <f t="shared" si="2"/>
        <v>37.712415821026852</v>
      </c>
      <c r="E71" s="65">
        <f t="shared" si="19"/>
        <v>-83.738607739607048</v>
      </c>
      <c r="F71" s="64">
        <f t="shared" si="4"/>
        <v>60.797506055339369</v>
      </c>
      <c r="G71" s="64">
        <f t="shared" si="5"/>
        <v>29.202493944660631</v>
      </c>
      <c r="H71" s="64">
        <f t="shared" si="20"/>
        <v>-74.046670385932089</v>
      </c>
      <c r="I71" s="72">
        <f t="shared" si="7"/>
        <v>69.895337555327387</v>
      </c>
      <c r="J71" s="64">
        <f t="shared" si="8"/>
        <v>20.104662444672613</v>
      </c>
      <c r="K71" s="65">
        <f t="shared" si="21"/>
        <v>-65.893351922530996</v>
      </c>
      <c r="L71" s="64">
        <f t="shared" si="10"/>
        <v>79.325461562957983</v>
      </c>
      <c r="M71" s="64">
        <f t="shared" si="11"/>
        <v>10.674538437042017</v>
      </c>
      <c r="N71" s="65">
        <f t="shared" si="22"/>
        <v>-58.656174547363179</v>
      </c>
      <c r="O71" s="64">
        <f t="shared" si="13"/>
        <v>88.911668241701975</v>
      </c>
      <c r="P71" s="64">
        <f t="shared" si="14"/>
        <v>1.0883317582980254</v>
      </c>
      <c r="Q71" s="65">
        <f t="shared" si="23"/>
        <v>-51.86090081864284</v>
      </c>
      <c r="R71" s="64">
        <f t="shared" si="16"/>
        <v>80.188661472452921</v>
      </c>
      <c r="S71" s="59">
        <f t="shared" si="17"/>
        <v>9.811338527547079</v>
      </c>
      <c r="T71" s="58">
        <f t="shared" si="24"/>
        <v>-58.02943818200702</v>
      </c>
      <c r="U71" s="66"/>
      <c r="V71" s="53">
        <f>H70</f>
        <v>-74.889955241782758</v>
      </c>
      <c r="X71" s="50"/>
      <c r="Y71" s="50"/>
      <c r="Z71" s="50"/>
      <c r="AA71" s="50">
        <f>G70</f>
        <v>28.559470043230831</v>
      </c>
      <c r="AB71" s="50"/>
      <c r="AC71" s="50"/>
    </row>
    <row r="72" spans="1:29" x14ac:dyDescent="0.2">
      <c r="A72" s="67">
        <v>-58</v>
      </c>
      <c r="B72" s="66">
        <f t="shared" si="0"/>
        <v>-1.0122909661567112</v>
      </c>
      <c r="C72" s="64">
        <f t="shared" si="1"/>
        <v>51.624698409697075</v>
      </c>
      <c r="D72" s="64">
        <f t="shared" si="2"/>
        <v>38.375301590302925</v>
      </c>
      <c r="E72" s="65">
        <f t="shared" si="19"/>
        <v>-82.933292952806539</v>
      </c>
      <c r="F72" s="64">
        <f t="shared" si="4"/>
        <v>60.157195007051229</v>
      </c>
      <c r="G72" s="64">
        <f t="shared" si="5"/>
        <v>29.842804992948771</v>
      </c>
      <c r="H72" s="64">
        <f t="shared" si="20"/>
        <v>-73.195385136702811</v>
      </c>
      <c r="I72" s="72">
        <f t="shared" si="7"/>
        <v>69.288180431378251</v>
      </c>
      <c r="J72" s="64">
        <f t="shared" si="8"/>
        <v>20.711819568621749</v>
      </c>
      <c r="K72" s="65">
        <f t="shared" si="21"/>
        <v>-65.045548956499687</v>
      </c>
      <c r="L72" s="64">
        <f t="shared" si="10"/>
        <v>78.757940203082995</v>
      </c>
      <c r="M72" s="64">
        <f t="shared" si="11"/>
        <v>11.242059796917005</v>
      </c>
      <c r="N72" s="65">
        <f t="shared" si="22"/>
        <v>-57.843465397328863</v>
      </c>
      <c r="O72" s="64">
        <f t="shared" si="13"/>
        <v>88.38947596494495</v>
      </c>
      <c r="P72" s="64">
        <f t="shared" si="14"/>
        <v>1.6105240350550503</v>
      </c>
      <c r="Q72" s="65">
        <f t="shared" si="23"/>
        <v>-51.106402050749452</v>
      </c>
      <c r="R72" s="64">
        <f t="shared" si="16"/>
        <v>79.625001841760607</v>
      </c>
      <c r="S72" s="59">
        <f t="shared" si="17"/>
        <v>10.374998158239393</v>
      </c>
      <c r="T72" s="58">
        <f t="shared" si="24"/>
        <v>-57.221117657946706</v>
      </c>
      <c r="U72" s="66"/>
      <c r="V72" s="53">
        <f>K70</f>
        <v>-66.734581630216994</v>
      </c>
      <c r="X72" s="50"/>
      <c r="Y72" s="50"/>
      <c r="Z72" s="50"/>
      <c r="AA72" s="50">
        <f>J70</f>
        <v>19.493487356914613</v>
      </c>
      <c r="AB72" s="50"/>
      <c r="AC72" s="50"/>
    </row>
    <row r="73" spans="1:29" x14ac:dyDescent="0.2">
      <c r="A73" s="67">
        <v>-57</v>
      </c>
      <c r="B73" s="66">
        <f t="shared" si="0"/>
        <v>-0.99483767363676789</v>
      </c>
      <c r="C73" s="64">
        <f t="shared" si="1"/>
        <v>50.962973394293428</v>
      </c>
      <c r="D73" s="64">
        <f t="shared" si="2"/>
        <v>39.037026605706572</v>
      </c>
      <c r="E73" s="65">
        <f t="shared" si="19"/>
        <v>-82.119020203125345</v>
      </c>
      <c r="F73" s="64">
        <f t="shared" si="4"/>
        <v>59.519765003889361</v>
      </c>
      <c r="G73" s="64">
        <f t="shared" si="5"/>
        <v>30.480234996110639</v>
      </c>
      <c r="H73" s="64">
        <f t="shared" si="20"/>
        <v>-72.335767482931445</v>
      </c>
      <c r="I73" s="72">
        <f t="shared" si="7"/>
        <v>68.685206549016158</v>
      </c>
      <c r="J73" s="64">
        <f t="shared" si="8"/>
        <v>21.314793450983842</v>
      </c>
      <c r="K73" s="65">
        <f t="shared" si="21"/>
        <v>-64.190948415218784</v>
      </c>
      <c r="L73" s="64">
        <f t="shared" si="10"/>
        <v>78.195473606837965</v>
      </c>
      <c r="M73" s="64">
        <f t="shared" si="11"/>
        <v>11.804526393162035</v>
      </c>
      <c r="N73" s="65">
        <f t="shared" si="22"/>
        <v>-57.025517059437256</v>
      </c>
      <c r="O73" s="64">
        <f t="shared" si="13"/>
        <v>87.872816461037999</v>
      </c>
      <c r="P73" s="64">
        <f t="shared" si="14"/>
        <v>2.1271835389620009</v>
      </c>
      <c r="Q73" s="65">
        <f t="shared" si="23"/>
        <v>-50.347908649243998</v>
      </c>
      <c r="R73" s="64">
        <f t="shared" si="16"/>
        <v>79.066455923196344</v>
      </c>
      <c r="S73" s="59">
        <f t="shared" si="17"/>
        <v>10.933544076803656</v>
      </c>
      <c r="T73" s="58">
        <f t="shared" si="24"/>
        <v>-56.407686193186755</v>
      </c>
      <c r="U73" s="66"/>
      <c r="V73" s="53">
        <f>N70</f>
        <v>-59.463788336681034</v>
      </c>
      <c r="X73" s="50"/>
      <c r="Y73" s="50"/>
      <c r="Z73" s="50"/>
      <c r="AA73" s="50">
        <f>M70</f>
        <v>10.102108175553383</v>
      </c>
      <c r="AB73" s="50"/>
      <c r="AC73" s="50"/>
    </row>
    <row r="74" spans="1:29" x14ac:dyDescent="0.2">
      <c r="A74" s="67">
        <v>-56</v>
      </c>
      <c r="B74" s="66">
        <f t="shared" ref="B74:B137" si="25">RADIANS(A74)</f>
        <v>-0.97738438111682457</v>
      </c>
      <c r="C74" s="64">
        <f t="shared" ref="C74:C137" si="26">DEGREES(ACOS(SIN(C$5)*SIN($C$6)+COS(C$5)*COS($C$6)*COS($B74)))</f>
        <v>50.302556730072759</v>
      </c>
      <c r="D74" s="64">
        <f t="shared" ref="D74:D137" si="27">90-C74</f>
        <v>39.697443269927241</v>
      </c>
      <c r="E74" s="65">
        <f t="shared" ref="E74:E105" si="28">DEGREES(-ACOS((SIN(RADIANS(D74))*SIN($C$6)-SIN(C$5))/(COS(RADIANS(D74))*COS($C$6))))</f>
        <v>-81.295334355646247</v>
      </c>
      <c r="F74" s="64">
        <f t="shared" ref="F74:F137" si="29">DEGREES(ACOS(SIN(G$5)*SIN($C$6)+COS(G$5)*COS($C$6)*COS($B74)))</f>
        <v>58.885388886008933</v>
      </c>
      <c r="G74" s="64">
        <f t="shared" ref="G74:G137" si="30">90-F74</f>
        <v>31.114611113991067</v>
      </c>
      <c r="H74" s="64">
        <f t="shared" ref="H74:H105" si="31">DEGREES(-ACOS((SIN(RADIANS(G74))*SIN($C$6)-SIN(G$5))/(COS(RADIANS(G74))*COS($C$6))))</f>
        <v>-71.467479327591249</v>
      </c>
      <c r="I74" s="72">
        <f t="shared" ref="I74:I137" si="32">DEGREES(ACOS(SIN(J$5)*SIN($C$6)+COS(J$5)*COS($C$6)*COS($B74)))</f>
        <v>68.086584563939098</v>
      </c>
      <c r="J74" s="64">
        <f t="shared" ref="J74:J137" si="33">90-I74</f>
        <v>21.913415436060902</v>
      </c>
      <c r="K74" s="65">
        <f t="shared" ref="K74:K105" si="34">DEGREES(-ACOS((SIN(RADIANS(J74))*SIN($C$6)-SIN(J$5))/(COS(RADIANS(J74))*COS($C$6))))</f>
        <v>-63.329326122138347</v>
      </c>
      <c r="L74" s="64">
        <f t="shared" ref="L74:L137" si="35">DEGREES(ACOS(SIN(M$5)*SIN($C$6)+COS(M$5)*COS($C$6)*COS($B74)))</f>
        <v>77.638209701033958</v>
      </c>
      <c r="M74" s="64">
        <f t="shared" ref="M74:M137" si="36">90-L74</f>
        <v>12.361790298966042</v>
      </c>
      <c r="N74" s="65">
        <f t="shared" ref="N74:N105" si="37">DEGREES(-ACOS((SIN(RADIANS(M74))*SIN($C$6)-SIN(M$5))/(COS(RADIANS(M74))*COS($C$6))))</f>
        <v>-56.202188431997975</v>
      </c>
      <c r="O74" s="64">
        <f t="shared" ref="O74:O137" si="38">DEGREES(ACOS(SIN(P$5)*SIN($C$6)+COS(P$5)*COS($C$6)*COS($B74)))</f>
        <v>87.361810037808283</v>
      </c>
      <c r="P74" s="64">
        <f t="shared" ref="P74:P137" si="39">90-O74</f>
        <v>2.6381899621917171</v>
      </c>
      <c r="Q74" s="65">
        <f t="shared" ref="Q74:Q105" si="40">DEGREES(-ACOS((SIN(RADIANS(P74))*SIN($C$6)-SIN(P$5))/(COS(RADIANS(P74))*COS($C$6))))</f>
        <v>-49.585337407919731</v>
      </c>
      <c r="R74" s="64">
        <f t="shared" ref="R74:R137" si="41">DEGREES(ACOS(SIN(S$5)*SIN($C$6)+COS(S$5)*COS($C$6)*COS($B74)))</f>
        <v>78.513169315530533</v>
      </c>
      <c r="S74" s="59">
        <f t="shared" ref="S74:S137" si="42">90-R74</f>
        <v>11.486830684469467</v>
      </c>
      <c r="T74" s="58">
        <f t="shared" ref="T74:T105" si="43">DEGREES(-ACOS((SIN(RADIANS(S74))*SIN($C$6)-SIN(S$5))/(COS(RADIANS(S74))*COS($C$6))))</f>
        <v>-55.589008794995841</v>
      </c>
      <c r="U74" s="66"/>
      <c r="V74" s="53">
        <f>Q70</f>
        <v>-52.611491412498673</v>
      </c>
      <c r="X74" s="50"/>
      <c r="Y74" s="50"/>
      <c r="Z74" s="50"/>
      <c r="AA74" s="50">
        <f>P70</f>
        <v>0.56072592650239983</v>
      </c>
      <c r="AB74" s="50"/>
      <c r="AC74" s="50"/>
    </row>
    <row r="75" spans="1:29" x14ac:dyDescent="0.2">
      <c r="A75" s="67">
        <v>-55</v>
      </c>
      <c r="B75" s="66">
        <f t="shared" si="25"/>
        <v>-0.95993108859688125</v>
      </c>
      <c r="C75" s="64">
        <f t="shared" si="26"/>
        <v>49.643601147043839</v>
      </c>
      <c r="D75" s="64">
        <f t="shared" si="27"/>
        <v>40.356398852956161</v>
      </c>
      <c r="E75" s="65">
        <f t="shared" si="28"/>
        <v>-80.461763000692173</v>
      </c>
      <c r="F75" s="64">
        <f t="shared" si="29"/>
        <v>58.254244358529633</v>
      </c>
      <c r="G75" s="64">
        <f t="shared" si="30"/>
        <v>31.745755641470367</v>
      </c>
      <c r="H75" s="64">
        <f t="shared" si="31"/>
        <v>-70.590176530196075</v>
      </c>
      <c r="I75" s="72">
        <f t="shared" si="32"/>
        <v>67.49248659956524</v>
      </c>
      <c r="J75" s="64">
        <f t="shared" si="33"/>
        <v>22.50751340043476</v>
      </c>
      <c r="K75" s="65">
        <f t="shared" si="34"/>
        <v>-62.460458281868156</v>
      </c>
      <c r="L75" s="64">
        <f t="shared" si="35"/>
        <v>77.086298489050179</v>
      </c>
      <c r="M75" s="64">
        <f t="shared" si="36"/>
        <v>12.913701510949821</v>
      </c>
      <c r="N75" s="65">
        <f t="shared" si="37"/>
        <v>-55.37334133656239</v>
      </c>
      <c r="O75" s="64">
        <f t="shared" si="38"/>
        <v>86.856578068946121</v>
      </c>
      <c r="P75" s="64">
        <f t="shared" si="39"/>
        <v>3.1434219310538793</v>
      </c>
      <c r="Q75" s="65">
        <f t="shared" si="40"/>
        <v>-48.818608485113316</v>
      </c>
      <c r="R75" s="64">
        <f t="shared" si="41"/>
        <v>77.965289585293689</v>
      </c>
      <c r="S75" s="59">
        <f t="shared" si="42"/>
        <v>12.034710414706311</v>
      </c>
      <c r="T75" s="58">
        <f t="shared" si="43"/>
        <v>-54.764953499233137</v>
      </c>
      <c r="U75" s="66"/>
      <c r="V75" s="53"/>
      <c r="X75" s="50"/>
      <c r="Y75" s="50"/>
      <c r="Z75" s="50"/>
      <c r="AA75" s="50"/>
      <c r="AB75" s="50"/>
      <c r="AC75" s="50"/>
    </row>
    <row r="76" spans="1:29" x14ac:dyDescent="0.2">
      <c r="A76" s="67">
        <v>-54</v>
      </c>
      <c r="B76" s="66">
        <f t="shared" si="25"/>
        <v>-0.94247779607693793</v>
      </c>
      <c r="C76" s="64">
        <f t="shared" si="26"/>
        <v>48.986264858676243</v>
      </c>
      <c r="D76" s="64">
        <f t="shared" si="27"/>
        <v>41.013735141323757</v>
      </c>
      <c r="E76" s="65">
        <f t="shared" si="28"/>
        <v>-79.617815708535801</v>
      </c>
      <c r="F76" s="64">
        <f t="shared" si="29"/>
        <v>57.626514211960014</v>
      </c>
      <c r="G76" s="64">
        <f t="shared" si="30"/>
        <v>32.373485788039986</v>
      </c>
      <c r="H76" s="64">
        <f t="shared" si="31"/>
        <v>-69.703508984450636</v>
      </c>
      <c r="I76" s="72">
        <f t="shared" si="32"/>
        <v>66.903088332329602</v>
      </c>
      <c r="J76" s="64">
        <f t="shared" si="33"/>
        <v>23.096911667670398</v>
      </c>
      <c r="K76" s="65">
        <f t="shared" si="34"/>
        <v>-61.58412174923194</v>
      </c>
      <c r="L76" s="64">
        <f t="shared" si="35"/>
        <v>76.539892056710897</v>
      </c>
      <c r="M76" s="64">
        <f t="shared" si="36"/>
        <v>13.460107943289103</v>
      </c>
      <c r="N76" s="65">
        <f t="shared" si="37"/>
        <v>-54.538840730210126</v>
      </c>
      <c r="O76" s="64">
        <f t="shared" si="38"/>
        <v>86.357242965344255</v>
      </c>
      <c r="P76" s="64">
        <f t="shared" si="39"/>
        <v>3.6427570346557445</v>
      </c>
      <c r="Q76" s="65">
        <f t="shared" si="40"/>
        <v>-48.047645521009009</v>
      </c>
      <c r="R76" s="64">
        <f t="shared" si="41"/>
        <v>77.422966268000394</v>
      </c>
      <c r="S76" s="59">
        <f t="shared" si="42"/>
        <v>12.577033731999606</v>
      </c>
      <c r="T76" s="58">
        <f t="shared" si="43"/>
        <v>-53.935391573912838</v>
      </c>
      <c r="U76" s="66"/>
      <c r="V76" s="53"/>
      <c r="X76" s="50"/>
      <c r="Y76" s="50"/>
      <c r="Z76" s="50"/>
      <c r="AA76" s="50"/>
      <c r="AB76" s="50"/>
      <c r="AC76" s="50"/>
    </row>
    <row r="77" spans="1:29" x14ac:dyDescent="0.2">
      <c r="A77" s="67">
        <v>-53</v>
      </c>
      <c r="B77" s="66">
        <f t="shared" si="25"/>
        <v>-0.92502450355699462</v>
      </c>
      <c r="C77" s="64">
        <f t="shared" si="26"/>
        <v>48.330711932746908</v>
      </c>
      <c r="D77" s="64">
        <f t="shared" si="27"/>
        <v>41.669288067253092</v>
      </c>
      <c r="E77" s="65">
        <f t="shared" si="28"/>
        <v>-78.762983272668464</v>
      </c>
      <c r="F77" s="64">
        <f t="shared" si="29"/>
        <v>57.002386545769632</v>
      </c>
      <c r="G77" s="64">
        <f t="shared" si="30"/>
        <v>32.997613454230368</v>
      </c>
      <c r="H77" s="64">
        <f t="shared" si="31"/>
        <v>-68.8071207355881</v>
      </c>
      <c r="I77" s="72">
        <f t="shared" si="32"/>
        <v>66.318569071807048</v>
      </c>
      <c r="J77" s="64">
        <f t="shared" si="33"/>
        <v>23.681430928192952</v>
      </c>
      <c r="K77" s="65">
        <f t="shared" si="34"/>
        <v>-60.700094328221496</v>
      </c>
      <c r="L77" s="64">
        <f t="shared" si="35"/>
        <v>75.999144571868271</v>
      </c>
      <c r="M77" s="64">
        <f t="shared" si="36"/>
        <v>14.000855428131729</v>
      </c>
      <c r="N77" s="65">
        <f t="shared" si="37"/>
        <v>-53.698554932489159</v>
      </c>
      <c r="O77" s="64">
        <f t="shared" si="38"/>
        <v>85.863928141770941</v>
      </c>
      <c r="P77" s="64">
        <f t="shared" si="39"/>
        <v>4.1360718582290588</v>
      </c>
      <c r="Q77" s="65">
        <f t="shared" si="40"/>
        <v>-47.272375760810021</v>
      </c>
      <c r="R77" s="64">
        <f t="shared" si="41"/>
        <v>76.886350863163955</v>
      </c>
      <c r="S77" s="59">
        <f t="shared" si="42"/>
        <v>13.113649136836045</v>
      </c>
      <c r="T77" s="58">
        <f t="shared" si="43"/>
        <v>-53.100197736351589</v>
      </c>
      <c r="U77" s="66"/>
      <c r="V77" s="53"/>
      <c r="X77" s="50"/>
      <c r="Y77" s="50"/>
      <c r="Z77" s="50"/>
      <c r="AA77" s="50"/>
      <c r="AB77" s="50"/>
      <c r="AC77" s="50"/>
    </row>
    <row r="78" spans="1:29" x14ac:dyDescent="0.2">
      <c r="A78" s="67">
        <v>-52</v>
      </c>
      <c r="B78" s="66">
        <f t="shared" si="25"/>
        <v>-0.90757121103705141</v>
      </c>
      <c r="C78" s="64">
        <f t="shared" si="26"/>
        <v>47.6771126833087</v>
      </c>
      <c r="D78" s="64">
        <f t="shared" si="27"/>
        <v>42.3228873166913</v>
      </c>
      <c r="E78" s="65">
        <f t="shared" si="28"/>
        <v>-77.896736945685362</v>
      </c>
      <c r="F78" s="64">
        <f t="shared" si="29"/>
        <v>56.38205499452291</v>
      </c>
      <c r="G78" s="64">
        <f t="shared" si="30"/>
        <v>33.61794500547709</v>
      </c>
      <c r="H78" s="64">
        <f t="shared" si="31"/>
        <v>-67.900650142227377</v>
      </c>
      <c r="I78" s="72">
        <f t="shared" si="32"/>
        <v>65.739111834932572</v>
      </c>
      <c r="J78" s="64">
        <f t="shared" si="33"/>
        <v>24.260888165067428</v>
      </c>
      <c r="K78" s="65">
        <f t="shared" si="34"/>
        <v>-59.808155102515052</v>
      </c>
      <c r="L78" s="64">
        <f t="shared" si="35"/>
        <v>75.464212277278008</v>
      </c>
      <c r="M78" s="64">
        <f t="shared" si="36"/>
        <v>14.535787722721992</v>
      </c>
      <c r="N78" s="65">
        <f t="shared" si="37"/>
        <v>-52.852355867114881</v>
      </c>
      <c r="O78" s="64">
        <f t="shared" si="38"/>
        <v>85.376757978721329</v>
      </c>
      <c r="P78" s="64">
        <f t="shared" si="39"/>
        <v>4.6232420212786707</v>
      </c>
      <c r="Q78" s="65">
        <f t="shared" si="40"/>
        <v>-46.492730183486081</v>
      </c>
      <c r="R78" s="64">
        <f t="shared" si="41"/>
        <v>76.355596822717231</v>
      </c>
      <c r="S78" s="59">
        <f t="shared" si="42"/>
        <v>13.644403177282769</v>
      </c>
      <c r="T78" s="58">
        <f t="shared" si="43"/>
        <v>-52.259250383933775</v>
      </c>
      <c r="U78" s="66"/>
      <c r="V78" s="53"/>
      <c r="X78" s="50"/>
      <c r="Y78" s="50"/>
      <c r="Z78" s="50"/>
      <c r="AA78" s="50"/>
      <c r="AB78" s="50"/>
      <c r="AC78" s="50"/>
    </row>
    <row r="79" spans="1:29" x14ac:dyDescent="0.2">
      <c r="A79" s="67">
        <v>-51</v>
      </c>
      <c r="B79" s="66">
        <f t="shared" si="25"/>
        <v>-0.89011791851710809</v>
      </c>
      <c r="C79" s="64">
        <f t="shared" si="26"/>
        <v>47.025644084816328</v>
      </c>
      <c r="D79" s="64">
        <f t="shared" si="27"/>
        <v>42.974355915183672</v>
      </c>
      <c r="E79" s="65">
        <f t="shared" si="28"/>
        <v>-77.018527672787101</v>
      </c>
      <c r="F79" s="64">
        <f t="shared" si="29"/>
        <v>55.765718955869993</v>
      </c>
      <c r="G79" s="64">
        <f t="shared" si="30"/>
        <v>34.234281044130007</v>
      </c>
      <c r="H79" s="64">
        <f t="shared" si="31"/>
        <v>-66.983730087989159</v>
      </c>
      <c r="I79" s="72">
        <f t="shared" si="32"/>
        <v>65.164903413527497</v>
      </c>
      <c r="J79" s="64">
        <f t="shared" si="33"/>
        <v>24.835096586472503</v>
      </c>
      <c r="K79" s="65">
        <f t="shared" si="34"/>
        <v>-58.908084799220219</v>
      </c>
      <c r="L79" s="64">
        <f t="shared" si="35"/>
        <v>74.935253476339653</v>
      </c>
      <c r="M79" s="64">
        <f t="shared" si="36"/>
        <v>15.064746523660347</v>
      </c>
      <c r="N79" s="65">
        <f t="shared" si="37"/>
        <v>-52.000119318468357</v>
      </c>
      <c r="O79" s="64">
        <f t="shared" si="38"/>
        <v>84.895857779292982</v>
      </c>
      <c r="P79" s="64">
        <f t="shared" si="39"/>
        <v>5.1041422207070184</v>
      </c>
      <c r="Q79" s="65">
        <f t="shared" si="40"/>
        <v>-45.708643635769171</v>
      </c>
      <c r="R79" s="64">
        <f t="shared" si="41"/>
        <v>75.830859532443085</v>
      </c>
      <c r="S79" s="59">
        <f t="shared" si="42"/>
        <v>14.169140467556915</v>
      </c>
      <c r="T79" s="58">
        <f t="shared" si="43"/>
        <v>-51.41243183846867</v>
      </c>
      <c r="U79" s="66"/>
      <c r="V79" s="53"/>
      <c r="X79" s="50"/>
      <c r="Y79" s="50"/>
      <c r="Z79" s="50"/>
      <c r="AA79" s="50"/>
      <c r="AB79" s="50"/>
      <c r="AC79" s="50"/>
    </row>
    <row r="80" spans="1:29" x14ac:dyDescent="0.2">
      <c r="A80" s="67">
        <v>-50</v>
      </c>
      <c r="B80" s="66">
        <f t="shared" si="25"/>
        <v>-0.87266462599716477</v>
      </c>
      <c r="C80" s="64">
        <f t="shared" si="26"/>
        <v>46.376490209428894</v>
      </c>
      <c r="D80" s="64">
        <f t="shared" si="27"/>
        <v>43.623509790571106</v>
      </c>
      <c r="E80" s="65">
        <f t="shared" si="28"/>
        <v>-76.127785328997902</v>
      </c>
      <c r="F80" s="64">
        <f t="shared" si="29"/>
        <v>55.153583819559806</v>
      </c>
      <c r="G80" s="64">
        <f t="shared" si="30"/>
        <v>34.846416180440194</v>
      </c>
      <c r="H80" s="64">
        <f t="shared" si="31"/>
        <v>-66.05598824853152</v>
      </c>
      <c r="I80" s="72">
        <f t="shared" si="32"/>
        <v>64.596134434277417</v>
      </c>
      <c r="J80" s="64">
        <f t="shared" si="33"/>
        <v>25.403865565722583</v>
      </c>
      <c r="K80" s="65">
        <f t="shared" si="34"/>
        <v>-57.999666187484799</v>
      </c>
      <c r="L80" s="64">
        <f t="shared" si="35"/>
        <v>74.412428511260856</v>
      </c>
      <c r="M80" s="64">
        <f t="shared" si="36"/>
        <v>15.587571488739144</v>
      </c>
      <c r="N80" s="65">
        <f t="shared" si="37"/>
        <v>-51.141725202864777</v>
      </c>
      <c r="O80" s="64">
        <f t="shared" si="38"/>
        <v>84.421353720935727</v>
      </c>
      <c r="P80" s="64">
        <f t="shared" si="39"/>
        <v>5.578646279064273</v>
      </c>
      <c r="Q80" s="65">
        <f t="shared" si="40"/>
        <v>-44.920054971034808</v>
      </c>
      <c r="R80" s="64">
        <f t="shared" si="41"/>
        <v>75.312296286007381</v>
      </c>
      <c r="S80" s="59">
        <f t="shared" si="42"/>
        <v>14.687703713992619</v>
      </c>
      <c r="T80" s="58">
        <f t="shared" si="43"/>
        <v>-50.559628604043084</v>
      </c>
      <c r="U80" s="66"/>
      <c r="V80" s="53"/>
      <c r="X80" s="50"/>
      <c r="Y80" s="50"/>
      <c r="Z80" s="50"/>
      <c r="AA80" s="50"/>
      <c r="AB80" s="50"/>
      <c r="AC80" s="50"/>
    </row>
    <row r="81" spans="1:29" x14ac:dyDescent="0.2">
      <c r="A81" s="67">
        <v>-49</v>
      </c>
      <c r="B81" s="66">
        <f t="shared" si="25"/>
        <v>-0.85521133347722145</v>
      </c>
      <c r="C81" s="64">
        <f t="shared" si="26"/>
        <v>45.729842688472189</v>
      </c>
      <c r="D81" s="64">
        <f t="shared" si="27"/>
        <v>44.270157311527811</v>
      </c>
      <c r="E81" s="65">
        <f t="shared" si="28"/>
        <v>-75.22391796747651</v>
      </c>
      <c r="F81" s="64">
        <f t="shared" si="29"/>
        <v>54.545861196493512</v>
      </c>
      <c r="G81" s="64">
        <f t="shared" si="30"/>
        <v>35.454138803506488</v>
      </c>
      <c r="H81" s="64">
        <f t="shared" si="31"/>
        <v>-65.117047420098601</v>
      </c>
      <c r="I81" s="72">
        <f t="shared" si="32"/>
        <v>64.032999410241743</v>
      </c>
      <c r="J81" s="64">
        <f t="shared" si="33"/>
        <v>25.967000589758257</v>
      </c>
      <c r="K81" s="65">
        <f t="shared" si="34"/>
        <v>-57.082684513577938</v>
      </c>
      <c r="L81" s="64">
        <f t="shared" si="35"/>
        <v>73.895899733193275</v>
      </c>
      <c r="M81" s="64">
        <f t="shared" si="36"/>
        <v>16.104100266806725</v>
      </c>
      <c r="N81" s="65">
        <f t="shared" si="37"/>
        <v>-50.277057854480454</v>
      </c>
      <c r="O81" s="64">
        <f t="shared" si="38"/>
        <v>83.95337280192993</v>
      </c>
      <c r="P81" s="64">
        <f t="shared" si="39"/>
        <v>6.0466271980700697</v>
      </c>
      <c r="Q81" s="65">
        <f t="shared" si="40"/>
        <v>-44.126907192664177</v>
      </c>
      <c r="R81" s="64">
        <f t="shared" si="41"/>
        <v>74.800066251178762</v>
      </c>
      <c r="S81" s="59">
        <f t="shared" si="42"/>
        <v>15.199933748821238</v>
      </c>
      <c r="T81" s="58">
        <f t="shared" si="43"/>
        <v>-49.700731638195798</v>
      </c>
      <c r="U81" s="66"/>
      <c r="V81" s="53"/>
      <c r="X81" s="50"/>
      <c r="Y81" s="50"/>
      <c r="Z81" s="50"/>
      <c r="AA81" s="50"/>
      <c r="AB81" s="50"/>
      <c r="AC81" s="50"/>
    </row>
    <row r="82" spans="1:29" x14ac:dyDescent="0.2">
      <c r="A82" s="67">
        <v>-48</v>
      </c>
      <c r="B82" s="66">
        <f t="shared" si="25"/>
        <v>-0.83775804095727824</v>
      </c>
      <c r="C82" s="64">
        <f t="shared" si="26"/>
        <v>45.085901198986974</v>
      </c>
      <c r="D82" s="64">
        <f t="shared" si="27"/>
        <v>44.914098801013026</v>
      </c>
      <c r="E82" s="65">
        <f t="shared" si="28"/>
        <v>-74.306311087772329</v>
      </c>
      <c r="F82" s="64">
        <f t="shared" si="29"/>
        <v>53.942769146674991</v>
      </c>
      <c r="G82" s="64">
        <f t="shared" si="30"/>
        <v>36.057230853325009</v>
      </c>
      <c r="H82" s="64">
        <f t="shared" si="31"/>
        <v>-64.166525916113727</v>
      </c>
      <c r="I82" s="72">
        <f t="shared" si="32"/>
        <v>63.475696782908891</v>
      </c>
      <c r="J82" s="64">
        <f t="shared" si="33"/>
        <v>26.524303217091109</v>
      </c>
      <c r="K82" s="65">
        <f t="shared" si="34"/>
        <v>-56.156927973983464</v>
      </c>
      <c r="L82" s="64">
        <f t="shared" si="35"/>
        <v>73.385831463879185</v>
      </c>
      <c r="M82" s="64">
        <f t="shared" si="36"/>
        <v>16.614168536120815</v>
      </c>
      <c r="N82" s="65">
        <f t="shared" si="37"/>
        <v>-49.406006325737984</v>
      </c>
      <c r="O82" s="64">
        <f t="shared" si="38"/>
        <v>83.492042782454973</v>
      </c>
      <c r="P82" s="64">
        <f t="shared" si="39"/>
        <v>6.5079572175450267</v>
      </c>
      <c r="Q82" s="65">
        <f t="shared" si="40"/>
        <v>-43.329147601443871</v>
      </c>
      <c r="R82" s="64">
        <f t="shared" si="41"/>
        <v>74.294330427813691</v>
      </c>
      <c r="S82" s="59">
        <f t="shared" si="42"/>
        <v>15.705669572186309</v>
      </c>
      <c r="T82" s="58">
        <f t="shared" si="43"/>
        <v>-48.835636636154398</v>
      </c>
      <c r="U82" s="66"/>
      <c r="V82" s="53"/>
      <c r="X82" s="50"/>
      <c r="Y82" s="50"/>
      <c r="Z82" s="50"/>
      <c r="AA82" s="50"/>
      <c r="AB82" s="50"/>
      <c r="AC82" s="50"/>
    </row>
    <row r="83" spans="1:29" x14ac:dyDescent="0.2">
      <c r="A83" s="67">
        <v>-47</v>
      </c>
      <c r="B83" s="66">
        <f t="shared" si="25"/>
        <v>-0.82030474843733492</v>
      </c>
      <c r="C83" s="64">
        <f t="shared" si="26"/>
        <v>44.444873976203908</v>
      </c>
      <c r="D83" s="64">
        <f t="shared" si="27"/>
        <v>45.555126023796092</v>
      </c>
      <c r="E83" s="65">
        <f t="shared" si="28"/>
        <v>-73.374326934579884</v>
      </c>
      <c r="F83" s="64">
        <f t="shared" si="29"/>
        <v>53.344532404736015</v>
      </c>
      <c r="G83" s="64">
        <f t="shared" si="30"/>
        <v>36.655467595263985</v>
      </c>
      <c r="H83" s="64">
        <f t="shared" si="31"/>
        <v>-63.204038038785185</v>
      </c>
      <c r="I83" s="72">
        <f t="shared" si="32"/>
        <v>62.924428953744062</v>
      </c>
      <c r="J83" s="64">
        <f t="shared" si="33"/>
        <v>27.075571046255938</v>
      </c>
      <c r="K83" s="65">
        <f t="shared" si="34"/>
        <v>-55.222188227959222</v>
      </c>
      <c r="L83" s="64">
        <f t="shared" si="35"/>
        <v>72.882389948341242</v>
      </c>
      <c r="M83" s="64">
        <f t="shared" si="36"/>
        <v>17.117610051658758</v>
      </c>
      <c r="N83" s="65">
        <f t="shared" si="37"/>
        <v>-48.528464701848222</v>
      </c>
      <c r="O83" s="64">
        <f t="shared" si="38"/>
        <v>83.037492120116852</v>
      </c>
      <c r="P83" s="64">
        <f t="shared" si="39"/>
        <v>6.9625078798831481</v>
      </c>
      <c r="Q83" s="65">
        <f t="shared" si="40"/>
        <v>-42.526727946514796</v>
      </c>
      <c r="R83" s="64">
        <f t="shared" si="41"/>
        <v>73.795251597180425</v>
      </c>
      <c r="S83" s="59">
        <f t="shared" si="42"/>
        <v>16.204748402819575</v>
      </c>
      <c r="T83" s="58">
        <f t="shared" si="43"/>
        <v>-47.964244327779504</v>
      </c>
      <c r="U83" s="66"/>
      <c r="V83" s="53"/>
      <c r="X83" s="50"/>
      <c r="Y83" s="50"/>
      <c r="Z83" s="50"/>
      <c r="AA83" s="50"/>
      <c r="AB83" s="50"/>
      <c r="AC83" s="50"/>
    </row>
    <row r="84" spans="1:29" x14ac:dyDescent="0.2">
      <c r="A84" s="67">
        <v>-46</v>
      </c>
      <c r="B84" s="66">
        <f t="shared" si="25"/>
        <v>-0.8028514559173916</v>
      </c>
      <c r="C84" s="64">
        <f t="shared" si="26"/>
        <v>43.806978352666853</v>
      </c>
      <c r="D84" s="64">
        <f t="shared" si="27"/>
        <v>46.193021647333147</v>
      </c>
      <c r="E84" s="65">
        <f t="shared" si="28"/>
        <v>-72.427303839496901</v>
      </c>
      <c r="F84" s="64">
        <f t="shared" si="29"/>
        <v>52.751382601516887</v>
      </c>
      <c r="G84" s="64">
        <f t="shared" si="30"/>
        <v>37.248617398483113</v>
      </c>
      <c r="H84" s="64">
        <f t="shared" si="31"/>
        <v>-62.229194633121331</v>
      </c>
      <c r="I84" s="72">
        <f t="shared" si="32"/>
        <v>62.379402304110123</v>
      </c>
      <c r="J84" s="64">
        <f t="shared" si="33"/>
        <v>27.620597695889877</v>
      </c>
      <c r="K84" s="65">
        <f t="shared" si="34"/>
        <v>-54.278260950898613</v>
      </c>
      <c r="L84" s="64">
        <f t="shared" si="35"/>
        <v>72.385743298144092</v>
      </c>
      <c r="M84" s="64">
        <f t="shared" si="36"/>
        <v>17.614256701855908</v>
      </c>
      <c r="N84" s="65">
        <f t="shared" si="37"/>
        <v>-47.644332429097609</v>
      </c>
      <c r="O84" s="64">
        <f t="shared" si="38"/>
        <v>82.589849899813615</v>
      </c>
      <c r="P84" s="64">
        <f t="shared" si="39"/>
        <v>7.4101501001863852</v>
      </c>
      <c r="Q84" s="65">
        <f t="shared" si="40"/>
        <v>-41.719604579337343</v>
      </c>
      <c r="R84" s="64">
        <f t="shared" si="41"/>
        <v>73.302994262195739</v>
      </c>
      <c r="S84" s="59">
        <f t="shared" si="42"/>
        <v>16.697005737804261</v>
      </c>
      <c r="T84" s="58">
        <f t="shared" si="43"/>
        <v>-47.086460786757705</v>
      </c>
      <c r="U84" s="66"/>
      <c r="V84" s="53"/>
      <c r="X84" s="50"/>
      <c r="Y84" s="50"/>
      <c r="Z84" s="50"/>
      <c r="AA84" s="50"/>
      <c r="AB84" s="50"/>
      <c r="AC84" s="50"/>
    </row>
    <row r="85" spans="1:29" s="54" customFormat="1" x14ac:dyDescent="0.2">
      <c r="A85" s="63">
        <v>-45</v>
      </c>
      <c r="B85" s="62">
        <f t="shared" si="25"/>
        <v>-0.78539816339744828</v>
      </c>
      <c r="C85" s="60">
        <f t="shared" si="26"/>
        <v>43.17244132456792</v>
      </c>
      <c r="D85" s="60">
        <f t="shared" si="27"/>
        <v>46.82755867543208</v>
      </c>
      <c r="E85" s="61">
        <f t="shared" si="28"/>
        <v>-71.464555620524791</v>
      </c>
      <c r="F85" s="60">
        <f t="shared" si="29"/>
        <v>52.163558479969367</v>
      </c>
      <c r="G85" s="60">
        <f t="shared" si="30"/>
        <v>37.836441520030633</v>
      </c>
      <c r="H85" s="60">
        <f t="shared" si="31"/>
        <v>-61.241603731161568</v>
      </c>
      <c r="I85" s="73">
        <f t="shared" si="32"/>
        <v>61.84082720237658</v>
      </c>
      <c r="J85" s="60">
        <f t="shared" si="33"/>
        <v>28.15917279762342</v>
      </c>
      <c r="K85" s="61">
        <f t="shared" si="34"/>
        <v>-53.324946429681333</v>
      </c>
      <c r="L85" s="60">
        <f t="shared" si="35"/>
        <v>71.896061424756525</v>
      </c>
      <c r="M85" s="60">
        <f t="shared" si="36"/>
        <v>18.103938575243475</v>
      </c>
      <c r="N85" s="61">
        <f t="shared" si="37"/>
        <v>-46.753514656348905</v>
      </c>
      <c r="O85" s="60">
        <f t="shared" si="38"/>
        <v>82.149245757829377</v>
      </c>
      <c r="P85" s="60">
        <f t="shared" si="39"/>
        <v>7.8507542421706233</v>
      </c>
      <c r="Q85" s="61">
        <f t="shared" si="40"/>
        <v>-40.907738610094277</v>
      </c>
      <c r="R85" s="60">
        <f t="shared" si="41"/>
        <v>72.817724578149438</v>
      </c>
      <c r="S85" s="59">
        <f t="shared" si="42"/>
        <v>17.182275421850562</v>
      </c>
      <c r="T85" s="58">
        <f t="shared" si="43"/>
        <v>-46.202197751472113</v>
      </c>
      <c r="U85" s="62"/>
      <c r="V85" s="56">
        <f>E85</f>
        <v>-71.464555620524791</v>
      </c>
      <c r="W85" s="55"/>
      <c r="X85" s="55"/>
      <c r="Y85" s="55"/>
      <c r="Z85" s="55"/>
      <c r="AA85" s="55"/>
      <c r="AB85" s="55">
        <f>D85</f>
        <v>46.82755867543208</v>
      </c>
      <c r="AC85" s="55"/>
    </row>
    <row r="86" spans="1:29" x14ac:dyDescent="0.2">
      <c r="A86" s="67">
        <v>-44</v>
      </c>
      <c r="B86" s="66">
        <f t="shared" si="25"/>
        <v>-0.76794487087750496</v>
      </c>
      <c r="C86" s="64">
        <f t="shared" si="26"/>
        <v>42.541500145649678</v>
      </c>
      <c r="D86" s="64">
        <f t="shared" si="27"/>
        <v>47.458499854350322</v>
      </c>
      <c r="E86" s="65">
        <f t="shared" si="28"/>
        <v>-70.485371056591447</v>
      </c>
      <c r="F86" s="64">
        <f t="shared" si="29"/>
        <v>51.581306103414057</v>
      </c>
      <c r="G86" s="64">
        <f t="shared" si="30"/>
        <v>38.418693896585943</v>
      </c>
      <c r="H86" s="64">
        <f t="shared" si="31"/>
        <v>-60.24087129460753</v>
      </c>
      <c r="I86" s="72">
        <f t="shared" si="32"/>
        <v>61.308917996968042</v>
      </c>
      <c r="J86" s="64">
        <f t="shared" si="33"/>
        <v>28.691082003031958</v>
      </c>
      <c r="K86" s="65">
        <f t="shared" si="34"/>
        <v>-52.36205020101265</v>
      </c>
      <c r="L86" s="64">
        <f t="shared" si="35"/>
        <v>71.413515962546384</v>
      </c>
      <c r="M86" s="64">
        <f t="shared" si="36"/>
        <v>18.586484037453616</v>
      </c>
      <c r="N86" s="65">
        <f t="shared" si="37"/>
        <v>-45.855922589092806</v>
      </c>
      <c r="O86" s="64">
        <f t="shared" si="38"/>
        <v>81.715809800059944</v>
      </c>
      <c r="P86" s="64">
        <f t="shared" si="39"/>
        <v>8.2841901999400562</v>
      </c>
      <c r="Q86" s="65">
        <f t="shared" si="40"/>
        <v>-40.09109606590372</v>
      </c>
      <c r="R86" s="64">
        <f t="shared" si="41"/>
        <v>72.339610273497968</v>
      </c>
      <c r="S86" s="59">
        <f t="shared" si="42"/>
        <v>17.660389726502032</v>
      </c>
      <c r="T86" s="58">
        <f t="shared" si="43"/>
        <v>-45.311372956856729</v>
      </c>
      <c r="U86" s="66"/>
      <c r="V86" s="53">
        <f>H85</f>
        <v>-61.241603731161568</v>
      </c>
      <c r="X86" s="50"/>
      <c r="Y86" s="50"/>
      <c r="Z86" s="50"/>
      <c r="AA86" s="50"/>
      <c r="AB86" s="50">
        <f>G85</f>
        <v>37.836441520030633</v>
      </c>
      <c r="AC86" s="50"/>
    </row>
    <row r="87" spans="1:29" x14ac:dyDescent="0.2">
      <c r="A87" s="67">
        <v>-43</v>
      </c>
      <c r="B87" s="66">
        <f t="shared" si="25"/>
        <v>-0.75049157835756175</v>
      </c>
      <c r="C87" s="64">
        <f t="shared" si="26"/>
        <v>41.9144029487654</v>
      </c>
      <c r="D87" s="64">
        <f t="shared" si="27"/>
        <v>48.0855970512346</v>
      </c>
      <c r="E87" s="65">
        <f t="shared" si="28"/>
        <v>-69.489013457256803</v>
      </c>
      <c r="F87" s="64">
        <f t="shared" si="29"/>
        <v>51.004879053932967</v>
      </c>
      <c r="G87" s="64">
        <f t="shared" si="30"/>
        <v>38.995120946067033</v>
      </c>
      <c r="H87" s="64">
        <f t="shared" si="31"/>
        <v>-59.22660206437331</v>
      </c>
      <c r="I87" s="72">
        <f t="shared" si="32"/>
        <v>60.783892994043647</v>
      </c>
      <c r="J87" s="64">
        <f t="shared" si="33"/>
        <v>29.216107005956353</v>
      </c>
      <c r="K87" s="65">
        <f t="shared" si="34"/>
        <v>-51.389383733524603</v>
      </c>
      <c r="L87" s="64">
        <f t="shared" si="35"/>
        <v>70.938280180947316</v>
      </c>
      <c r="M87" s="64">
        <f t="shared" si="36"/>
        <v>19.061719819052684</v>
      </c>
      <c r="N87" s="65">
        <f t="shared" si="37"/>
        <v>-44.951473855245219</v>
      </c>
      <c r="O87" s="64">
        <f t="shared" si="38"/>
        <v>81.28967251428918</v>
      </c>
      <c r="P87" s="64">
        <f t="shared" si="39"/>
        <v>8.7103274857108204</v>
      </c>
      <c r="Q87" s="65">
        <f t="shared" si="40"/>
        <v>-39.26964805016771</v>
      </c>
      <c r="R87" s="64">
        <f t="shared" si="41"/>
        <v>71.868820560318284</v>
      </c>
      <c r="S87" s="59">
        <f t="shared" si="42"/>
        <v>18.131179439681716</v>
      </c>
      <c r="T87" s="58">
        <f t="shared" si="43"/>
        <v>-44.413910476411885</v>
      </c>
      <c r="U87" s="66"/>
      <c r="V87" s="53">
        <f>K85</f>
        <v>-53.324946429681333</v>
      </c>
      <c r="X87" s="50"/>
      <c r="Y87" s="50"/>
      <c r="Z87" s="50"/>
      <c r="AA87" s="50"/>
      <c r="AB87" s="50">
        <f>J85</f>
        <v>28.15917279762342</v>
      </c>
      <c r="AC87" s="50"/>
    </row>
    <row r="88" spans="1:29" x14ac:dyDescent="0.2">
      <c r="A88" s="67">
        <v>-42</v>
      </c>
      <c r="B88" s="66">
        <f t="shared" si="25"/>
        <v>-0.73303828583761843</v>
      </c>
      <c r="C88" s="64">
        <f t="shared" si="26"/>
        <v>41.291409394855926</v>
      </c>
      <c r="D88" s="64">
        <f t="shared" si="27"/>
        <v>48.708590605144074</v>
      </c>
      <c r="E88" s="65">
        <f t="shared" si="28"/>
        <v>-68.474720351010987</v>
      </c>
      <c r="F88" s="64">
        <f t="shared" si="29"/>
        <v>50.43453861840603</v>
      </c>
      <c r="G88" s="64">
        <f t="shared" si="30"/>
        <v>39.56546138159397</v>
      </c>
      <c r="H88" s="64">
        <f t="shared" si="31"/>
        <v>-58.198400525844782</v>
      </c>
      <c r="I88" s="72">
        <f t="shared" si="32"/>
        <v>60.265974418442767</v>
      </c>
      <c r="J88" s="64">
        <f t="shared" si="33"/>
        <v>29.734025581557233</v>
      </c>
      <c r="K88" s="65">
        <f t="shared" si="34"/>
        <v>-50.406765154140921</v>
      </c>
      <c r="L88" s="64">
        <f t="shared" si="35"/>
        <v>70.470528885349736</v>
      </c>
      <c r="M88" s="64">
        <f t="shared" si="36"/>
        <v>19.529471114650264</v>
      </c>
      <c r="N88" s="65">
        <f t="shared" si="37"/>
        <v>-44.040092881736115</v>
      </c>
      <c r="O88" s="64">
        <f t="shared" si="38"/>
        <v>80.870964676451536</v>
      </c>
      <c r="P88" s="64">
        <f t="shared" si="39"/>
        <v>9.1290353235484645</v>
      </c>
      <c r="Q88" s="65">
        <f t="shared" si="40"/>
        <v>-38.4433709023318</v>
      </c>
      <c r="R88" s="64">
        <f t="shared" si="41"/>
        <v>71.405526034026266</v>
      </c>
      <c r="S88" s="59">
        <f t="shared" si="42"/>
        <v>18.594473965973734</v>
      </c>
      <c r="T88" s="58">
        <f t="shared" si="43"/>
        <v>-43.509741073416407</v>
      </c>
      <c r="U88" s="66"/>
      <c r="V88" s="53">
        <f>N85</f>
        <v>-46.753514656348905</v>
      </c>
      <c r="X88" s="50"/>
      <c r="Y88" s="50"/>
      <c r="Z88" s="50"/>
      <c r="AA88" s="50"/>
      <c r="AB88" s="50">
        <f>M85</f>
        <v>18.103938575243475</v>
      </c>
      <c r="AC88" s="50"/>
    </row>
    <row r="89" spans="1:29" x14ac:dyDescent="0.2">
      <c r="A89" s="67">
        <v>-41</v>
      </c>
      <c r="B89" s="66">
        <f t="shared" si="25"/>
        <v>-0.71558499331767511</v>
      </c>
      <c r="C89" s="64">
        <f t="shared" si="26"/>
        <v>40.672791348688627</v>
      </c>
      <c r="D89" s="64">
        <f t="shared" si="27"/>
        <v>49.327208651311373</v>
      </c>
      <c r="E89" s="65">
        <f t="shared" si="28"/>
        <v>-67.441703319215875</v>
      </c>
      <c r="F89" s="64">
        <f t="shared" si="29"/>
        <v>49.870553959411836</v>
      </c>
      <c r="G89" s="64">
        <f t="shared" si="30"/>
        <v>40.129446040588164</v>
      </c>
      <c r="H89" s="64">
        <f t="shared" si="31"/>
        <v>-57.155871998827976</v>
      </c>
      <c r="I89" s="72">
        <f t="shared" si="32"/>
        <v>59.755388356482683</v>
      </c>
      <c r="J89" s="64">
        <f t="shared" si="33"/>
        <v>30.244611643517317</v>
      </c>
      <c r="K89" s="65">
        <f t="shared" si="34"/>
        <v>-49.414020018888863</v>
      </c>
      <c r="L89" s="64">
        <f t="shared" si="35"/>
        <v>70.010438306284641</v>
      </c>
      <c r="M89" s="64">
        <f t="shared" si="36"/>
        <v>19.989561693715359</v>
      </c>
      <c r="N89" s="65">
        <f t="shared" si="37"/>
        <v>-43.121711280772907</v>
      </c>
      <c r="O89" s="64">
        <f t="shared" si="38"/>
        <v>80.459817250835812</v>
      </c>
      <c r="P89" s="64">
        <f t="shared" si="39"/>
        <v>9.5401827491641882</v>
      </c>
      <c r="Q89" s="65">
        <f t="shared" si="40"/>
        <v>-37.612246357283411</v>
      </c>
      <c r="R89" s="64">
        <f t="shared" si="41"/>
        <v>70.949898561984185</v>
      </c>
      <c r="S89" s="59">
        <f t="shared" si="42"/>
        <v>19.050101438015815</v>
      </c>
      <c r="T89" s="58">
        <f t="shared" si="43"/>
        <v>-42.598802560229004</v>
      </c>
      <c r="U89" s="66"/>
      <c r="V89" s="53">
        <f>Q85</f>
        <v>-40.907738610094277</v>
      </c>
      <c r="X89" s="50"/>
      <c r="Y89" s="50"/>
      <c r="Z89" s="50"/>
      <c r="AA89" s="50"/>
      <c r="AB89" s="50">
        <f>P85</f>
        <v>7.8507542421706233</v>
      </c>
      <c r="AC89" s="50"/>
    </row>
    <row r="90" spans="1:29" x14ac:dyDescent="0.2">
      <c r="A90" s="67">
        <v>-40</v>
      </c>
      <c r="B90" s="66">
        <f t="shared" si="25"/>
        <v>-0.69813170079773179</v>
      </c>
      <c r="C90" s="64">
        <f t="shared" si="26"/>
        <v>40.058833580198467</v>
      </c>
      <c r="D90" s="64">
        <f t="shared" si="27"/>
        <v>49.941166419801533</v>
      </c>
      <c r="E90" s="65">
        <f t="shared" si="28"/>
        <v>-66.389148006798592</v>
      </c>
      <c r="F90" s="64">
        <f t="shared" si="29"/>
        <v>49.313202267906377</v>
      </c>
      <c r="G90" s="64">
        <f t="shared" si="30"/>
        <v>40.686797732093623</v>
      </c>
      <c r="H90" s="64">
        <f t="shared" si="31"/>
        <v>-56.098623861251646</v>
      </c>
      <c r="I90" s="72">
        <f t="shared" si="32"/>
        <v>59.25236467915169</v>
      </c>
      <c r="J90" s="64">
        <f t="shared" si="33"/>
        <v>30.74763532084831</v>
      </c>
      <c r="K90" s="65">
        <f t="shared" si="34"/>
        <v>-48.410982127972638</v>
      </c>
      <c r="L90" s="64">
        <f t="shared" si="35"/>
        <v>69.558185976491473</v>
      </c>
      <c r="M90" s="64">
        <f t="shared" si="36"/>
        <v>20.441814023508527</v>
      </c>
      <c r="N90" s="65">
        <f t="shared" si="37"/>
        <v>-42.196268244492053</v>
      </c>
      <c r="O90" s="64">
        <f t="shared" si="38"/>
        <v>80.056361284206005</v>
      </c>
      <c r="P90" s="64">
        <f t="shared" si="39"/>
        <v>9.9436387157939947</v>
      </c>
      <c r="Q90" s="65">
        <f t="shared" si="40"/>
        <v>-36.776261703567094</v>
      </c>
      <c r="R90" s="64">
        <f t="shared" si="41"/>
        <v>70.502111160643778</v>
      </c>
      <c r="S90" s="59">
        <f t="shared" si="42"/>
        <v>19.497888839356222</v>
      </c>
      <c r="T90" s="58">
        <f t="shared" si="43"/>
        <v>-41.681040164413133</v>
      </c>
      <c r="U90" s="66"/>
      <c r="V90" s="53"/>
      <c r="X90" s="50"/>
      <c r="Y90" s="50"/>
      <c r="Z90" s="50"/>
      <c r="AA90" s="50"/>
      <c r="AB90" s="50"/>
      <c r="AC90" s="50"/>
    </row>
    <row r="91" spans="1:29" x14ac:dyDescent="0.2">
      <c r="A91" s="67">
        <v>-39</v>
      </c>
      <c r="B91" s="66">
        <f t="shared" si="25"/>
        <v>-0.68067840827778847</v>
      </c>
      <c r="C91" s="64">
        <f t="shared" si="26"/>
        <v>39.449834489657128</v>
      </c>
      <c r="D91" s="64">
        <f t="shared" si="27"/>
        <v>50.550165510342872</v>
      </c>
      <c r="E91" s="65">
        <f t="shared" si="28"/>
        <v>-65.316214345293986</v>
      </c>
      <c r="F91" s="64">
        <f t="shared" si="29"/>
        <v>48.762768894273165</v>
      </c>
      <c r="G91" s="64">
        <f t="shared" si="30"/>
        <v>41.237231105726835</v>
      </c>
      <c r="H91" s="64">
        <f t="shared" si="31"/>
        <v>-55.026266915644001</v>
      </c>
      <c r="I91" s="72">
        <f t="shared" si="32"/>
        <v>58.757136944208312</v>
      </c>
      <c r="J91" s="64">
        <f t="shared" si="33"/>
        <v>31.242863055791688</v>
      </c>
      <c r="K91" s="65">
        <f t="shared" si="34"/>
        <v>-47.397494384499403</v>
      </c>
      <c r="L91" s="64">
        <f t="shared" si="35"/>
        <v>69.113950595490664</v>
      </c>
      <c r="M91" s="64">
        <f t="shared" si="36"/>
        <v>20.886049404509336</v>
      </c>
      <c r="N91" s="65">
        <f t="shared" si="37"/>
        <v>-41.263710946535703</v>
      </c>
      <c r="O91" s="64">
        <f t="shared" si="38"/>
        <v>79.660727793838191</v>
      </c>
      <c r="P91" s="64">
        <f t="shared" si="39"/>
        <v>10.339272206161809</v>
      </c>
      <c r="Q91" s="65">
        <f t="shared" si="40"/>
        <v>-35.935409939548492</v>
      </c>
      <c r="R91" s="64">
        <f t="shared" si="41"/>
        <v>70.062337860902218</v>
      </c>
      <c r="S91" s="59">
        <f t="shared" si="42"/>
        <v>19.937662139097782</v>
      </c>
      <c r="T91" s="58">
        <f t="shared" si="43"/>
        <v>-40.756406900262697</v>
      </c>
      <c r="U91" s="69"/>
      <c r="V91" s="53"/>
      <c r="X91" s="50"/>
      <c r="Y91" s="50"/>
      <c r="Z91" s="50"/>
      <c r="AA91" s="50"/>
      <c r="AB91" s="50"/>
      <c r="AC91" s="50"/>
    </row>
    <row r="92" spans="1:29" x14ac:dyDescent="0.2">
      <c r="A92" s="67">
        <v>-38</v>
      </c>
      <c r="B92" s="66">
        <f t="shared" si="25"/>
        <v>-0.66322511575784526</v>
      </c>
      <c r="C92" s="64">
        <f t="shared" si="26"/>
        <v>38.846106854157135</v>
      </c>
      <c r="D92" s="64">
        <f t="shared" si="27"/>
        <v>51.153893145842865</v>
      </c>
      <c r="E92" s="65">
        <f t="shared" si="28"/>
        <v>-64.222037028752922</v>
      </c>
      <c r="F92" s="64">
        <f t="shared" si="29"/>
        <v>48.219547454005273</v>
      </c>
      <c r="G92" s="64">
        <f t="shared" si="30"/>
        <v>41.780452545994727</v>
      </c>
      <c r="H92" s="64">
        <f t="shared" si="31"/>
        <v>-53.938416907198459</v>
      </c>
      <c r="I92" s="72">
        <f t="shared" si="32"/>
        <v>58.269942275675469</v>
      </c>
      <c r="J92" s="64">
        <f t="shared" si="33"/>
        <v>31.730057724324531</v>
      </c>
      <c r="K92" s="65">
        <f t="shared" si="34"/>
        <v>-46.373409695768984</v>
      </c>
      <c r="L92" s="64">
        <f t="shared" si="35"/>
        <v>68.677911881315126</v>
      </c>
      <c r="M92" s="64">
        <f t="shared" si="36"/>
        <v>21.322088118684874</v>
      </c>
      <c r="N92" s="65">
        <f t="shared" si="37"/>
        <v>-40.323994948904208</v>
      </c>
      <c r="O92" s="64">
        <f t="shared" si="38"/>
        <v>79.273047649497855</v>
      </c>
      <c r="P92" s="64">
        <f t="shared" si="39"/>
        <v>10.726952350502145</v>
      </c>
      <c r="Q92" s="65">
        <f t="shared" si="40"/>
        <v>-35.089689926612778</v>
      </c>
      <c r="R92" s="64">
        <f t="shared" si="41"/>
        <v>69.630753561382136</v>
      </c>
      <c r="S92" s="59">
        <f t="shared" si="42"/>
        <v>20.369246438617864</v>
      </c>
      <c r="T92" s="58">
        <f t="shared" si="43"/>
        <v>-39.824863944137817</v>
      </c>
      <c r="U92" s="69"/>
      <c r="V92" s="53"/>
      <c r="X92" s="50"/>
      <c r="Y92" s="50"/>
      <c r="Z92" s="50"/>
      <c r="AA92" s="50"/>
      <c r="AB92" s="50"/>
      <c r="AC92" s="50"/>
    </row>
    <row r="93" spans="1:29" x14ac:dyDescent="0.2">
      <c r="A93" s="67">
        <v>-37</v>
      </c>
      <c r="B93" s="66">
        <f t="shared" si="25"/>
        <v>-0.64577182323790194</v>
      </c>
      <c r="C93" s="64">
        <f t="shared" si="26"/>
        <v>38.247978592017311</v>
      </c>
      <c r="D93" s="64">
        <f t="shared" si="27"/>
        <v>51.752021407982689</v>
      </c>
      <c r="E93" s="65">
        <f t="shared" si="28"/>
        <v>-63.105726288380197</v>
      </c>
      <c r="F93" s="64">
        <f t="shared" si="29"/>
        <v>47.683839903938669</v>
      </c>
      <c r="G93" s="64">
        <f t="shared" si="30"/>
        <v>42.316160096061331</v>
      </c>
      <c r="H93" s="64">
        <f t="shared" si="31"/>
        <v>-52.83469620184637</v>
      </c>
      <c r="I93" s="72">
        <f t="shared" si="32"/>
        <v>57.791021219210634</v>
      </c>
      <c r="J93" s="64">
        <f t="shared" si="33"/>
        <v>32.208978780789366</v>
      </c>
      <c r="K93" s="65">
        <f t="shared" si="34"/>
        <v>-45.338591915501333</v>
      </c>
      <c r="L93" s="64">
        <f t="shared" si="35"/>
        <v>68.250250409097021</v>
      </c>
      <c r="M93" s="64">
        <f t="shared" si="36"/>
        <v>21.749749590902979</v>
      </c>
      <c r="N93" s="65">
        <f t="shared" si="37"/>
        <v>-39.377084612245454</v>
      </c>
      <c r="O93" s="64">
        <f t="shared" si="38"/>
        <v>78.893451449408943</v>
      </c>
      <c r="P93" s="64">
        <f t="shared" si="39"/>
        <v>11.106548550591057</v>
      </c>
      <c r="Q93" s="65">
        <f t="shared" si="40"/>
        <v>-34.239106538439422</v>
      </c>
      <c r="R93" s="64">
        <f t="shared" si="41"/>
        <v>69.207533869388612</v>
      </c>
      <c r="S93" s="59">
        <f t="shared" si="42"/>
        <v>20.792466130611388</v>
      </c>
      <c r="T93" s="58">
        <f t="shared" si="43"/>
        <v>-38.886381011851654</v>
      </c>
      <c r="U93" s="69"/>
      <c r="V93" s="53"/>
      <c r="X93" s="50"/>
      <c r="Y93" s="50"/>
      <c r="Z93" s="50"/>
      <c r="AA93" s="50"/>
      <c r="AB93" s="50"/>
      <c r="AC93" s="50"/>
    </row>
    <row r="94" spans="1:29" x14ac:dyDescent="0.2">
      <c r="A94" s="67">
        <v>-36</v>
      </c>
      <c r="B94" s="66">
        <f t="shared" si="25"/>
        <v>-0.62831853071795862</v>
      </c>
      <c r="C94" s="64">
        <f t="shared" si="26"/>
        <v>37.655793540672441</v>
      </c>
      <c r="D94" s="64">
        <f t="shared" si="27"/>
        <v>52.344206459327559</v>
      </c>
      <c r="E94" s="65">
        <f t="shared" si="28"/>
        <v>-61.966369017499659</v>
      </c>
      <c r="F94" s="64">
        <f t="shared" si="29"/>
        <v>47.155956584611715</v>
      </c>
      <c r="G94" s="64">
        <f t="shared" si="30"/>
        <v>42.844043415388285</v>
      </c>
      <c r="H94" s="64">
        <f t="shared" si="31"/>
        <v>-51.714735632129972</v>
      </c>
      <c r="I94" s="72">
        <f t="shared" si="32"/>
        <v>57.320617571840749</v>
      </c>
      <c r="J94" s="64">
        <f t="shared" si="33"/>
        <v>32.679382428159251</v>
      </c>
      <c r="K94" s="65">
        <f t="shared" si="34"/>
        <v>-44.29291682477929</v>
      </c>
      <c r="L94" s="64">
        <f t="shared" si="35"/>
        <v>67.831147436254454</v>
      </c>
      <c r="M94" s="64">
        <f t="shared" si="36"/>
        <v>22.168852563745546</v>
      </c>
      <c r="N94" s="65">
        <f t="shared" si="37"/>
        <v>-38.422953507547547</v>
      </c>
      <c r="O94" s="64">
        <f t="shared" si="38"/>
        <v>78.522069390295073</v>
      </c>
      <c r="P94" s="64">
        <f t="shared" si="39"/>
        <v>11.477930609704927</v>
      </c>
      <c r="Q94" s="65">
        <f t="shared" si="40"/>
        <v>-33.383670805354804</v>
      </c>
      <c r="R94" s="64">
        <f t="shared" si="41"/>
        <v>68.792854929343108</v>
      </c>
      <c r="S94" s="59">
        <f t="shared" si="42"/>
        <v>21.207145070656892</v>
      </c>
      <c r="T94" s="58">
        <f t="shared" si="43"/>
        <v>-37.94093673617661</v>
      </c>
      <c r="U94" s="69"/>
      <c r="V94" s="53"/>
      <c r="X94" s="50"/>
      <c r="Y94" s="50"/>
      <c r="Z94" s="50"/>
      <c r="AA94" s="50"/>
      <c r="AB94" s="50"/>
      <c r="AC94" s="50"/>
    </row>
    <row r="95" spans="1:29" x14ac:dyDescent="0.2">
      <c r="A95" s="67">
        <v>-35</v>
      </c>
      <c r="B95" s="66">
        <f t="shared" si="25"/>
        <v>-0.6108652381980153</v>
      </c>
      <c r="C95" s="64">
        <f t="shared" si="26"/>
        <v>37.069912242386451</v>
      </c>
      <c r="D95" s="64">
        <f t="shared" si="27"/>
        <v>52.930087757613549</v>
      </c>
      <c r="E95" s="65">
        <f t="shared" si="28"/>
        <v>-60.803030304512227</v>
      </c>
      <c r="F95" s="64">
        <f t="shared" si="29"/>
        <v>46.636216223984093</v>
      </c>
      <c r="G95" s="64">
        <f t="shared" si="30"/>
        <v>43.363783776015907</v>
      </c>
      <c r="H95" s="64">
        <f t="shared" si="31"/>
        <v>-50.578176517779745</v>
      </c>
      <c r="I95" s="72">
        <f t="shared" si="32"/>
        <v>56.858978184575776</v>
      </c>
      <c r="J95" s="64">
        <f t="shared" si="33"/>
        <v>33.141021815424224</v>
      </c>
      <c r="K95" s="65">
        <f t="shared" si="34"/>
        <v>-43.236273148826683</v>
      </c>
      <c r="L95" s="64">
        <f t="shared" si="35"/>
        <v>67.420784714078295</v>
      </c>
      <c r="M95" s="64">
        <f t="shared" si="36"/>
        <v>22.579215285921705</v>
      </c>
      <c r="N95" s="65">
        <f t="shared" si="37"/>
        <v>-37.46158482700541</v>
      </c>
      <c r="O95" s="64">
        <f t="shared" si="38"/>
        <v>78.159031131604664</v>
      </c>
      <c r="P95" s="64">
        <f t="shared" si="39"/>
        <v>11.840968868395336</v>
      </c>
      <c r="Q95" s="65">
        <f t="shared" si="40"/>
        <v>-32.523400052727233</v>
      </c>
      <c r="R95" s="64">
        <f t="shared" si="41"/>
        <v>68.386893238548183</v>
      </c>
      <c r="S95" s="59">
        <f t="shared" si="42"/>
        <v>21.613106761451817</v>
      </c>
      <c r="T95" s="58">
        <f t="shared" si="43"/>
        <v>-36.988519042366384</v>
      </c>
      <c r="U95" s="69"/>
      <c r="V95" s="53"/>
      <c r="X95" s="50"/>
      <c r="Y95" s="50"/>
      <c r="Z95" s="50"/>
      <c r="AA95" s="50"/>
      <c r="AB95" s="50"/>
      <c r="AC95" s="50"/>
    </row>
    <row r="96" spans="1:29" x14ac:dyDescent="0.2">
      <c r="A96" s="67">
        <v>-34</v>
      </c>
      <c r="B96" s="66">
        <f t="shared" si="25"/>
        <v>-0.59341194567807209</v>
      </c>
      <c r="C96" s="64">
        <f t="shared" si="26"/>
        <v>36.490712730703208</v>
      </c>
      <c r="D96" s="64">
        <f t="shared" si="27"/>
        <v>53.509287269296792</v>
      </c>
      <c r="E96" s="65">
        <f t="shared" si="28"/>
        <v>-59.614755437815738</v>
      </c>
      <c r="F96" s="64">
        <f t="shared" si="29"/>
        <v>46.124945897416524</v>
      </c>
      <c r="G96" s="64">
        <f t="shared" si="30"/>
        <v>43.875054102583476</v>
      </c>
      <c r="H96" s="64">
        <f t="shared" si="31"/>
        <v>-49.424672866703986</v>
      </c>
      <c r="I96" s="72">
        <f t="shared" si="32"/>
        <v>56.4063527364615</v>
      </c>
      <c r="J96" s="64">
        <f t="shared" si="33"/>
        <v>33.5936472635385</v>
      </c>
      <c r="K96" s="65">
        <f t="shared" si="34"/>
        <v>-42.168563606030531</v>
      </c>
      <c r="L96" s="64">
        <f t="shared" si="35"/>
        <v>67.019344285582633</v>
      </c>
      <c r="M96" s="64">
        <f t="shared" si="36"/>
        <v>22.980655714417367</v>
      </c>
      <c r="N96" s="65">
        <f t="shared" si="37"/>
        <v>-36.492971791635448</v>
      </c>
      <c r="O96" s="64">
        <f t="shared" si="38"/>
        <v>77.804465654063847</v>
      </c>
      <c r="P96" s="64">
        <f t="shared" si="39"/>
        <v>12.195534345936153</v>
      </c>
      <c r="Q96" s="65">
        <f t="shared" si="40"/>
        <v>-31.658318032334989</v>
      </c>
      <c r="R96" s="64">
        <f t="shared" si="41"/>
        <v>67.989825450197685</v>
      </c>
      <c r="S96" s="59">
        <f t="shared" si="42"/>
        <v>22.010174549802315</v>
      </c>
      <c r="T96" s="58">
        <f t="shared" si="43"/>
        <v>-36.029125519418614</v>
      </c>
      <c r="U96" s="69"/>
      <c r="V96" s="53"/>
      <c r="X96" s="50"/>
      <c r="Y96" s="50"/>
      <c r="Z96" s="50"/>
      <c r="AA96" s="50"/>
      <c r="AB96" s="50"/>
      <c r="AC96" s="50"/>
    </row>
    <row r="97" spans="1:29" x14ac:dyDescent="0.2">
      <c r="A97" s="67">
        <v>-33</v>
      </c>
      <c r="B97" s="66">
        <f t="shared" si="25"/>
        <v>-0.57595865315812877</v>
      </c>
      <c r="C97" s="64">
        <f t="shared" si="26"/>
        <v>35.918591308903231</v>
      </c>
      <c r="D97" s="64">
        <f t="shared" si="27"/>
        <v>54.081408691096769</v>
      </c>
      <c r="E97" s="65">
        <f t="shared" si="28"/>
        <v>-58.400572453056583</v>
      </c>
      <c r="F97" s="64">
        <f t="shared" si="29"/>
        <v>45.622480938500999</v>
      </c>
      <c r="G97" s="64">
        <f t="shared" si="30"/>
        <v>44.377519061499001</v>
      </c>
      <c r="H97" s="64">
        <f t="shared" si="31"/>
        <v>-48.253893760558768</v>
      </c>
      <c r="I97" s="72">
        <f t="shared" si="32"/>
        <v>55.962993478701065</v>
      </c>
      <c r="J97" s="64">
        <f t="shared" si="33"/>
        <v>34.037006521298935</v>
      </c>
      <c r="K97" s="65">
        <f t="shared" si="34"/>
        <v>-41.089705984846162</v>
      </c>
      <c r="L97" s="64">
        <f t="shared" si="35"/>
        <v>66.627008269553357</v>
      </c>
      <c r="M97" s="64">
        <f t="shared" si="36"/>
        <v>23.372991730446643</v>
      </c>
      <c r="N97" s="65">
        <f t="shared" si="37"/>
        <v>-35.517118053020035</v>
      </c>
      <c r="O97" s="64">
        <f t="shared" si="38"/>
        <v>77.458501112736414</v>
      </c>
      <c r="P97" s="64">
        <f t="shared" si="39"/>
        <v>12.541498887263586</v>
      </c>
      <c r="Q97" s="65">
        <f t="shared" si="40"/>
        <v>-30.788455045611958</v>
      </c>
      <c r="R97" s="64">
        <f t="shared" si="41"/>
        <v>67.601828163614471</v>
      </c>
      <c r="S97" s="59">
        <f t="shared" si="42"/>
        <v>22.398171836385529</v>
      </c>
      <c r="T97" s="58">
        <f t="shared" si="43"/>
        <v>-35.062763784637745</v>
      </c>
      <c r="U97" s="69"/>
      <c r="V97" s="53"/>
      <c r="X97" s="50"/>
    </row>
    <row r="98" spans="1:29" x14ac:dyDescent="0.2">
      <c r="A98" s="67">
        <v>-32</v>
      </c>
      <c r="B98" s="66">
        <f t="shared" si="25"/>
        <v>-0.55850536063818546</v>
      </c>
      <c r="C98" s="64">
        <f t="shared" si="26"/>
        <v>35.353963309852013</v>
      </c>
      <c r="D98" s="64">
        <f t="shared" si="27"/>
        <v>54.646036690147987</v>
      </c>
      <c r="E98" s="65">
        <f t="shared" si="28"/>
        <v>-57.159495299380417</v>
      </c>
      <c r="F98" s="64">
        <f t="shared" si="29"/>
        <v>45.12916479504927</v>
      </c>
      <c r="G98" s="64">
        <f t="shared" si="30"/>
        <v>44.87083520495073</v>
      </c>
      <c r="H98" s="64">
        <f t="shared" si="31"/>
        <v>-47.065525927136925</v>
      </c>
      <c r="I98" s="72">
        <f t="shared" si="32"/>
        <v>55.529154947568991</v>
      </c>
      <c r="J98" s="64">
        <f t="shared" si="33"/>
        <v>34.470845052431009</v>
      </c>
      <c r="K98" s="65">
        <f t="shared" si="34"/>
        <v>-39.999634243406256</v>
      </c>
      <c r="L98" s="64">
        <f t="shared" si="35"/>
        <v>66.243958630807782</v>
      </c>
      <c r="M98" s="64">
        <f t="shared" si="36"/>
        <v>23.756041369192218</v>
      </c>
      <c r="N98" s="65">
        <f t="shared" si="37"/>
        <v>-34.53403808637632</v>
      </c>
      <c r="O98" s="64">
        <f t="shared" si="38"/>
        <v>77.12126468480507</v>
      </c>
      <c r="P98" s="64">
        <f t="shared" si="39"/>
        <v>12.87873531519493</v>
      </c>
      <c r="Q98" s="65">
        <f t="shared" si="40"/>
        <v>-29.913848057651329</v>
      </c>
      <c r="R98" s="64">
        <f t="shared" si="41"/>
        <v>67.223077701771828</v>
      </c>
      <c r="S98" s="59">
        <f t="shared" si="42"/>
        <v>22.776922298228172</v>
      </c>
      <c r="T98" s="58">
        <f t="shared" si="43"/>
        <v>-34.089451838895556</v>
      </c>
      <c r="U98" s="69"/>
    </row>
    <row r="99" spans="1:29" x14ac:dyDescent="0.2">
      <c r="A99" s="67">
        <v>-31</v>
      </c>
      <c r="B99" s="66">
        <f t="shared" si="25"/>
        <v>-0.54105206811824214</v>
      </c>
      <c r="C99" s="64">
        <f t="shared" si="26"/>
        <v>34.797263824490258</v>
      </c>
      <c r="D99" s="64">
        <f t="shared" si="27"/>
        <v>55.202736175509742</v>
      </c>
      <c r="E99" s="65">
        <f t="shared" si="28"/>
        <v>-55.890527707279375</v>
      </c>
      <c r="F99" s="64">
        <f t="shared" si="29"/>
        <v>44.645348824307938</v>
      </c>
      <c r="G99" s="64">
        <f t="shared" si="30"/>
        <v>45.354651175692062</v>
      </c>
      <c r="H99" s="64">
        <f t="shared" si="31"/>
        <v>-45.85927649946008</v>
      </c>
      <c r="I99" s="72">
        <f t="shared" si="32"/>
        <v>55.105093644963979</v>
      </c>
      <c r="J99" s="64">
        <f t="shared" si="33"/>
        <v>34.894906355036021</v>
      </c>
      <c r="K99" s="65">
        <f t="shared" si="34"/>
        <v>-38.898299625792284</v>
      </c>
      <c r="L99" s="64">
        <f t="shared" si="35"/>
        <v>65.870376936764373</v>
      </c>
      <c r="M99" s="64">
        <f t="shared" si="36"/>
        <v>24.129623063235627</v>
      </c>
      <c r="N99" s="65">
        <f t="shared" si="37"/>
        <v>-33.54375757196474</v>
      </c>
      <c r="O99" s="64">
        <f t="shared" si="38"/>
        <v>76.792882412325838</v>
      </c>
      <c r="P99" s="64">
        <f t="shared" si="39"/>
        <v>13.207117587674162</v>
      </c>
      <c r="Q99" s="65">
        <f t="shared" si="40"/>
        <v>-29.034540800832946</v>
      </c>
      <c r="R99" s="64">
        <f t="shared" si="41"/>
        <v>66.853749876235526</v>
      </c>
      <c r="S99" s="59">
        <f t="shared" si="42"/>
        <v>23.146250123764474</v>
      </c>
      <c r="T99" s="58">
        <f t="shared" si="43"/>
        <v>-33.109218409836942</v>
      </c>
      <c r="U99" s="69"/>
    </row>
    <row r="100" spans="1:29" s="54" customFormat="1" x14ac:dyDescent="0.2">
      <c r="A100" s="63">
        <v>-30</v>
      </c>
      <c r="B100" s="62">
        <f t="shared" si="25"/>
        <v>-0.52359877559829882</v>
      </c>
      <c r="C100" s="60">
        <f t="shared" si="26"/>
        <v>34.248948383824604</v>
      </c>
      <c r="D100" s="60">
        <f t="shared" si="27"/>
        <v>55.751051616175396</v>
      </c>
      <c r="E100" s="61">
        <f t="shared" si="28"/>
        <v>-54.592667845849739</v>
      </c>
      <c r="F100" s="60">
        <f t="shared" si="29"/>
        <v>44.171392021287531</v>
      </c>
      <c r="G100" s="60">
        <f t="shared" si="30"/>
        <v>45.828607978712469</v>
      </c>
      <c r="H100" s="60">
        <f t="shared" si="31"/>
        <v>-44.634875958642198</v>
      </c>
      <c r="I100" s="73">
        <f t="shared" si="32"/>
        <v>54.69106768559881</v>
      </c>
      <c r="J100" s="60">
        <f t="shared" si="33"/>
        <v>35.30893231440119</v>
      </c>
      <c r="K100" s="61">
        <f t="shared" si="34"/>
        <v>-37.785671788030292</v>
      </c>
      <c r="L100" s="60">
        <f t="shared" si="35"/>
        <v>65.506444100515765</v>
      </c>
      <c r="M100" s="60">
        <f t="shared" si="36"/>
        <v>24.493555899484235</v>
      </c>
      <c r="N100" s="61">
        <f t="shared" si="37"/>
        <v>-32.546313761688346</v>
      </c>
      <c r="O100" s="60">
        <f t="shared" si="38"/>
        <v>76.473479040246303</v>
      </c>
      <c r="P100" s="60">
        <f t="shared" si="39"/>
        <v>13.526520959753697</v>
      </c>
      <c r="Q100" s="61">
        <f t="shared" si="40"/>
        <v>-28.150583866932944</v>
      </c>
      <c r="R100" s="60">
        <f t="shared" si="41"/>
        <v>66.494019739751295</v>
      </c>
      <c r="S100" s="59">
        <f t="shared" si="42"/>
        <v>23.505980260248705</v>
      </c>
      <c r="T100" s="58">
        <f t="shared" si="43"/>
        <v>-32.122103280140706</v>
      </c>
      <c r="U100" s="70"/>
      <c r="V100" s="56">
        <f>E100</f>
        <v>-54.592667845849739</v>
      </c>
      <c r="W100" s="55"/>
      <c r="X100" s="55"/>
      <c r="AC100" s="55">
        <f>D100</f>
        <v>55.751051616175396</v>
      </c>
    </row>
    <row r="101" spans="1:29" x14ac:dyDescent="0.2">
      <c r="A101" s="67">
        <v>-29</v>
      </c>
      <c r="B101" s="66">
        <f t="shared" si="25"/>
        <v>-0.50614548307835561</v>
      </c>
      <c r="C101" s="64">
        <f t="shared" si="26"/>
        <v>33.709493576623395</v>
      </c>
      <c r="D101" s="64">
        <f t="shared" si="27"/>
        <v>56.290506423376605</v>
      </c>
      <c r="E101" s="65">
        <f t="shared" si="28"/>
        <v>-53.264913861321418</v>
      </c>
      <c r="F101" s="64">
        <f t="shared" si="29"/>
        <v>43.707660673983682</v>
      </c>
      <c r="G101" s="64">
        <f t="shared" si="30"/>
        <v>46.292339326016318</v>
      </c>
      <c r="H101" s="64">
        <f t="shared" si="31"/>
        <v>-43.392081254285344</v>
      </c>
      <c r="I101" s="72">
        <f t="shared" si="32"/>
        <v>54.287336410009999</v>
      </c>
      <c r="J101" s="64">
        <f t="shared" si="33"/>
        <v>35.712663589990001</v>
      </c>
      <c r="K101" s="65">
        <f t="shared" si="34"/>
        <v>-36.661739925951956</v>
      </c>
      <c r="L101" s="64">
        <f t="shared" si="35"/>
        <v>65.152340110698759</v>
      </c>
      <c r="M101" s="64">
        <f t="shared" si="36"/>
        <v>24.847659889301241</v>
      </c>
      <c r="N101" s="65">
        <f t="shared" si="37"/>
        <v>-31.541755827582861</v>
      </c>
      <c r="O101" s="64">
        <f t="shared" si="38"/>
        <v>76.163177850016311</v>
      </c>
      <c r="P101" s="64">
        <f t="shared" si="39"/>
        <v>13.836822149983689</v>
      </c>
      <c r="Q101" s="65">
        <f t="shared" si="40"/>
        <v>-27.262034786570865</v>
      </c>
      <c r="R101" s="64">
        <f t="shared" si="41"/>
        <v>66.144061326795153</v>
      </c>
      <c r="S101" s="59">
        <f t="shared" si="42"/>
        <v>23.855938673204847</v>
      </c>
      <c r="T101" s="58">
        <f t="shared" si="43"/>
        <v>-31.128157597820415</v>
      </c>
      <c r="U101" s="69"/>
      <c r="V101" s="53">
        <f>H100</f>
        <v>-44.634875958642198</v>
      </c>
      <c r="AC101" s="50">
        <f>G100</f>
        <v>45.828607978712469</v>
      </c>
    </row>
    <row r="102" spans="1:29" x14ac:dyDescent="0.2">
      <c r="A102" s="67">
        <v>-28</v>
      </c>
      <c r="B102" s="66">
        <f t="shared" si="25"/>
        <v>-0.48869219055841229</v>
      </c>
      <c r="C102" s="64">
        <f t="shared" si="26"/>
        <v>33.179397582125837</v>
      </c>
      <c r="D102" s="64">
        <f t="shared" si="27"/>
        <v>56.820602417874163</v>
      </c>
      <c r="E102" s="65">
        <f t="shared" si="28"/>
        <v>-51.906270391057305</v>
      </c>
      <c r="F102" s="64">
        <f t="shared" si="29"/>
        <v>43.254527939251837</v>
      </c>
      <c r="G102" s="64">
        <f t="shared" si="30"/>
        <v>46.745472060748163</v>
      </c>
      <c r="H102" s="64">
        <f t="shared" si="31"/>
        <v>-42.130679092351642</v>
      </c>
      <c r="I102" s="72">
        <f t="shared" si="32"/>
        <v>53.894159962787242</v>
      </c>
      <c r="J102" s="64">
        <f t="shared" si="33"/>
        <v>36.105840037212758</v>
      </c>
      <c r="K102" s="65">
        <f t="shared" si="34"/>
        <v>-35.526513896130083</v>
      </c>
      <c r="L102" s="64">
        <f t="shared" si="35"/>
        <v>64.808243748562873</v>
      </c>
      <c r="M102" s="64">
        <f t="shared" si="36"/>
        <v>25.191756251437127</v>
      </c>
      <c r="N102" s="65">
        <f t="shared" si="37"/>
        <v>-30.530145188768437</v>
      </c>
      <c r="O102" s="64">
        <f t="shared" si="38"/>
        <v>75.862100489160625</v>
      </c>
      <c r="P102" s="64">
        <f t="shared" si="39"/>
        <v>14.137899510839375</v>
      </c>
      <c r="Q102" s="65">
        <f t="shared" si="40"/>
        <v>-26.368958094860783</v>
      </c>
      <c r="R102" s="64">
        <f t="shared" si="41"/>
        <v>65.804047382504265</v>
      </c>
      <c r="S102" s="59">
        <f t="shared" si="42"/>
        <v>24.195952617495735</v>
      </c>
      <c r="T102" s="58">
        <f t="shared" si="43"/>
        <v>-30.127444165449646</v>
      </c>
      <c r="U102" s="69"/>
      <c r="V102" s="53">
        <f>K100</f>
        <v>-37.785671788030292</v>
      </c>
      <c r="AC102" s="50">
        <f>J100</f>
        <v>35.30893231440119</v>
      </c>
    </row>
    <row r="103" spans="1:29" x14ac:dyDescent="0.2">
      <c r="A103" s="67">
        <v>-27</v>
      </c>
      <c r="B103" s="66">
        <f t="shared" si="25"/>
        <v>-0.47123889803846897</v>
      </c>
      <c r="C103" s="64">
        <f t="shared" si="26"/>
        <v>32.659180593955071</v>
      </c>
      <c r="D103" s="64">
        <f t="shared" si="27"/>
        <v>57.340819406044929</v>
      </c>
      <c r="E103" s="65">
        <f t="shared" si="28"/>
        <v>-50.515756147158122</v>
      </c>
      <c r="F103" s="64">
        <f t="shared" si="29"/>
        <v>42.812373333189868</v>
      </c>
      <c r="G103" s="64">
        <f t="shared" si="30"/>
        <v>47.187626666810132</v>
      </c>
      <c r="H103" s="64">
        <f t="shared" si="31"/>
        <v>-40.850489376120052</v>
      </c>
      <c r="I103" s="72">
        <f t="shared" si="32"/>
        <v>53.51179883567567</v>
      </c>
      <c r="J103" s="64">
        <f t="shared" si="33"/>
        <v>36.48820116432433</v>
      </c>
      <c r="K103" s="65">
        <f t="shared" si="34"/>
        <v>-34.380025320174106</v>
      </c>
      <c r="L103" s="64">
        <f t="shared" si="35"/>
        <v>64.474332292752919</v>
      </c>
      <c r="M103" s="64">
        <f t="shared" si="36"/>
        <v>25.525667707247081</v>
      </c>
      <c r="N103" s="65">
        <f t="shared" si="37"/>
        <v>-29.511555813327664</v>
      </c>
      <c r="O103" s="64">
        <f t="shared" si="38"/>
        <v>75.570366797222164</v>
      </c>
      <c r="P103" s="64">
        <f t="shared" si="39"/>
        <v>14.429633202777836</v>
      </c>
      <c r="Q103" s="65">
        <f t="shared" si="40"/>
        <v>-25.471425382148777</v>
      </c>
      <c r="R103" s="64">
        <f t="shared" si="41"/>
        <v>65.474149080509093</v>
      </c>
      <c r="S103" s="59">
        <f t="shared" si="42"/>
        <v>24.525850919490907</v>
      </c>
      <c r="T103" s="58">
        <f t="shared" si="43"/>
        <v>-29.120037705110654</v>
      </c>
      <c r="U103" s="69"/>
      <c r="V103" s="53">
        <f>N100</f>
        <v>-32.546313761688346</v>
      </c>
      <c r="X103" s="50"/>
      <c r="AC103" s="50">
        <f>M100</f>
        <v>24.493555899484235</v>
      </c>
    </row>
    <row r="104" spans="1:29" x14ac:dyDescent="0.2">
      <c r="A104" s="67">
        <v>-26</v>
      </c>
      <c r="B104" s="66">
        <f t="shared" si="25"/>
        <v>-0.4537856055185257</v>
      </c>
      <c r="C104" s="64">
        <f t="shared" si="26"/>
        <v>32.149385108141345</v>
      </c>
      <c r="D104" s="64">
        <f t="shared" si="27"/>
        <v>57.850614891858655</v>
      </c>
      <c r="E104" s="65">
        <f t="shared" si="28"/>
        <v>-49.092412660552846</v>
      </c>
      <c r="F104" s="64">
        <f t="shared" si="29"/>
        <v>42.381582130106217</v>
      </c>
      <c r="G104" s="64">
        <f t="shared" si="30"/>
        <v>47.618417869893783</v>
      </c>
      <c r="H104" s="64">
        <f t="shared" si="31"/>
        <v>-39.551368780992043</v>
      </c>
      <c r="I104" s="72">
        <f t="shared" si="32"/>
        <v>53.14051337549121</v>
      </c>
      <c r="J104" s="64">
        <f t="shared" si="33"/>
        <v>36.85948662450879</v>
      </c>
      <c r="K104" s="65">
        <f t="shared" si="34"/>
        <v>-33.222328661768167</v>
      </c>
      <c r="L104" s="64">
        <f t="shared" si="35"/>
        <v>64.150781212440023</v>
      </c>
      <c r="M104" s="64">
        <f t="shared" si="36"/>
        <v>25.849218787559977</v>
      </c>
      <c r="N104" s="65">
        <f t="shared" si="37"/>
        <v>-28.486074491496797</v>
      </c>
      <c r="O104" s="64">
        <f t="shared" si="38"/>
        <v>75.28809462852449</v>
      </c>
      <c r="P104" s="64">
        <f t="shared" si="39"/>
        <v>14.71190537147551</v>
      </c>
      <c r="Q104" s="65">
        <f t="shared" si="40"/>
        <v>-24.569515328747055</v>
      </c>
      <c r="R104" s="64">
        <f t="shared" si="41"/>
        <v>65.154535730297326</v>
      </c>
      <c r="S104" s="59">
        <f t="shared" si="42"/>
        <v>24.845464269702674</v>
      </c>
      <c r="T104" s="58">
        <f t="shared" si="43"/>
        <v>-28.106025095814619</v>
      </c>
      <c r="U104" s="69"/>
      <c r="V104" s="53">
        <f>Q100</f>
        <v>-28.150583866932944</v>
      </c>
      <c r="AC104" s="50">
        <f>P100</f>
        <v>13.526520959753697</v>
      </c>
    </row>
    <row r="105" spans="1:29" x14ac:dyDescent="0.2">
      <c r="A105" s="67">
        <v>-25</v>
      </c>
      <c r="B105" s="66">
        <f t="shared" si="25"/>
        <v>-0.43633231299858238</v>
      </c>
      <c r="C105" s="64">
        <f t="shared" si="26"/>
        <v>31.650576044780344</v>
      </c>
      <c r="D105" s="64">
        <f t="shared" si="27"/>
        <v>58.349423955219656</v>
      </c>
      <c r="E105" s="65">
        <f t="shared" si="28"/>
        <v>-47.635314269075963</v>
      </c>
      <c r="F105" s="64">
        <f t="shared" si="29"/>
        <v>41.96254466452659</v>
      </c>
      <c r="G105" s="64">
        <f t="shared" si="30"/>
        <v>48.03745533547341</v>
      </c>
      <c r="H105" s="64">
        <f t="shared" si="31"/>
        <v>-38.233214438588114</v>
      </c>
      <c r="I105" s="72">
        <f t="shared" si="32"/>
        <v>52.780563257113229</v>
      </c>
      <c r="J105" s="64">
        <f t="shared" si="33"/>
        <v>37.219436742886771</v>
      </c>
      <c r="K105" s="65">
        <f t="shared" si="34"/>
        <v>-32.053502264982328</v>
      </c>
      <c r="L105" s="64">
        <f t="shared" si="35"/>
        <v>63.837763849559394</v>
      </c>
      <c r="M105" s="64">
        <f t="shared" si="36"/>
        <v>26.162236150440606</v>
      </c>
      <c r="N105" s="65">
        <f t="shared" si="37"/>
        <v>-27.453801076510828</v>
      </c>
      <c r="O105" s="64">
        <f t="shared" si="38"/>
        <v>75.015399672241259</v>
      </c>
      <c r="P105" s="64">
        <f t="shared" si="39"/>
        <v>14.984600327758741</v>
      </c>
      <c r="Q105" s="65">
        <f t="shared" si="40"/>
        <v>-23.66331372261299</v>
      </c>
      <c r="R105" s="64">
        <f t="shared" si="41"/>
        <v>64.84537447485134</v>
      </c>
      <c r="S105" s="59">
        <f t="shared" si="42"/>
        <v>25.15462552514866</v>
      </c>
      <c r="T105" s="58">
        <f t="shared" si="43"/>
        <v>-27.085505580111196</v>
      </c>
      <c r="U105" s="69"/>
    </row>
    <row r="106" spans="1:29" x14ac:dyDescent="0.2">
      <c r="A106" s="67">
        <v>-24</v>
      </c>
      <c r="B106" s="66">
        <f t="shared" si="25"/>
        <v>-0.41887902047863912</v>
      </c>
      <c r="C106" s="64">
        <f t="shared" si="26"/>
        <v>31.1633406694828</v>
      </c>
      <c r="D106" s="64">
        <f t="shared" si="27"/>
        <v>58.8366593305172</v>
      </c>
      <c r="E106" s="65">
        <f t="shared" ref="E106:E130" si="44">DEGREES(-ACOS((SIN(RADIANS(D106))*SIN($C$6)-SIN(C$5))/(COS(RADIANS(D106))*COS($C$6))))</f>
        <v>-46.143579420487747</v>
      </c>
      <c r="F106" s="64">
        <f t="shared" si="29"/>
        <v>41.555655531238216</v>
      </c>
      <c r="G106" s="64">
        <f t="shared" si="30"/>
        <v>48.444344468761784</v>
      </c>
      <c r="H106" s="64">
        <f t="shared" ref="H106:H130" si="45">DEGREES(-ACOS((SIN(RADIANS(G106))*SIN($C$6)-SIN(G$5))/(COS(RADIANS(G106))*COS($C$6))))</f>
        <v>-36.895967699827146</v>
      </c>
      <c r="I106" s="72">
        <f t="shared" si="32"/>
        <v>52.432206922175936</v>
      </c>
      <c r="J106" s="64">
        <f t="shared" si="33"/>
        <v>37.567793077824064</v>
      </c>
      <c r="K106" s="65">
        <f t="shared" ref="K106:K130" si="46">DEGREES(-ACOS((SIN(RADIANS(J106))*SIN($C$6)-SIN(J$5))/(COS(RADIANS(J106))*COS($C$6))))</f>
        <v>-30.873649341599858</v>
      </c>
      <c r="L106" s="64">
        <f t="shared" si="35"/>
        <v>63.535451091040017</v>
      </c>
      <c r="M106" s="64">
        <f t="shared" si="36"/>
        <v>26.464548908959983</v>
      </c>
      <c r="N106" s="65">
        <f t="shared" ref="N106:N130" si="47">DEGREES(-ACOS((SIN(RADIANS(M106))*SIN($C$6)-SIN(M$5))/(COS(RADIANS(M106))*COS($C$6))))</f>
        <v>-26.414848689433349</v>
      </c>
      <c r="O106" s="64">
        <f t="shared" si="38"/>
        <v>74.752395270299061</v>
      </c>
      <c r="P106" s="64">
        <f t="shared" si="39"/>
        <v>15.247604729700939</v>
      </c>
      <c r="Q106" s="65">
        <f t="shared" ref="Q106:Q130" si="48">DEGREES(-ACOS((SIN(RADIANS(P106))*SIN($C$6)-SIN(P$5))/(COS(RADIANS(P106))*COS($C$6))))</f>
        <v>-22.752913458970454</v>
      </c>
      <c r="R106" s="64">
        <f t="shared" si="41"/>
        <v>64.546829979416174</v>
      </c>
      <c r="S106" s="59">
        <f t="shared" si="42"/>
        <v>25.453170020583826</v>
      </c>
      <c r="T106" s="58">
        <f t="shared" ref="T106:T130" si="49">DEGREES(-ACOS((SIN(RADIANS(S106))*SIN($C$6)-SIN(S$5))/(COS(RADIANS(S106))*COS($C$6))))</f>
        <v>-26.058590936615815</v>
      </c>
      <c r="U106" s="69"/>
      <c r="V106" s="53"/>
      <c r="X106" s="50"/>
    </row>
    <row r="107" spans="1:29" x14ac:dyDescent="0.2">
      <c r="A107" s="67">
        <v>-23</v>
      </c>
      <c r="B107" s="66">
        <f t="shared" si="25"/>
        <v>-0.4014257279586958</v>
      </c>
      <c r="C107" s="64">
        <f t="shared" si="26"/>
        <v>30.688288277555504</v>
      </c>
      <c r="D107" s="64">
        <f t="shared" si="27"/>
        <v>59.3117117224445</v>
      </c>
      <c r="E107" s="65">
        <f t="shared" si="44"/>
        <v>-44.616383342559168</v>
      </c>
      <c r="F107" s="64">
        <f t="shared" si="29"/>
        <v>41.161312679108853</v>
      </c>
      <c r="G107" s="64">
        <f t="shared" si="30"/>
        <v>48.838687320891147</v>
      </c>
      <c r="H107" s="64">
        <f t="shared" si="45"/>
        <v>-35.539617940589338</v>
      </c>
      <c r="I107" s="72">
        <f t="shared" si="32"/>
        <v>52.095700984471179</v>
      </c>
      <c r="J107" s="64">
        <f t="shared" si="33"/>
        <v>37.904299015528821</v>
      </c>
      <c r="K107" s="65">
        <f t="shared" si="46"/>
        <v>-29.682898894514345</v>
      </c>
      <c r="L107" s="64">
        <f t="shared" si="35"/>
        <v>63.244011032040618</v>
      </c>
      <c r="M107" s="64">
        <f t="shared" si="36"/>
        <v>26.755988967959382</v>
      </c>
      <c r="N107" s="65">
        <f t="shared" si="47"/>
        <v>-25.369343884332501</v>
      </c>
      <c r="O107" s="64">
        <f t="shared" si="38"/>
        <v>74.499192233676567</v>
      </c>
      <c r="P107" s="64">
        <f t="shared" si="39"/>
        <v>15.500807766323433</v>
      </c>
      <c r="Q107" s="65">
        <f t="shared" si="48"/>
        <v>-21.838414520929124</v>
      </c>
      <c r="R107" s="64">
        <f t="shared" si="41"/>
        <v>64.259064112370297</v>
      </c>
      <c r="S107" s="59">
        <f t="shared" si="42"/>
        <v>25.740935887629703</v>
      </c>
      <c r="T107" s="58">
        <f t="shared" si="49"/>
        <v>-25.025405615221519</v>
      </c>
      <c r="U107" s="69"/>
    </row>
    <row r="108" spans="1:29" x14ac:dyDescent="0.2">
      <c r="A108" s="67">
        <v>-22</v>
      </c>
      <c r="B108" s="66">
        <f t="shared" si="25"/>
        <v>-0.38397243543875248</v>
      </c>
      <c r="C108" s="64">
        <f t="shared" si="26"/>
        <v>30.226049600978875</v>
      </c>
      <c r="D108" s="64">
        <f t="shared" si="27"/>
        <v>59.773950399021125</v>
      </c>
      <c r="E108" s="65">
        <f t="shared" si="44"/>
        <v>-43.052972106059961</v>
      </c>
      <c r="F108" s="64">
        <f t="shared" si="29"/>
        <v>40.779916395363564</v>
      </c>
      <c r="G108" s="64">
        <f t="shared" si="30"/>
        <v>49.220083604636436</v>
      </c>
      <c r="H108" s="64">
        <f t="shared" si="45"/>
        <v>-34.164206367242443</v>
      </c>
      <c r="I108" s="72">
        <f t="shared" si="32"/>
        <v>51.771299603495621</v>
      </c>
      <c r="J108" s="64">
        <f t="shared" si="33"/>
        <v>38.228700396504379</v>
      </c>
      <c r="K108" s="65">
        <f t="shared" si="46"/>
        <v>-28.481406563680949</v>
      </c>
      <c r="L108" s="64">
        <f t="shared" si="35"/>
        <v>62.963608631335951</v>
      </c>
      <c r="M108" s="64">
        <f t="shared" si="36"/>
        <v>27.036391368664049</v>
      </c>
      <c r="N108" s="65">
        <f t="shared" si="47"/>
        <v>-24.317426770236164</v>
      </c>
      <c r="O108" s="64">
        <f t="shared" si="38"/>
        <v>74.255898657698665</v>
      </c>
      <c r="P108" s="64">
        <f t="shared" si="39"/>
        <v>15.744101342301335</v>
      </c>
      <c r="Q108" s="65">
        <f t="shared" si="48"/>
        <v>-20.919923940231108</v>
      </c>
      <c r="R108" s="64">
        <f t="shared" si="41"/>
        <v>63.982235619287628</v>
      </c>
      <c r="S108" s="59">
        <f t="shared" si="42"/>
        <v>26.017764380712372</v>
      </c>
      <c r="T108" s="58">
        <f t="shared" si="49"/>
        <v>-23.986086831846293</v>
      </c>
      <c r="U108" s="69"/>
    </row>
    <row r="109" spans="1:29" x14ac:dyDescent="0.2">
      <c r="A109" s="67">
        <v>-21</v>
      </c>
      <c r="B109" s="66">
        <f t="shared" si="25"/>
        <v>-0.36651914291880922</v>
      </c>
      <c r="C109" s="64">
        <f t="shared" si="26"/>
        <v>29.777275895939514</v>
      </c>
      <c r="D109" s="64">
        <f t="shared" si="27"/>
        <v>60.222724104060489</v>
      </c>
      <c r="E109" s="65">
        <f t="shared" si="44"/>
        <v>-41.452678071624419</v>
      </c>
      <c r="F109" s="64">
        <f t="shared" si="29"/>
        <v>40.411868178170806</v>
      </c>
      <c r="G109" s="64">
        <f t="shared" si="30"/>
        <v>49.588131821829194</v>
      </c>
      <c r="H109" s="64">
        <f t="shared" si="45"/>
        <v>-32.769829772909993</v>
      </c>
      <c r="I109" s="72">
        <f t="shared" si="32"/>
        <v>51.459253828023286</v>
      </c>
      <c r="J109" s="64">
        <f t="shared" si="33"/>
        <v>38.540746171976714</v>
      </c>
      <c r="K109" s="65">
        <f t="shared" si="46"/>
        <v>-27.269355380688644</v>
      </c>
      <c r="L109" s="64">
        <f t="shared" si="35"/>
        <v>62.694405360125806</v>
      </c>
      <c r="M109" s="64">
        <f t="shared" si="36"/>
        <v>27.305594639874194</v>
      </c>
      <c r="N109" s="65">
        <f t="shared" si="47"/>
        <v>-23.259251086420271</v>
      </c>
      <c r="O109" s="64">
        <f t="shared" si="38"/>
        <v>74.022619736956997</v>
      </c>
      <c r="P109" s="64">
        <f t="shared" si="39"/>
        <v>15.977380263043003</v>
      </c>
      <c r="Q109" s="65">
        <f t="shared" si="48"/>
        <v>-19.997555737333773</v>
      </c>
      <c r="R109" s="64">
        <f t="shared" si="41"/>
        <v>63.716499791393595</v>
      </c>
      <c r="S109" s="59">
        <f t="shared" si="42"/>
        <v>26.283500208606405</v>
      </c>
      <c r="T109" s="58">
        <f t="shared" si="49"/>
        <v>-22.940784619687246</v>
      </c>
      <c r="U109" s="69"/>
      <c r="V109" s="53"/>
      <c r="X109" s="50"/>
    </row>
    <row r="110" spans="1:29" x14ac:dyDescent="0.2">
      <c r="A110" s="67">
        <v>-20</v>
      </c>
      <c r="B110" s="66">
        <f t="shared" si="25"/>
        <v>-0.3490658503988659</v>
      </c>
      <c r="C110" s="64">
        <f t="shared" si="26"/>
        <v>29.342637667222132</v>
      </c>
      <c r="D110" s="64">
        <f t="shared" si="27"/>
        <v>60.657362332777865</v>
      </c>
      <c r="E110" s="65">
        <f t="shared" si="44"/>
        <v>-39.814936667059094</v>
      </c>
      <c r="F110" s="64">
        <f t="shared" si="29"/>
        <v>40.057569496789434</v>
      </c>
      <c r="G110" s="64">
        <f t="shared" si="30"/>
        <v>49.942430503210566</v>
      </c>
      <c r="H110" s="64">
        <f t="shared" si="45"/>
        <v>-31.356644189067001</v>
      </c>
      <c r="I110" s="72">
        <f t="shared" si="32"/>
        <v>51.15981091205277</v>
      </c>
      <c r="J110" s="64">
        <f t="shared" si="33"/>
        <v>38.84018908794723</v>
      </c>
      <c r="K110" s="65">
        <f t="shared" si="46"/>
        <v>-26.04695641777888</v>
      </c>
      <c r="L110" s="64">
        <f t="shared" si="35"/>
        <v>62.436558845665779</v>
      </c>
      <c r="M110" s="64">
        <f t="shared" si="36"/>
        <v>27.563441154334221</v>
      </c>
      <c r="N110" s="65">
        <f t="shared" si="47"/>
        <v>-22.194984227750442</v>
      </c>
      <c r="O110" s="64">
        <f t="shared" si="38"/>
        <v>73.799457580518663</v>
      </c>
      <c r="P110" s="64">
        <f t="shared" si="39"/>
        <v>16.200542419481337</v>
      </c>
      <c r="Q110" s="65">
        <f t="shared" si="48"/>
        <v>-19.071430840133534</v>
      </c>
      <c r="R110" s="64">
        <f t="shared" si="41"/>
        <v>63.462008129729121</v>
      </c>
      <c r="S110" s="59">
        <f t="shared" si="42"/>
        <v>26.537991870270879</v>
      </c>
      <c r="T110" s="58">
        <f t="shared" si="49"/>
        <v>-21.889661834116986</v>
      </c>
      <c r="U110" s="69"/>
    </row>
    <row r="111" spans="1:29" x14ac:dyDescent="0.2">
      <c r="A111" s="67">
        <v>-19</v>
      </c>
      <c r="B111" s="66">
        <f t="shared" si="25"/>
        <v>-0.33161255787892263</v>
      </c>
      <c r="C111" s="64">
        <f t="shared" si="26"/>
        <v>28.922822985485755</v>
      </c>
      <c r="D111" s="64">
        <f t="shared" si="27"/>
        <v>61.077177014514248</v>
      </c>
      <c r="E111" s="65">
        <f t="shared" si="44"/>
        <v>-38.139304386998354</v>
      </c>
      <c r="F111" s="64">
        <f t="shared" si="29"/>
        <v>39.717420440161916</v>
      </c>
      <c r="G111" s="64">
        <f t="shared" si="30"/>
        <v>50.282579559838084</v>
      </c>
      <c r="H111" s="64">
        <f t="shared" si="45"/>
        <v>-29.924868371078656</v>
      </c>
      <c r="I111" s="72">
        <f t="shared" si="32"/>
        <v>50.873213605962924</v>
      </c>
      <c r="J111" s="64">
        <f t="shared" si="33"/>
        <v>39.126786394037076</v>
      </c>
      <c r="K111" s="65">
        <f t="shared" si="46"/>
        <v>-24.814449317102657</v>
      </c>
      <c r="L111" s="64">
        <f t="shared" si="35"/>
        <v>62.190222511239789</v>
      </c>
      <c r="M111" s="64">
        <f t="shared" si="36"/>
        <v>27.809777488760211</v>
      </c>
      <c r="N111" s="65">
        <f t="shared" si="47"/>
        <v>-21.124807217018621</v>
      </c>
      <c r="O111" s="64">
        <f t="shared" si="38"/>
        <v>73.586511028112568</v>
      </c>
      <c r="P111" s="64">
        <f t="shared" si="39"/>
        <v>16.413488971887432</v>
      </c>
      <c r="Q111" s="65">
        <f t="shared" si="48"/>
        <v>-18.141676980738339</v>
      </c>
      <c r="R111" s="64">
        <f t="shared" si="41"/>
        <v>63.218908006443456</v>
      </c>
      <c r="S111" s="59">
        <f t="shared" si="42"/>
        <v>26.781091993556544</v>
      </c>
      <c r="T111" s="58">
        <f t="shared" si="49"/>
        <v>-20.832894108568599</v>
      </c>
      <c r="U111" s="69"/>
    </row>
    <row r="112" spans="1:29" x14ac:dyDescent="0.2">
      <c r="A112" s="67">
        <v>-18</v>
      </c>
      <c r="B112" s="66">
        <f t="shared" si="25"/>
        <v>-0.31415926535897931</v>
      </c>
      <c r="C112" s="64">
        <f t="shared" si="26"/>
        <v>28.518535354709151</v>
      </c>
      <c r="D112" s="64">
        <f t="shared" si="27"/>
        <v>61.481464645290849</v>
      </c>
      <c r="E112" s="65">
        <f t="shared" si="44"/>
        <v>-36.425477841674009</v>
      </c>
      <c r="F112" s="64">
        <f t="shared" si="29"/>
        <v>39.391818256702138</v>
      </c>
      <c r="G112" s="64">
        <f t="shared" si="30"/>
        <v>50.608181743297862</v>
      </c>
      <c r="H112" s="64">
        <f t="shared" si="45"/>
        <v>-28.474787050914543</v>
      </c>
      <c r="I112" s="72">
        <f t="shared" si="32"/>
        <v>50.599699426203806</v>
      </c>
      <c r="J112" s="64">
        <f t="shared" si="33"/>
        <v>39.400300573796194</v>
      </c>
      <c r="K112" s="65">
        <f t="shared" si="46"/>
        <v>-23.572102686205781</v>
      </c>
      <c r="L112" s="64">
        <f t="shared" si="35"/>
        <v>61.955545214109208</v>
      </c>
      <c r="M112" s="64">
        <f t="shared" si="36"/>
        <v>28.044454785890792</v>
      </c>
      <c r="N112" s="65">
        <f t="shared" si="47"/>
        <v>-20.048914621483455</v>
      </c>
      <c r="O112" s="64">
        <f t="shared" si="38"/>
        <v>73.383875468005968</v>
      </c>
      <c r="P112" s="64">
        <f t="shared" si="39"/>
        <v>16.616124531994032</v>
      </c>
      <c r="Q112" s="65">
        <f t="shared" si="48"/>
        <v>-17.208428569813346</v>
      </c>
      <c r="R112" s="64">
        <f t="shared" si="41"/>
        <v>62.987342324736666</v>
      </c>
      <c r="S112" s="59">
        <f t="shared" si="42"/>
        <v>27.012657675263334</v>
      </c>
      <c r="T112" s="58">
        <f t="shared" si="49"/>
        <v>-19.770669759007674</v>
      </c>
      <c r="U112" s="69"/>
      <c r="V112" s="53"/>
      <c r="X112" s="50"/>
    </row>
    <row r="113" spans="1:30" x14ac:dyDescent="0.2">
      <c r="A113" s="67">
        <v>-17</v>
      </c>
      <c r="B113" s="66">
        <f t="shared" si="25"/>
        <v>-0.29670597283903605</v>
      </c>
      <c r="C113" s="64">
        <f t="shared" si="26"/>
        <v>28.130491090282693</v>
      </c>
      <c r="D113" s="64">
        <f t="shared" si="27"/>
        <v>61.869508909717311</v>
      </c>
      <c r="E113" s="65">
        <f t="shared" si="44"/>
        <v>-34.673313606379871</v>
      </c>
      <c r="F113" s="64">
        <f t="shared" si="29"/>
        <v>39.08115579010412</v>
      </c>
      <c r="G113" s="64">
        <f t="shared" si="30"/>
        <v>50.91884420989588</v>
      </c>
      <c r="H113" s="65">
        <f t="shared" si="45"/>
        <v>-27.006753885752683</v>
      </c>
      <c r="I113" s="64">
        <f t="shared" si="32"/>
        <v>50.339499907341349</v>
      </c>
      <c r="J113" s="64">
        <f t="shared" si="33"/>
        <v>39.660500092658651</v>
      </c>
      <c r="K113" s="65">
        <f t="shared" si="46"/>
        <v>-22.320214346183281</v>
      </c>
      <c r="L113" s="64">
        <f t="shared" si="35"/>
        <v>61.732670883180027</v>
      </c>
      <c r="M113" s="64">
        <f t="shared" si="36"/>
        <v>28.267329116819973</v>
      </c>
      <c r="N113" s="65">
        <f t="shared" si="47"/>
        <v>-18.967514411148048</v>
      </c>
      <c r="O113" s="64">
        <f t="shared" si="38"/>
        <v>73.191642657304129</v>
      </c>
      <c r="P113" s="64">
        <f t="shared" si="39"/>
        <v>16.808357342695871</v>
      </c>
      <c r="Q113" s="65">
        <f t="shared" si="48"/>
        <v>-16.271826548146883</v>
      </c>
      <c r="R113" s="64">
        <f t="shared" si="41"/>
        <v>62.767449179065004</v>
      </c>
      <c r="S113" s="59">
        <f t="shared" si="42"/>
        <v>27.232550820934996</v>
      </c>
      <c r="T113" s="58">
        <f t="shared" si="49"/>
        <v>-18.703189634889117</v>
      </c>
      <c r="U113" s="68"/>
    </row>
    <row r="114" spans="1:30" x14ac:dyDescent="0.2">
      <c r="A114" s="67">
        <v>-16</v>
      </c>
      <c r="B114" s="66">
        <f t="shared" si="25"/>
        <v>-0.27925268031909273</v>
      </c>
      <c r="C114" s="64">
        <f t="shared" si="26"/>
        <v>27.759416173738483</v>
      </c>
      <c r="D114" s="64">
        <f t="shared" si="27"/>
        <v>62.240583826261513</v>
      </c>
      <c r="E114" s="65">
        <f t="shared" si="44"/>
        <v>-32.882848539287309</v>
      </c>
      <c r="F114" s="64">
        <f t="shared" si="29"/>
        <v>38.785819818264478</v>
      </c>
      <c r="G114" s="64">
        <f t="shared" si="30"/>
        <v>51.214180181735522</v>
      </c>
      <c r="H114" s="65">
        <f t="shared" si="45"/>
        <v>-25.521194027837886</v>
      </c>
      <c r="I114" s="64">
        <f t="shared" si="32"/>
        <v>50.09283984075838</v>
      </c>
      <c r="J114" s="64">
        <f t="shared" si="33"/>
        <v>39.90716015924162</v>
      </c>
      <c r="K114" s="65">
        <f t="shared" si="46"/>
        <v>-21.059111419674036</v>
      </c>
      <c r="L114" s="64">
        <f t="shared" si="35"/>
        <v>61.521738158225034</v>
      </c>
      <c r="M114" s="64">
        <f t="shared" si="36"/>
        <v>28.478261841774966</v>
      </c>
      <c r="N114" s="65">
        <f t="shared" si="47"/>
        <v>-17.880827756681597</v>
      </c>
      <c r="O114" s="64">
        <f t="shared" si="38"/>
        <v>73.009900545420678</v>
      </c>
      <c r="P114" s="64">
        <f t="shared" si="39"/>
        <v>16.990099454579322</v>
      </c>
      <c r="Q114" s="65">
        <f t="shared" si="48"/>
        <v>-15.332018215219577</v>
      </c>
      <c r="R114" s="64">
        <f t="shared" si="41"/>
        <v>62.559361517304417</v>
      </c>
      <c r="S114" s="59">
        <f t="shared" si="42"/>
        <v>27.440638482695583</v>
      </c>
      <c r="T114" s="58">
        <f t="shared" si="49"/>
        <v>-17.630666914839644</v>
      </c>
      <c r="U114" s="66"/>
    </row>
    <row r="115" spans="1:30" s="54" customFormat="1" x14ac:dyDescent="0.2">
      <c r="A115" s="63">
        <v>-15</v>
      </c>
      <c r="B115" s="62">
        <f t="shared" si="25"/>
        <v>-0.26179938779914941</v>
      </c>
      <c r="C115" s="60">
        <f t="shared" si="26"/>
        <v>27.406042558318703</v>
      </c>
      <c r="D115" s="60">
        <f t="shared" si="27"/>
        <v>62.593957441681297</v>
      </c>
      <c r="E115" s="61">
        <f t="shared" si="44"/>
        <v>-31.054320145034652</v>
      </c>
      <c r="F115" s="60">
        <f t="shared" si="29"/>
        <v>38.506189304831139</v>
      </c>
      <c r="G115" s="60">
        <f t="shared" si="30"/>
        <v>51.493810695168861</v>
      </c>
      <c r="H115" s="61">
        <f t="shared" si="45"/>
        <v>-24.018606239098496</v>
      </c>
      <c r="I115" s="60">
        <f t="shared" si="32"/>
        <v>49.859936504776925</v>
      </c>
      <c r="J115" s="60">
        <f t="shared" si="33"/>
        <v>40.140063495223075</v>
      </c>
      <c r="K115" s="61">
        <f t="shared" si="46"/>
        <v>-19.789150246879618</v>
      </c>
      <c r="L115" s="60">
        <f t="shared" si="35"/>
        <v>61.322880032580883</v>
      </c>
      <c r="M115" s="60">
        <f t="shared" si="36"/>
        <v>28.677119967419117</v>
      </c>
      <c r="N115" s="61">
        <f t="shared" si="47"/>
        <v>-16.789088765313572</v>
      </c>
      <c r="O115" s="60">
        <f t="shared" si="38"/>
        <v>72.838733101477501</v>
      </c>
      <c r="P115" s="60">
        <f t="shared" si="39"/>
        <v>17.161266898522499</v>
      </c>
      <c r="Q115" s="61">
        <f t="shared" si="48"/>
        <v>-14.389157034701144</v>
      </c>
      <c r="R115" s="60">
        <f t="shared" si="41"/>
        <v>62.36320680663782</v>
      </c>
      <c r="S115" s="59">
        <f t="shared" si="42"/>
        <v>27.63679319336218</v>
      </c>
      <c r="T115" s="58">
        <f t="shared" si="49"/>
        <v>-16.553326845689767</v>
      </c>
      <c r="U115" s="62"/>
      <c r="V115" s="56">
        <f>E115</f>
        <v>-31.054320145034652</v>
      </c>
      <c r="W115" s="55"/>
      <c r="AD115" s="55">
        <f>D115</f>
        <v>62.593957441681297</v>
      </c>
    </row>
    <row r="116" spans="1:30" x14ac:dyDescent="0.2">
      <c r="A116" s="67">
        <v>-14</v>
      </c>
      <c r="B116" s="66">
        <f t="shared" si="25"/>
        <v>-0.24434609527920614</v>
      </c>
      <c r="C116" s="64">
        <f t="shared" si="26"/>
        <v>27.071103910779485</v>
      </c>
      <c r="D116" s="64">
        <f t="shared" si="27"/>
        <v>62.928896089220515</v>
      </c>
      <c r="E116" s="65">
        <f t="shared" si="44"/>
        <v>-29.188186468678619</v>
      </c>
      <c r="F116" s="64">
        <f t="shared" si="29"/>
        <v>38.242633575413414</v>
      </c>
      <c r="G116" s="64">
        <f t="shared" si="30"/>
        <v>51.757366424586586</v>
      </c>
      <c r="H116" s="65">
        <f t="shared" si="45"/>
        <v>-22.499564473953544</v>
      </c>
      <c r="I116" s="64">
        <f t="shared" si="32"/>
        <v>49.640998891400088</v>
      </c>
      <c r="J116" s="64">
        <f t="shared" si="33"/>
        <v>40.359001108599912</v>
      </c>
      <c r="K116" s="65">
        <f t="shared" si="46"/>
        <v>-18.510716119105819</v>
      </c>
      <c r="L116" s="64">
        <f t="shared" si="35"/>
        <v>61.136223501308386</v>
      </c>
      <c r="M116" s="64">
        <f t="shared" si="36"/>
        <v>28.863776498691614</v>
      </c>
      <c r="N116" s="65">
        <f t="shared" si="47"/>
        <v>-15.6925441534997</v>
      </c>
      <c r="O116" s="64">
        <f t="shared" si="38"/>
        <v>72.678220146397919</v>
      </c>
      <c r="P116" s="64">
        <f t="shared" si="39"/>
        <v>17.321779853602081</v>
      </c>
      <c r="Q116" s="65">
        <f t="shared" si="48"/>
        <v>-13.44340241694845</v>
      </c>
      <c r="R116" s="64">
        <f t="shared" si="41"/>
        <v>62.179106704989159</v>
      </c>
      <c r="S116" s="59">
        <f t="shared" si="42"/>
        <v>27.820893295010841</v>
      </c>
      <c r="T116" s="58">
        <f t="shared" si="49"/>
        <v>-15.471406423906419</v>
      </c>
      <c r="U116" s="66"/>
      <c r="V116" s="53">
        <f>H115</f>
        <v>-24.018606239098496</v>
      </c>
      <c r="AD116" s="50">
        <f>G115</f>
        <v>51.493810695168861</v>
      </c>
    </row>
    <row r="117" spans="1:30" x14ac:dyDescent="0.2">
      <c r="A117" s="67">
        <v>-13</v>
      </c>
      <c r="B117" s="66">
        <f t="shared" si="25"/>
        <v>-0.22689280275926285</v>
      </c>
      <c r="C117" s="64">
        <f t="shared" si="26"/>
        <v>26.755330789201309</v>
      </c>
      <c r="D117" s="64">
        <f t="shared" si="27"/>
        <v>63.244669210798691</v>
      </c>
      <c r="E117" s="65">
        <f t="shared" si="44"/>
        <v>-27.285144914302137</v>
      </c>
      <c r="F117" s="64">
        <f t="shared" si="29"/>
        <v>37.995510433052182</v>
      </c>
      <c r="G117" s="64">
        <f t="shared" si="30"/>
        <v>52.004489566947818</v>
      </c>
      <c r="H117" s="65">
        <f t="shared" si="45"/>
        <v>-20.964718855751606</v>
      </c>
      <c r="I117" s="64">
        <f t="shared" si="32"/>
        <v>49.436226935262226</v>
      </c>
      <c r="J117" s="64">
        <f t="shared" si="33"/>
        <v>40.563773064737774</v>
      </c>
      <c r="K117" s="65">
        <f t="shared" si="46"/>
        <v>-17.224222820934507</v>
      </c>
      <c r="L117" s="64">
        <f t="shared" si="35"/>
        <v>60.96188921685625</v>
      </c>
      <c r="M117" s="64">
        <f t="shared" si="36"/>
        <v>29.03811078314375</v>
      </c>
      <c r="N117" s="65">
        <f t="shared" si="47"/>
        <v>-14.591452855669981</v>
      </c>
      <c r="O117" s="64">
        <f t="shared" si="38"/>
        <v>72.528437190456856</v>
      </c>
      <c r="P117" s="64">
        <f t="shared" si="39"/>
        <v>17.471562809543144</v>
      </c>
      <c r="Q117" s="65">
        <f t="shared" si="48"/>
        <v>-12.49491947873126</v>
      </c>
      <c r="R117" s="64">
        <f t="shared" si="41"/>
        <v>62.007176739868811</v>
      </c>
      <c r="S117" s="59">
        <f t="shared" si="42"/>
        <v>27.992823260131189</v>
      </c>
      <c r="T117" s="58">
        <f t="shared" si="49"/>
        <v>-14.385154018932081</v>
      </c>
      <c r="U117" s="66"/>
      <c r="V117" s="53">
        <f>K115</f>
        <v>-19.789150246879618</v>
      </c>
      <c r="AD117" s="50">
        <f>J115</f>
        <v>40.140063495223075</v>
      </c>
    </row>
    <row r="118" spans="1:30" x14ac:dyDescent="0.2">
      <c r="A118" s="67">
        <v>-12</v>
      </c>
      <c r="B118" s="66">
        <f t="shared" si="25"/>
        <v>-0.20943951023931956</v>
      </c>
      <c r="C118" s="64">
        <f t="shared" si="26"/>
        <v>26.459445274132491</v>
      </c>
      <c r="D118" s="64">
        <f t="shared" si="27"/>
        <v>63.540554725867509</v>
      </c>
      <c r="E118" s="65">
        <f t="shared" si="44"/>
        <v>-25.346149301336247</v>
      </c>
      <c r="F118" s="64">
        <f t="shared" si="29"/>
        <v>37.765164230081012</v>
      </c>
      <c r="G118" s="64">
        <f t="shared" si="30"/>
        <v>52.234835769918988</v>
      </c>
      <c r="H118" s="65">
        <f t="shared" si="45"/>
        <v>-19.414795976609241</v>
      </c>
      <c r="I118" s="64">
        <f t="shared" si="32"/>
        <v>49.245810750713353</v>
      </c>
      <c r="J118" s="64">
        <f t="shared" si="33"/>
        <v>40.754189249286647</v>
      </c>
      <c r="K118" s="65">
        <f t="shared" si="46"/>
        <v>-15.930111974031496</v>
      </c>
      <c r="L118" s="64">
        <f t="shared" si="35"/>
        <v>60.799991154301821</v>
      </c>
      <c r="M118" s="64">
        <f t="shared" si="36"/>
        <v>29.200008845698179</v>
      </c>
      <c r="N118" s="65">
        <f t="shared" si="47"/>
        <v>-13.486085568919712</v>
      </c>
      <c r="O118" s="64">
        <f t="shared" si="38"/>
        <v>72.389455277046693</v>
      </c>
      <c r="P118" s="64">
        <f t="shared" si="39"/>
        <v>17.610544722953307</v>
      </c>
      <c r="Q118" s="65">
        <f t="shared" si="48"/>
        <v>-11.543878780575175</v>
      </c>
      <c r="R118" s="64">
        <f t="shared" si="41"/>
        <v>61.847525996520886</v>
      </c>
      <c r="S118" s="59">
        <f t="shared" si="42"/>
        <v>28.152474003479114</v>
      </c>
      <c r="T118" s="58">
        <f t="shared" si="49"/>
        <v>-13.294828938430948</v>
      </c>
      <c r="U118" s="66"/>
      <c r="V118" s="53">
        <f>N115</f>
        <v>-16.789088765313572</v>
      </c>
      <c r="AD118" s="50">
        <f>M115</f>
        <v>28.677119967419117</v>
      </c>
    </row>
    <row r="119" spans="1:30" x14ac:dyDescent="0.2">
      <c r="A119" s="67">
        <v>-11</v>
      </c>
      <c r="B119" s="66">
        <f t="shared" si="25"/>
        <v>-0.19198621771937624</v>
      </c>
      <c r="C119" s="64">
        <f t="shared" si="26"/>
        <v>26.184155090915269</v>
      </c>
      <c r="D119" s="64">
        <f t="shared" si="27"/>
        <v>63.815844909084731</v>
      </c>
      <c r="E119" s="65">
        <f t="shared" si="44"/>
        <v>-23.372424407253959</v>
      </c>
      <c r="F119" s="64">
        <f t="shared" si="29"/>
        <v>37.551923915924775</v>
      </c>
      <c r="G119" s="64">
        <f t="shared" si="30"/>
        <v>52.448076084075225</v>
      </c>
      <c r="H119" s="65">
        <f t="shared" si="45"/>
        <v>-17.850598457242285</v>
      </c>
      <c r="I119" s="64">
        <f t="shared" si="32"/>
        <v>49.069929883235908</v>
      </c>
      <c r="J119" s="64">
        <f t="shared" si="33"/>
        <v>40.930070116764092</v>
      </c>
      <c r="K119" s="65">
        <f t="shared" si="46"/>
        <v>-14.628852177767177</v>
      </c>
      <c r="L119" s="64">
        <f t="shared" si="35"/>
        <v>60.650636288256131</v>
      </c>
      <c r="M119" s="64">
        <f t="shared" si="36"/>
        <v>29.349363711743869</v>
      </c>
      <c r="N119" s="65">
        <f t="shared" si="47"/>
        <v>-12.376724234081781</v>
      </c>
      <c r="O119" s="64">
        <f t="shared" si="38"/>
        <v>72.2613408334051</v>
      </c>
      <c r="P119" s="64">
        <f t="shared" si="39"/>
        <v>17.7386591665949</v>
      </c>
      <c r="Q119" s="65">
        <f t="shared" si="48"/>
        <v>-10.590456042267727</v>
      </c>
      <c r="R119" s="64">
        <f t="shared" si="41"/>
        <v>61.700256817270684</v>
      </c>
      <c r="S119" s="59">
        <f t="shared" si="42"/>
        <v>28.299743182729316</v>
      </c>
      <c r="T119" s="58">
        <f t="shared" si="49"/>
        <v>-12.200700935957537</v>
      </c>
      <c r="U119" s="66"/>
      <c r="V119" s="53">
        <f>Q115</f>
        <v>-14.389157034701144</v>
      </c>
      <c r="AD119" s="50">
        <f>P115</f>
        <v>17.161266898522499</v>
      </c>
    </row>
    <row r="120" spans="1:30" x14ac:dyDescent="0.2">
      <c r="A120" s="67">
        <v>-10</v>
      </c>
      <c r="B120" s="66">
        <f t="shared" si="25"/>
        <v>-0.17453292519943295</v>
      </c>
      <c r="C120" s="64">
        <f t="shared" si="26"/>
        <v>25.930147284031534</v>
      </c>
      <c r="D120" s="64">
        <f t="shared" si="27"/>
        <v>64.069852715968466</v>
      </c>
      <c r="E120" s="65">
        <f t="shared" si="44"/>
        <v>-21.365477206318698</v>
      </c>
      <c r="F120" s="64">
        <f t="shared" si="29"/>
        <v>37.356101082591778</v>
      </c>
      <c r="G120" s="64">
        <f t="shared" si="30"/>
        <v>52.643898917408222</v>
      </c>
      <c r="H120" s="65">
        <f t="shared" si="45"/>
        <v>-16.273003712801156</v>
      </c>
      <c r="I120" s="64">
        <f t="shared" si="32"/>
        <v>48.908752581589411</v>
      </c>
      <c r="J120" s="64">
        <f t="shared" si="33"/>
        <v>41.091247418410589</v>
      </c>
      <c r="K120" s="65">
        <f t="shared" si="46"/>
        <v>-13.320937944246523</v>
      </c>
      <c r="L120" s="64">
        <f t="shared" si="35"/>
        <v>60.513924283513163</v>
      </c>
      <c r="M120" s="64">
        <f t="shared" si="36"/>
        <v>29.486075716486837</v>
      </c>
      <c r="N120" s="65">
        <f t="shared" si="47"/>
        <v>-11.263661454227542</v>
      </c>
      <c r="O120" s="64">
        <f t="shared" si="38"/>
        <v>72.144155529034336</v>
      </c>
      <c r="P120" s="64">
        <f t="shared" si="39"/>
        <v>17.855844470965664</v>
      </c>
      <c r="Q120" s="65">
        <f t="shared" si="48"/>
        <v>-9.6348318372399184</v>
      </c>
      <c r="R120" s="64">
        <f t="shared" si="41"/>
        <v>61.565464513959256</v>
      </c>
      <c r="S120" s="59">
        <f t="shared" si="42"/>
        <v>28.434535486040744</v>
      </c>
      <c r="T120" s="58">
        <f t="shared" si="49"/>
        <v>-11.103049662096034</v>
      </c>
      <c r="U120" s="66"/>
    </row>
    <row r="121" spans="1:30" x14ac:dyDescent="0.2">
      <c r="A121" s="67">
        <v>-9</v>
      </c>
      <c r="B121" s="66">
        <f t="shared" si="25"/>
        <v>-0.15707963267948966</v>
      </c>
      <c r="C121" s="64">
        <f t="shared" si="26"/>
        <v>25.698081528940289</v>
      </c>
      <c r="D121" s="64">
        <f t="shared" si="27"/>
        <v>64.301918471059707</v>
      </c>
      <c r="E121" s="65">
        <f t="shared" si="44"/>
        <v>-19.327104009305557</v>
      </c>
      <c r="F121" s="64">
        <f t="shared" si="29"/>
        <v>37.177988031521217</v>
      </c>
      <c r="G121" s="64">
        <f t="shared" si="30"/>
        <v>52.822011968478783</v>
      </c>
      <c r="H121" s="65">
        <f t="shared" si="45"/>
        <v>-14.682961882709614</v>
      </c>
      <c r="I121" s="64">
        <f t="shared" si="32"/>
        <v>48.762435097189226</v>
      </c>
      <c r="J121" s="64">
        <f t="shared" si="33"/>
        <v>41.237564902810774</v>
      </c>
      <c r="K121" s="65">
        <f t="shared" si="46"/>
        <v>-12.006888427965745</v>
      </c>
      <c r="L121" s="64">
        <f t="shared" si="35"/>
        <v>60.389947201493712</v>
      </c>
      <c r="M121" s="64">
        <f t="shared" si="36"/>
        <v>29.610052798506288</v>
      </c>
      <c r="N121" s="65">
        <f t="shared" si="47"/>
        <v>-10.147199852257829</v>
      </c>
      <c r="O121" s="64">
        <f t="shared" si="38"/>
        <v>72.037956142517615</v>
      </c>
      <c r="P121" s="64">
        <f t="shared" si="39"/>
        <v>17.962043857482385</v>
      </c>
      <c r="Q121" s="65">
        <f t="shared" si="48"/>
        <v>-8.6771912666949103</v>
      </c>
      <c r="R121" s="64">
        <f t="shared" si="41"/>
        <v>61.443237095321884</v>
      </c>
      <c r="S121" s="59">
        <f t="shared" si="42"/>
        <v>28.556762904678116</v>
      </c>
      <c r="T121" s="58">
        <f t="shared" si="49"/>
        <v>-10.002164060668632</v>
      </c>
      <c r="U121" s="66"/>
    </row>
    <row r="122" spans="1:30" x14ac:dyDescent="0.2">
      <c r="A122" s="67">
        <v>-8</v>
      </c>
      <c r="B122" s="66">
        <f t="shared" si="25"/>
        <v>-0.13962634015954636</v>
      </c>
      <c r="C122" s="64">
        <f t="shared" si="26"/>
        <v>25.488583192014616</v>
      </c>
      <c r="D122" s="64">
        <f t="shared" si="27"/>
        <v>64.511416807985384</v>
      </c>
      <c r="E122" s="65">
        <f t="shared" si="44"/>
        <v>-17.259392746674276</v>
      </c>
      <c r="F122" s="64">
        <f t="shared" si="29"/>
        <v>37.017855886955779</v>
      </c>
      <c r="G122" s="64">
        <f t="shared" si="30"/>
        <v>52.982144113044221</v>
      </c>
      <c r="H122" s="65">
        <f t="shared" si="45"/>
        <v>-13.081492896947866</v>
      </c>
      <c r="I122" s="64">
        <f t="shared" si="32"/>
        <v>48.631121017245064</v>
      </c>
      <c r="J122" s="64">
        <f t="shared" si="33"/>
        <v>41.368878982754936</v>
      </c>
      <c r="K122" s="65">
        <f t="shared" si="46"/>
        <v>-10.687245953113647</v>
      </c>
      <c r="L122" s="64">
        <f t="shared" si="35"/>
        <v>60.27878922448177</v>
      </c>
      <c r="M122" s="64">
        <f t="shared" si="36"/>
        <v>29.72121077551823</v>
      </c>
      <c r="N122" s="65">
        <f t="shared" si="47"/>
        <v>-9.0276513698765104</v>
      </c>
      <c r="O122" s="64">
        <f t="shared" si="38"/>
        <v>71.94279443740885</v>
      </c>
      <c r="P122" s="64">
        <f t="shared" si="39"/>
        <v>18.05720556259115</v>
      </c>
      <c r="Q122" s="65">
        <f t="shared" si="48"/>
        <v>-7.7177236145142141</v>
      </c>
      <c r="R122" s="64">
        <f t="shared" si="41"/>
        <v>61.33365501111598</v>
      </c>
      <c r="S122" s="59">
        <f t="shared" si="42"/>
        <v>28.66634498888402</v>
      </c>
      <c r="T122" s="58">
        <f t="shared" si="49"/>
        <v>-8.8983417121605672</v>
      </c>
      <c r="U122" s="66"/>
    </row>
    <row r="123" spans="1:30" x14ac:dyDescent="0.2">
      <c r="A123" s="67">
        <v>-7</v>
      </c>
      <c r="B123" s="66">
        <f t="shared" si="25"/>
        <v>-0.12217304763960307</v>
      </c>
      <c r="C123" s="64">
        <f t="shared" si="26"/>
        <v>25.3022362733664</v>
      </c>
      <c r="D123" s="64">
        <f t="shared" si="27"/>
        <v>64.697763726633596</v>
      </c>
      <c r="E123" s="65">
        <f t="shared" si="44"/>
        <v>-15.164719723886556</v>
      </c>
      <c r="F123" s="64">
        <f t="shared" si="29"/>
        <v>36.875952782026623</v>
      </c>
      <c r="G123" s="64">
        <f t="shared" si="30"/>
        <v>53.124047217973377</v>
      </c>
      <c r="H123" s="65">
        <f t="shared" si="45"/>
        <v>-11.469682667827225</v>
      </c>
      <c r="I123" s="64">
        <f t="shared" si="32"/>
        <v>48.514940638101535</v>
      </c>
      <c r="J123" s="64">
        <f t="shared" si="33"/>
        <v>41.485059361898465</v>
      </c>
      <c r="K123" s="65">
        <f t="shared" si="46"/>
        <v>-9.3625743444307172</v>
      </c>
      <c r="L123" s="64">
        <f t="shared" si="35"/>
        <v>60.180526399575889</v>
      </c>
      <c r="M123" s="64">
        <f t="shared" si="36"/>
        <v>29.819473600424111</v>
      </c>
      <c r="N123" s="65">
        <f t="shared" si="47"/>
        <v>-7.9053365108602831</v>
      </c>
      <c r="O123" s="64">
        <f t="shared" si="38"/>
        <v>71.858717047836308</v>
      </c>
      <c r="P123" s="64">
        <f t="shared" si="39"/>
        <v>18.141282952163692</v>
      </c>
      <c r="Q123" s="65">
        <f t="shared" si="48"/>
        <v>-6.7566219841269337</v>
      </c>
      <c r="R123" s="64">
        <f t="shared" si="41"/>
        <v>61.236790914733227</v>
      </c>
      <c r="S123" s="59">
        <f t="shared" si="42"/>
        <v>28.763209085266773</v>
      </c>
      <c r="T123" s="58">
        <f t="shared" si="49"/>
        <v>-7.7918881270547713</v>
      </c>
      <c r="U123" s="66"/>
    </row>
    <row r="124" spans="1:30" x14ac:dyDescent="0.2">
      <c r="A124" s="67">
        <v>-6</v>
      </c>
      <c r="B124" s="66">
        <f t="shared" si="25"/>
        <v>-0.10471975511965978</v>
      </c>
      <c r="C124" s="64">
        <f t="shared" si="26"/>
        <v>25.139576388879696</v>
      </c>
      <c r="D124" s="64">
        <f t="shared" si="27"/>
        <v>64.860423611120297</v>
      </c>
      <c r="E124" s="65">
        <f t="shared" si="44"/>
        <v>-13.045740315863585</v>
      </c>
      <c r="F124" s="64">
        <f t="shared" si="29"/>
        <v>36.752502144184902</v>
      </c>
      <c r="G124" s="64">
        <f t="shared" si="30"/>
        <v>53.247497855815098</v>
      </c>
      <c r="H124" s="65">
        <f t="shared" si="45"/>
        <v>-9.8486784146998794</v>
      </c>
      <c r="I124" s="64">
        <f t="shared" si="32"/>
        <v>48.414010385037969</v>
      </c>
      <c r="J124" s="64">
        <f t="shared" si="33"/>
        <v>41.585989614962031</v>
      </c>
      <c r="K124" s="65">
        <f t="shared" si="46"/>
        <v>-8.0334570705001394</v>
      </c>
      <c r="L124" s="64">
        <f t="shared" si="35"/>
        <v>60.095226404179833</v>
      </c>
      <c r="M124" s="64">
        <f t="shared" si="36"/>
        <v>29.904773595820167</v>
      </c>
      <c r="N124" s="65">
        <f t="shared" si="47"/>
        <v>-6.7805835321470012</v>
      </c>
      <c r="O124" s="64">
        <f t="shared" si="38"/>
        <v>71.785765374420151</v>
      </c>
      <c r="P124" s="64">
        <f t="shared" si="39"/>
        <v>18.214234625579849</v>
      </c>
      <c r="Q124" s="65">
        <f t="shared" si="48"/>
        <v>-5.7940829186755538</v>
      </c>
      <c r="R124" s="64">
        <f t="shared" si="41"/>
        <v>61.152709445938967</v>
      </c>
      <c r="S124" s="59">
        <f t="shared" si="42"/>
        <v>28.847290554061033</v>
      </c>
      <c r="T124" s="58">
        <f t="shared" si="49"/>
        <v>-6.6831159923064902</v>
      </c>
      <c r="U124" s="66"/>
    </row>
    <row r="125" spans="1:30" x14ac:dyDescent="0.2">
      <c r="A125" s="67">
        <v>-5</v>
      </c>
      <c r="B125" s="66">
        <f t="shared" si="25"/>
        <v>-8.7266462599716474E-2</v>
      </c>
      <c r="C125" s="64">
        <f t="shared" si="26"/>
        <v>25.001083964833875</v>
      </c>
      <c r="D125" s="64">
        <f t="shared" si="27"/>
        <v>64.998916035166133</v>
      </c>
      <c r="E125" s="65">
        <f t="shared" si="44"/>
        <v>-10.905373257347657</v>
      </c>
      <c r="F125" s="64">
        <f t="shared" si="29"/>
        <v>36.647701106424144</v>
      </c>
      <c r="G125" s="64">
        <f t="shared" si="30"/>
        <v>53.352298893575856</v>
      </c>
      <c r="H125" s="65">
        <f t="shared" si="45"/>
        <v>-8.2196831486835951</v>
      </c>
      <c r="I125" s="64">
        <f t="shared" si="32"/>
        <v>48.328432284490923</v>
      </c>
      <c r="J125" s="64">
        <f t="shared" si="33"/>
        <v>41.671567715509077</v>
      </c>
      <c r="K125" s="65">
        <f t="shared" si="46"/>
        <v>-6.7004952112788292</v>
      </c>
      <c r="L125" s="64">
        <f t="shared" si="35"/>
        <v>60.022948334735503</v>
      </c>
      <c r="M125" s="64">
        <f t="shared" si="36"/>
        <v>29.977051665264497</v>
      </c>
      <c r="N125" s="65">
        <f t="shared" si="47"/>
        <v>-5.6537275868580839</v>
      </c>
      <c r="O125" s="64">
        <f t="shared" si="38"/>
        <v>71.723975491056436</v>
      </c>
      <c r="P125" s="64">
        <f t="shared" si="39"/>
        <v>18.276024508943564</v>
      </c>
      <c r="Q125" s="65">
        <f t="shared" si="48"/>
        <v>-4.8303060059464222</v>
      </c>
      <c r="R125" s="64">
        <f t="shared" si="41"/>
        <v>61.081467035271324</v>
      </c>
      <c r="S125" s="59">
        <f t="shared" si="42"/>
        <v>28.918532964728676</v>
      </c>
      <c r="T125" s="58">
        <f t="shared" si="49"/>
        <v>-5.5723443746964305</v>
      </c>
      <c r="U125" s="66"/>
    </row>
    <row r="126" spans="1:30" x14ac:dyDescent="0.2">
      <c r="A126" s="67">
        <v>-4</v>
      </c>
      <c r="B126" s="66">
        <f t="shared" si="25"/>
        <v>-6.9813170079773182E-2</v>
      </c>
      <c r="C126" s="64">
        <f t="shared" si="26"/>
        <v>24.887177829297624</v>
      </c>
      <c r="D126" s="64">
        <f t="shared" si="27"/>
        <v>65.112822170702373</v>
      </c>
      <c r="E126" s="65">
        <f t="shared" si="44"/>
        <v>-8.7467784217630236</v>
      </c>
      <c r="F126" s="64">
        <f t="shared" si="29"/>
        <v>36.561719069866186</v>
      </c>
      <c r="G126" s="64">
        <f t="shared" si="30"/>
        <v>53.438280930133814</v>
      </c>
      <c r="H126" s="65">
        <f t="shared" si="45"/>
        <v>-6.5839493647361529</v>
      </c>
      <c r="I126" s="64">
        <f t="shared" si="32"/>
        <v>48.25829349426472</v>
      </c>
      <c r="J126" s="64">
        <f t="shared" si="33"/>
        <v>41.74170650573528</v>
      </c>
      <c r="K126" s="65">
        <f t="shared" si="46"/>
        <v>-5.3643052645326836</v>
      </c>
      <c r="L126" s="64">
        <f t="shared" si="35"/>
        <v>59.963742520258812</v>
      </c>
      <c r="M126" s="64">
        <f t="shared" si="36"/>
        <v>30.036257479741188</v>
      </c>
      <c r="N126" s="65">
        <f t="shared" si="47"/>
        <v>-4.5251098239114151</v>
      </c>
      <c r="O126" s="64">
        <f t="shared" si="38"/>
        <v>71.673378063069151</v>
      </c>
      <c r="P126" s="64">
        <f t="shared" si="39"/>
        <v>18.326621936930849</v>
      </c>
      <c r="Q126" s="65">
        <f t="shared" si="48"/>
        <v>-3.8654934696714069</v>
      </c>
      <c r="R126" s="64">
        <f t="shared" si="41"/>
        <v>61.023111731502155</v>
      </c>
      <c r="S126" s="59">
        <f t="shared" si="42"/>
        <v>28.976888268497845</v>
      </c>
      <c r="T126" s="58">
        <f t="shared" si="49"/>
        <v>-4.4598978852870044</v>
      </c>
      <c r="U126" s="66"/>
    </row>
    <row r="127" spans="1:30" x14ac:dyDescent="0.2">
      <c r="A127" s="67">
        <v>-3</v>
      </c>
      <c r="B127" s="66">
        <f t="shared" si="25"/>
        <v>-5.235987755982989E-2</v>
      </c>
      <c r="C127" s="64">
        <f t="shared" si="26"/>
        <v>24.798209387436039</v>
      </c>
      <c r="D127" s="64">
        <f t="shared" si="27"/>
        <v>65.201790612563968</v>
      </c>
      <c r="E127" s="65">
        <f t="shared" si="44"/>
        <v>-6.5733282523122352</v>
      </c>
      <c r="F127" s="64">
        <f t="shared" si="29"/>
        <v>36.494696441709479</v>
      </c>
      <c r="G127" s="64">
        <f t="shared" si="30"/>
        <v>53.505303558290521</v>
      </c>
      <c r="H127" s="65">
        <f t="shared" si="45"/>
        <v>-4.9427720085370588</v>
      </c>
      <c r="I127" s="64">
        <f t="shared" si="32"/>
        <v>48.203665896794391</v>
      </c>
      <c r="J127" s="64">
        <f t="shared" si="33"/>
        <v>41.796334103205609</v>
      </c>
      <c r="K127" s="65">
        <f t="shared" si="46"/>
        <v>-4.0255168085304174</v>
      </c>
      <c r="L127" s="64">
        <f t="shared" si="35"/>
        <v>59.917650362076515</v>
      </c>
      <c r="M127" s="64">
        <f t="shared" si="36"/>
        <v>30.082349637923485</v>
      </c>
      <c r="N127" s="65">
        <f t="shared" si="47"/>
        <v>-3.3950764494067665</v>
      </c>
      <c r="O127" s="64">
        <f t="shared" si="38"/>
        <v>71.633998277174555</v>
      </c>
      <c r="P127" s="64">
        <f t="shared" si="39"/>
        <v>18.366001722825445</v>
      </c>
      <c r="Q127" s="65">
        <f t="shared" si="48"/>
        <v>-2.8998497489099302</v>
      </c>
      <c r="R127" s="64">
        <f t="shared" si="41"/>
        <v>60.977683053414687</v>
      </c>
      <c r="S127" s="59">
        <f t="shared" si="42"/>
        <v>29.022316946585313</v>
      </c>
      <c r="T127" s="58">
        <f t="shared" si="49"/>
        <v>-3.3461058096444942</v>
      </c>
      <c r="U127" s="66"/>
    </row>
    <row r="128" spans="1:30" x14ac:dyDescent="0.2">
      <c r="A128" s="67">
        <v>-2</v>
      </c>
      <c r="B128" s="66">
        <f t="shared" si="25"/>
        <v>-3.4906585039886591E-2</v>
      </c>
      <c r="C128" s="64">
        <f t="shared" si="26"/>
        <v>24.734457561840891</v>
      </c>
      <c r="D128" s="64">
        <f t="shared" si="27"/>
        <v>65.265542438159116</v>
      </c>
      <c r="E128" s="65">
        <f t="shared" si="44"/>
        <v>-4.3885732999666995</v>
      </c>
      <c r="F128" s="64">
        <f t="shared" si="29"/>
        <v>36.446743570272702</v>
      </c>
      <c r="G128" s="64">
        <f t="shared" si="30"/>
        <v>53.553256429727298</v>
      </c>
      <c r="H128" s="65">
        <f t="shared" si="45"/>
        <v>-3.2974808048843309</v>
      </c>
      <c r="I128" s="64">
        <f t="shared" si="32"/>
        <v>48.16460575992884</v>
      </c>
      <c r="J128" s="64">
        <f t="shared" si="33"/>
        <v>41.83539424007116</v>
      </c>
      <c r="K128" s="65">
        <f t="shared" si="46"/>
        <v>-2.6847700408240147</v>
      </c>
      <c r="L128" s="64">
        <f t="shared" si="35"/>
        <v>59.884704200980586</v>
      </c>
      <c r="M128" s="64">
        <f t="shared" si="36"/>
        <v>30.115295799019414</v>
      </c>
      <c r="N128" s="65">
        <f t="shared" si="47"/>
        <v>-2.2639777554066085</v>
      </c>
      <c r="O128" s="64">
        <f t="shared" si="38"/>
        <v>71.605855783641985</v>
      </c>
      <c r="P128" s="64">
        <f t="shared" si="39"/>
        <v>18.394144216358015</v>
      </c>
      <c r="Q128" s="65">
        <f t="shared" si="48"/>
        <v>-1.9335810673399063</v>
      </c>
      <c r="R128" s="64">
        <f t="shared" si="41"/>
        <v>60.945211866989048</v>
      </c>
      <c r="S128" s="59">
        <f t="shared" si="42"/>
        <v>29.054788133010952</v>
      </c>
      <c r="T128" s="58">
        <f t="shared" si="49"/>
        <v>-2.2313012088934556</v>
      </c>
      <c r="U128" s="66"/>
    </row>
    <row r="129" spans="1:31" x14ac:dyDescent="0.2">
      <c r="A129" s="67">
        <v>-1</v>
      </c>
      <c r="B129" s="66">
        <f t="shared" si="25"/>
        <v>-1.7453292519943295E-2</v>
      </c>
      <c r="C129" s="64">
        <f t="shared" si="26"/>
        <v>24.696124663409073</v>
      </c>
      <c r="D129" s="64">
        <f t="shared" si="27"/>
        <v>65.30387533659092</v>
      </c>
      <c r="E129" s="65">
        <f t="shared" si="44"/>
        <v>-2.1962026140007231</v>
      </c>
      <c r="F129" s="64">
        <f t="shared" si="29"/>
        <v>36.417939895943391</v>
      </c>
      <c r="G129" s="64">
        <f t="shared" si="30"/>
        <v>53.582060104056609</v>
      </c>
      <c r="H129" s="65">
        <f t="shared" si="45"/>
        <v>-1.6494320518434791</v>
      </c>
      <c r="I129" s="64">
        <f t="shared" si="32"/>
        <v>48.141153469018469</v>
      </c>
      <c r="J129" s="64">
        <f t="shared" si="33"/>
        <v>41.858846530981531</v>
      </c>
      <c r="K129" s="65">
        <f t="shared" si="46"/>
        <v>-1.342713215112473</v>
      </c>
      <c r="L129" s="64">
        <f t="shared" si="35"/>
        <v>59.864927212819445</v>
      </c>
      <c r="M129" s="64">
        <f t="shared" si="36"/>
        <v>30.135072787180555</v>
      </c>
      <c r="N129" s="65">
        <f t="shared" si="47"/>
        <v>-1.1321671221452201</v>
      </c>
      <c r="O129" s="64">
        <f t="shared" si="38"/>
        <v>71.588964650970567</v>
      </c>
      <c r="P129" s="64">
        <f t="shared" si="39"/>
        <v>18.411035349029433</v>
      </c>
      <c r="Q129" s="65">
        <f t="shared" si="48"/>
        <v>-0.9668949943620373</v>
      </c>
      <c r="R129" s="64">
        <f t="shared" si="41"/>
        <v>60.925720288908749</v>
      </c>
      <c r="S129" s="59">
        <f t="shared" si="42"/>
        <v>29.074279711091251</v>
      </c>
      <c r="T129" s="58">
        <f t="shared" si="49"/>
        <v>-1.1158199970046858</v>
      </c>
      <c r="U129" s="66"/>
    </row>
    <row r="130" spans="1:31" s="54" customFormat="1" x14ac:dyDescent="0.2">
      <c r="A130" s="63">
        <v>-1E-3</v>
      </c>
      <c r="B130" s="62">
        <f t="shared" si="25"/>
        <v>-1.7453292519943296E-5</v>
      </c>
      <c r="C130" s="60">
        <f t="shared" si="26"/>
        <v>24.683333346128091</v>
      </c>
      <c r="D130" s="60">
        <f t="shared" si="27"/>
        <v>65.316666653871906</v>
      </c>
      <c r="E130" s="61">
        <f t="shared" si="44"/>
        <v>-2.196842877250462E-3</v>
      </c>
      <c r="F130" s="60">
        <f t="shared" si="29"/>
        <v>36.408333342941219</v>
      </c>
      <c r="G130" s="60">
        <f t="shared" si="30"/>
        <v>53.591666657058781</v>
      </c>
      <c r="H130" s="61">
        <f t="shared" si="45"/>
        <v>-1.6496623584192883E-3</v>
      </c>
      <c r="I130" s="60">
        <f t="shared" si="32"/>
        <v>48.133333341154149</v>
      </c>
      <c r="J130" s="60">
        <f t="shared" si="33"/>
        <v>41.866666658845851</v>
      </c>
      <c r="K130" s="61">
        <f t="shared" si="46"/>
        <v>-1.3428228339747508E-3</v>
      </c>
      <c r="L130" s="60">
        <f t="shared" si="35"/>
        <v>59.858333339927597</v>
      </c>
      <c r="M130" s="60">
        <f t="shared" si="36"/>
        <v>30.141666660072403</v>
      </c>
      <c r="N130" s="61">
        <f t="shared" si="47"/>
        <v>-1.1322265058328505E-3</v>
      </c>
      <c r="O130" s="60">
        <f t="shared" si="38"/>
        <v>71.583333338964891</v>
      </c>
      <c r="P130" s="60">
        <f t="shared" si="39"/>
        <v>18.416666661035109</v>
      </c>
      <c r="Q130" s="61">
        <f t="shared" si="48"/>
        <v>-9.6693022277186548E-4</v>
      </c>
      <c r="R130" s="60">
        <f t="shared" si="41"/>
        <v>60.919221623610632</v>
      </c>
      <c r="S130" s="59">
        <f t="shared" si="42"/>
        <v>29.080778376389368</v>
      </c>
      <c r="T130" s="58">
        <f t="shared" si="49"/>
        <v>-1.1158772564134575E-3</v>
      </c>
      <c r="U130" s="62"/>
      <c r="V130" s="56">
        <f>E130</f>
        <v>-2.196842877250462E-3</v>
      </c>
      <c r="W130" s="55"/>
      <c r="AE130" s="55">
        <f>D130</f>
        <v>65.316666653871906</v>
      </c>
    </row>
    <row r="131" spans="1:31" s="54" customFormat="1" x14ac:dyDescent="0.2">
      <c r="A131" s="63">
        <v>1E-3</v>
      </c>
      <c r="B131" s="62">
        <f t="shared" si="25"/>
        <v>1.7453292519943296E-5</v>
      </c>
      <c r="C131" s="60">
        <f t="shared" si="26"/>
        <v>24.683333346128091</v>
      </c>
      <c r="D131" s="60">
        <f t="shared" si="27"/>
        <v>65.316666653871906</v>
      </c>
      <c r="E131" s="61">
        <f t="shared" ref="E131:E162" si="50">DEGREES(ACOS((SIN(RADIANS(D131))*SIN($C$6)-SIN(C$5))/(COS(RADIANS(D131))*COS($C$6))))</f>
        <v>2.196842877250462E-3</v>
      </c>
      <c r="F131" s="60">
        <f t="shared" si="29"/>
        <v>36.408333342941219</v>
      </c>
      <c r="G131" s="60">
        <f t="shared" si="30"/>
        <v>53.591666657058781</v>
      </c>
      <c r="H131" s="61">
        <f t="shared" ref="H131:H162" si="51">DEGREES(ACOS((SIN(RADIANS(G131))*SIN($C$6)-SIN(G$5))/(COS(RADIANS(G131))*COS($C$6))))</f>
        <v>1.6496623584192883E-3</v>
      </c>
      <c r="I131" s="60">
        <f t="shared" si="32"/>
        <v>48.133333341154149</v>
      </c>
      <c r="J131" s="60">
        <f t="shared" si="33"/>
        <v>41.866666658845851</v>
      </c>
      <c r="K131" s="61">
        <f t="shared" ref="K131:K162" si="52">DEGREES(ACOS((SIN(RADIANS(J131))*SIN($C$6)-SIN(J$5))/(COS(RADIANS(J131))*COS($C$6))))</f>
        <v>1.3428228339747508E-3</v>
      </c>
      <c r="L131" s="60">
        <f t="shared" si="35"/>
        <v>59.858333339927597</v>
      </c>
      <c r="M131" s="60">
        <f t="shared" si="36"/>
        <v>30.141666660072403</v>
      </c>
      <c r="N131" s="61">
        <f t="shared" ref="N131:N162" si="53">DEGREES(ACOS((SIN(RADIANS(M131))*SIN($C$6)-SIN(M$5))/(COS(RADIANS(M131))*COS($C$6))))</f>
        <v>1.1322265058328505E-3</v>
      </c>
      <c r="O131" s="60">
        <f t="shared" si="38"/>
        <v>71.583333338964891</v>
      </c>
      <c r="P131" s="60">
        <f t="shared" si="39"/>
        <v>18.416666661035109</v>
      </c>
      <c r="Q131" s="61">
        <f t="shared" ref="Q131:Q162" si="54">DEGREES(ACOS((SIN(RADIANS(P131))*SIN($C$6)-SIN(P$5))/(COS(RADIANS(P131))*COS($C$6))))</f>
        <v>9.6693022277186548E-4</v>
      </c>
      <c r="R131" s="60">
        <f t="shared" si="41"/>
        <v>60.919221623610632</v>
      </c>
      <c r="S131" s="59">
        <f t="shared" si="42"/>
        <v>29.080778376389368</v>
      </c>
      <c r="T131" s="58">
        <f t="shared" ref="T131:T162" si="55">DEGREES(ACOS((SIN(RADIANS(S131))*SIN($C$6)-SIN(S$5))/(COS(RADIANS(S131))*COS($C$6))))</f>
        <v>1.1158772564134575E-3</v>
      </c>
      <c r="U131" s="62"/>
      <c r="V131" s="71">
        <f>IF($B$6&gt;=0,0,180)</f>
        <v>0</v>
      </c>
      <c r="W131" s="55"/>
      <c r="AE131" s="55">
        <f>D131</f>
        <v>65.316666653871906</v>
      </c>
    </row>
    <row r="132" spans="1:31" x14ac:dyDescent="0.2">
      <c r="A132" s="67">
        <v>1</v>
      </c>
      <c r="B132" s="66">
        <f t="shared" si="25"/>
        <v>1.7453292519943295E-2</v>
      </c>
      <c r="C132" s="64">
        <f t="shared" si="26"/>
        <v>24.696124663409073</v>
      </c>
      <c r="D132" s="64">
        <f t="shared" si="27"/>
        <v>65.30387533659092</v>
      </c>
      <c r="E132" s="65">
        <f t="shared" si="50"/>
        <v>2.1962026140007231</v>
      </c>
      <c r="F132" s="64">
        <f t="shared" si="29"/>
        <v>36.417939895943391</v>
      </c>
      <c r="G132" s="64">
        <f t="shared" si="30"/>
        <v>53.582060104056609</v>
      </c>
      <c r="H132" s="65">
        <f t="shared" si="51"/>
        <v>1.6494320518434791</v>
      </c>
      <c r="I132" s="64">
        <f t="shared" si="32"/>
        <v>48.141153469018469</v>
      </c>
      <c r="J132" s="64">
        <f t="shared" si="33"/>
        <v>41.858846530981531</v>
      </c>
      <c r="K132" s="65">
        <f t="shared" si="52"/>
        <v>1.342713215112473</v>
      </c>
      <c r="L132" s="64">
        <f t="shared" si="35"/>
        <v>59.864927212819445</v>
      </c>
      <c r="M132" s="64">
        <f t="shared" si="36"/>
        <v>30.135072787180555</v>
      </c>
      <c r="N132" s="65">
        <f t="shared" si="53"/>
        <v>1.1321671221452201</v>
      </c>
      <c r="O132" s="64">
        <f t="shared" si="38"/>
        <v>71.588964650970567</v>
      </c>
      <c r="P132" s="64">
        <f t="shared" si="39"/>
        <v>18.411035349029433</v>
      </c>
      <c r="Q132" s="65">
        <f t="shared" si="54"/>
        <v>0.9668949943620373</v>
      </c>
      <c r="R132" s="64">
        <f t="shared" si="41"/>
        <v>60.925720288908749</v>
      </c>
      <c r="S132" s="59">
        <f t="shared" si="42"/>
        <v>29.074279711091251</v>
      </c>
      <c r="T132" s="58">
        <f t="shared" si="55"/>
        <v>1.1158199970046858</v>
      </c>
      <c r="U132" s="66"/>
      <c r="V132" s="53">
        <f>IF($B$6&gt;=0,0,180)</f>
        <v>0</v>
      </c>
      <c r="AE132" s="50">
        <f>G131</f>
        <v>53.591666657058781</v>
      </c>
    </row>
    <row r="133" spans="1:31" x14ac:dyDescent="0.2">
      <c r="A133" s="67">
        <v>2</v>
      </c>
      <c r="B133" s="66">
        <f t="shared" si="25"/>
        <v>3.4906585039886591E-2</v>
      </c>
      <c r="C133" s="64">
        <f t="shared" si="26"/>
        <v>24.734457561840891</v>
      </c>
      <c r="D133" s="64">
        <f t="shared" si="27"/>
        <v>65.265542438159116</v>
      </c>
      <c r="E133" s="65">
        <f t="shared" si="50"/>
        <v>4.3885732999666995</v>
      </c>
      <c r="F133" s="64">
        <f t="shared" si="29"/>
        <v>36.446743570272702</v>
      </c>
      <c r="G133" s="64">
        <f t="shared" si="30"/>
        <v>53.553256429727298</v>
      </c>
      <c r="H133" s="65">
        <f t="shared" si="51"/>
        <v>3.2974808048843309</v>
      </c>
      <c r="I133" s="64">
        <f t="shared" si="32"/>
        <v>48.16460575992884</v>
      </c>
      <c r="J133" s="64">
        <f t="shared" si="33"/>
        <v>41.83539424007116</v>
      </c>
      <c r="K133" s="65">
        <f t="shared" si="52"/>
        <v>2.6847700408240147</v>
      </c>
      <c r="L133" s="64">
        <f t="shared" si="35"/>
        <v>59.884704200980586</v>
      </c>
      <c r="M133" s="64">
        <f t="shared" si="36"/>
        <v>30.115295799019414</v>
      </c>
      <c r="N133" s="65">
        <f t="shared" si="53"/>
        <v>2.2639777554066085</v>
      </c>
      <c r="O133" s="64">
        <f t="shared" si="38"/>
        <v>71.605855783641985</v>
      </c>
      <c r="P133" s="64">
        <f t="shared" si="39"/>
        <v>18.394144216358015</v>
      </c>
      <c r="Q133" s="65">
        <f t="shared" si="54"/>
        <v>1.9335810673399063</v>
      </c>
      <c r="R133" s="64">
        <f t="shared" si="41"/>
        <v>60.945211866989048</v>
      </c>
      <c r="S133" s="59">
        <f t="shared" si="42"/>
        <v>29.054788133010952</v>
      </c>
      <c r="T133" s="58">
        <f t="shared" si="55"/>
        <v>2.2313012088934556</v>
      </c>
      <c r="U133" s="66"/>
      <c r="V133" s="53">
        <f>IF($B$6&gt;=0,0,180)</f>
        <v>0</v>
      </c>
      <c r="AE133" s="50">
        <f>J131</f>
        <v>41.866666658845851</v>
      </c>
    </row>
    <row r="134" spans="1:31" x14ac:dyDescent="0.2">
      <c r="A134" s="67">
        <v>3</v>
      </c>
      <c r="B134" s="66">
        <f t="shared" si="25"/>
        <v>5.235987755982989E-2</v>
      </c>
      <c r="C134" s="64">
        <f t="shared" si="26"/>
        <v>24.798209387436039</v>
      </c>
      <c r="D134" s="64">
        <f t="shared" si="27"/>
        <v>65.201790612563968</v>
      </c>
      <c r="E134" s="65">
        <f t="shared" si="50"/>
        <v>6.5733282523122352</v>
      </c>
      <c r="F134" s="64">
        <f t="shared" si="29"/>
        <v>36.494696441709479</v>
      </c>
      <c r="G134" s="64">
        <f t="shared" si="30"/>
        <v>53.505303558290521</v>
      </c>
      <c r="H134" s="65">
        <f t="shared" si="51"/>
        <v>4.9427720085370588</v>
      </c>
      <c r="I134" s="64">
        <f t="shared" si="32"/>
        <v>48.203665896794391</v>
      </c>
      <c r="J134" s="64">
        <f t="shared" si="33"/>
        <v>41.796334103205609</v>
      </c>
      <c r="K134" s="65">
        <f t="shared" si="52"/>
        <v>4.0255168085304174</v>
      </c>
      <c r="L134" s="64">
        <f t="shared" si="35"/>
        <v>59.917650362076515</v>
      </c>
      <c r="M134" s="64">
        <f t="shared" si="36"/>
        <v>30.082349637923485</v>
      </c>
      <c r="N134" s="65">
        <f t="shared" si="53"/>
        <v>3.3950764494067665</v>
      </c>
      <c r="O134" s="64">
        <f t="shared" si="38"/>
        <v>71.633998277174555</v>
      </c>
      <c r="P134" s="64">
        <f t="shared" si="39"/>
        <v>18.366001722825445</v>
      </c>
      <c r="Q134" s="65">
        <f t="shared" si="54"/>
        <v>2.8998497489099302</v>
      </c>
      <c r="R134" s="64">
        <f t="shared" si="41"/>
        <v>60.977683053414687</v>
      </c>
      <c r="S134" s="59">
        <f t="shared" si="42"/>
        <v>29.022316946585313</v>
      </c>
      <c r="T134" s="58">
        <f t="shared" si="55"/>
        <v>3.3461058096444942</v>
      </c>
      <c r="U134" s="66"/>
      <c r="V134" s="53">
        <f>IF($B$6&gt;=0,0,180)</f>
        <v>0</v>
      </c>
      <c r="AE134" s="50">
        <f>M131</f>
        <v>30.141666660072403</v>
      </c>
    </row>
    <row r="135" spans="1:31" x14ac:dyDescent="0.2">
      <c r="A135" s="67">
        <v>4</v>
      </c>
      <c r="B135" s="66">
        <f t="shared" si="25"/>
        <v>6.9813170079773182E-2</v>
      </c>
      <c r="C135" s="64">
        <f t="shared" si="26"/>
        <v>24.887177829297624</v>
      </c>
      <c r="D135" s="64">
        <f t="shared" si="27"/>
        <v>65.112822170702373</v>
      </c>
      <c r="E135" s="65">
        <f t="shared" si="50"/>
        <v>8.7467784217630236</v>
      </c>
      <c r="F135" s="64">
        <f t="shared" si="29"/>
        <v>36.561719069866186</v>
      </c>
      <c r="G135" s="64">
        <f t="shared" si="30"/>
        <v>53.438280930133814</v>
      </c>
      <c r="H135" s="65">
        <f t="shared" si="51"/>
        <v>6.5839493647361529</v>
      </c>
      <c r="I135" s="64">
        <f t="shared" si="32"/>
        <v>48.25829349426472</v>
      </c>
      <c r="J135" s="64">
        <f t="shared" si="33"/>
        <v>41.74170650573528</v>
      </c>
      <c r="K135" s="65">
        <f t="shared" si="52"/>
        <v>5.3643052645326836</v>
      </c>
      <c r="L135" s="64">
        <f t="shared" si="35"/>
        <v>59.963742520258812</v>
      </c>
      <c r="M135" s="64">
        <f t="shared" si="36"/>
        <v>30.036257479741188</v>
      </c>
      <c r="N135" s="65">
        <f t="shared" si="53"/>
        <v>4.5251098239114151</v>
      </c>
      <c r="O135" s="64">
        <f t="shared" si="38"/>
        <v>71.673378063069151</v>
      </c>
      <c r="P135" s="64">
        <f t="shared" si="39"/>
        <v>18.326621936930849</v>
      </c>
      <c r="Q135" s="65">
        <f t="shared" si="54"/>
        <v>3.8654934696714069</v>
      </c>
      <c r="R135" s="64">
        <f t="shared" si="41"/>
        <v>61.023111731502155</v>
      </c>
      <c r="S135" s="59">
        <f t="shared" si="42"/>
        <v>28.976888268497845</v>
      </c>
      <c r="T135" s="58">
        <f t="shared" si="55"/>
        <v>4.4598978852870044</v>
      </c>
      <c r="U135" s="66"/>
      <c r="V135" s="53">
        <f>IF($B$6&gt;=0,0,180)</f>
        <v>0</v>
      </c>
      <c r="AE135" s="50">
        <f>P131</f>
        <v>18.416666661035109</v>
      </c>
    </row>
    <row r="136" spans="1:31" x14ac:dyDescent="0.2">
      <c r="A136" s="67">
        <v>5</v>
      </c>
      <c r="B136" s="66">
        <f t="shared" si="25"/>
        <v>8.7266462599716474E-2</v>
      </c>
      <c r="C136" s="64">
        <f t="shared" si="26"/>
        <v>25.001083964833875</v>
      </c>
      <c r="D136" s="64">
        <f t="shared" si="27"/>
        <v>64.998916035166133</v>
      </c>
      <c r="E136" s="65">
        <f t="shared" si="50"/>
        <v>10.905373257347657</v>
      </c>
      <c r="F136" s="64">
        <f t="shared" si="29"/>
        <v>36.647701106424144</v>
      </c>
      <c r="G136" s="64">
        <f t="shared" si="30"/>
        <v>53.352298893575856</v>
      </c>
      <c r="H136" s="65">
        <f t="shared" si="51"/>
        <v>8.2196831486835951</v>
      </c>
      <c r="I136" s="64">
        <f t="shared" si="32"/>
        <v>48.328432284490923</v>
      </c>
      <c r="J136" s="64">
        <f t="shared" si="33"/>
        <v>41.671567715509077</v>
      </c>
      <c r="K136" s="65">
        <f t="shared" si="52"/>
        <v>6.7004952112788292</v>
      </c>
      <c r="L136" s="64">
        <f t="shared" si="35"/>
        <v>60.022948334735503</v>
      </c>
      <c r="M136" s="64">
        <f t="shared" si="36"/>
        <v>29.977051665264497</v>
      </c>
      <c r="N136" s="65">
        <f t="shared" si="53"/>
        <v>5.6537275868580839</v>
      </c>
      <c r="O136" s="64">
        <f t="shared" si="38"/>
        <v>71.723975491056436</v>
      </c>
      <c r="P136" s="64">
        <f t="shared" si="39"/>
        <v>18.276024508943564</v>
      </c>
      <c r="Q136" s="65">
        <f t="shared" si="54"/>
        <v>4.8303060059464222</v>
      </c>
      <c r="R136" s="64">
        <f t="shared" si="41"/>
        <v>61.081467035271324</v>
      </c>
      <c r="S136" s="59">
        <f t="shared" si="42"/>
        <v>28.918532964728676</v>
      </c>
      <c r="T136" s="58">
        <f t="shared" si="55"/>
        <v>5.5723443746964305</v>
      </c>
      <c r="U136" s="66"/>
    </row>
    <row r="137" spans="1:31" x14ac:dyDescent="0.2">
      <c r="A137" s="67">
        <v>6</v>
      </c>
      <c r="B137" s="66">
        <f t="shared" si="25"/>
        <v>0.10471975511965978</v>
      </c>
      <c r="C137" s="64">
        <f t="shared" si="26"/>
        <v>25.139576388879696</v>
      </c>
      <c r="D137" s="64">
        <f t="shared" si="27"/>
        <v>64.860423611120297</v>
      </c>
      <c r="E137" s="65">
        <f t="shared" si="50"/>
        <v>13.045740315863585</v>
      </c>
      <c r="F137" s="64">
        <f t="shared" si="29"/>
        <v>36.752502144184902</v>
      </c>
      <c r="G137" s="64">
        <f t="shared" si="30"/>
        <v>53.247497855815098</v>
      </c>
      <c r="H137" s="65">
        <f t="shared" si="51"/>
        <v>9.8486784146998794</v>
      </c>
      <c r="I137" s="64">
        <f t="shared" si="32"/>
        <v>48.414010385037969</v>
      </c>
      <c r="J137" s="64">
        <f t="shared" si="33"/>
        <v>41.585989614962031</v>
      </c>
      <c r="K137" s="65">
        <f t="shared" si="52"/>
        <v>8.0334570705001394</v>
      </c>
      <c r="L137" s="64">
        <f t="shared" si="35"/>
        <v>60.095226404179833</v>
      </c>
      <c r="M137" s="64">
        <f t="shared" si="36"/>
        <v>29.904773595820167</v>
      </c>
      <c r="N137" s="65">
        <f t="shared" si="53"/>
        <v>6.7805835321470012</v>
      </c>
      <c r="O137" s="64">
        <f t="shared" si="38"/>
        <v>71.785765374420151</v>
      </c>
      <c r="P137" s="64">
        <f t="shared" si="39"/>
        <v>18.214234625579849</v>
      </c>
      <c r="Q137" s="65">
        <f t="shared" si="54"/>
        <v>5.7940829186755538</v>
      </c>
      <c r="R137" s="64">
        <f t="shared" si="41"/>
        <v>61.152709445938967</v>
      </c>
      <c r="S137" s="59">
        <f t="shared" si="42"/>
        <v>28.847290554061033</v>
      </c>
      <c r="T137" s="58">
        <f t="shared" si="55"/>
        <v>6.6831159923064902</v>
      </c>
      <c r="U137" s="69"/>
    </row>
    <row r="138" spans="1:31" x14ac:dyDescent="0.2">
      <c r="A138" s="67">
        <v>7</v>
      </c>
      <c r="B138" s="66">
        <f t="shared" ref="B138:B201" si="56">RADIANS(A138)</f>
        <v>0.12217304763960307</v>
      </c>
      <c r="C138" s="64">
        <f t="shared" ref="C138:C201" si="57">DEGREES(ACOS(SIN(C$5)*SIN($C$6)+COS(C$5)*COS($C$6)*COS($B138)))</f>
        <v>25.3022362733664</v>
      </c>
      <c r="D138" s="64">
        <f t="shared" ref="D138:D201" si="58">90-C138</f>
        <v>64.697763726633596</v>
      </c>
      <c r="E138" s="65">
        <f t="shared" si="50"/>
        <v>15.164719723886556</v>
      </c>
      <c r="F138" s="64">
        <f t="shared" ref="F138:F201" si="59">DEGREES(ACOS(SIN(G$5)*SIN($C$6)+COS(G$5)*COS($C$6)*COS($B138)))</f>
        <v>36.875952782026623</v>
      </c>
      <c r="G138" s="64">
        <f t="shared" ref="G138:G201" si="60">90-F138</f>
        <v>53.124047217973377</v>
      </c>
      <c r="H138" s="65">
        <f t="shared" si="51"/>
        <v>11.469682667827225</v>
      </c>
      <c r="I138" s="64">
        <f t="shared" ref="I138:I201" si="61">DEGREES(ACOS(SIN(J$5)*SIN($C$6)+COS(J$5)*COS($C$6)*COS($B138)))</f>
        <v>48.514940638101535</v>
      </c>
      <c r="J138" s="64">
        <f t="shared" ref="J138:J201" si="62">90-I138</f>
        <v>41.485059361898465</v>
      </c>
      <c r="K138" s="65">
        <f t="shared" si="52"/>
        <v>9.3625743444307172</v>
      </c>
      <c r="L138" s="64">
        <f t="shared" ref="L138:L201" si="63">DEGREES(ACOS(SIN(M$5)*SIN($C$6)+COS(M$5)*COS($C$6)*COS($B138)))</f>
        <v>60.180526399575889</v>
      </c>
      <c r="M138" s="64">
        <f t="shared" ref="M138:M201" si="64">90-L138</f>
        <v>29.819473600424111</v>
      </c>
      <c r="N138" s="65">
        <f t="shared" si="53"/>
        <v>7.9053365108602831</v>
      </c>
      <c r="O138" s="64">
        <f t="shared" ref="O138:O201" si="65">DEGREES(ACOS(SIN(P$5)*SIN($C$6)+COS(P$5)*COS($C$6)*COS($B138)))</f>
        <v>71.858717047836308</v>
      </c>
      <c r="P138" s="64">
        <f t="shared" ref="P138:P201" si="66">90-O138</f>
        <v>18.141282952163692</v>
      </c>
      <c r="Q138" s="65">
        <f t="shared" si="54"/>
        <v>6.7566219841269337</v>
      </c>
      <c r="R138" s="64">
        <f t="shared" ref="R138:R201" si="67">DEGREES(ACOS(SIN(S$5)*SIN($C$6)+COS(S$5)*COS($C$6)*COS($B138)))</f>
        <v>61.236790914733227</v>
      </c>
      <c r="S138" s="59">
        <f t="shared" ref="S138:S201" si="68">90-R138</f>
        <v>28.763209085266773</v>
      </c>
      <c r="T138" s="58">
        <f t="shared" si="55"/>
        <v>7.7918881270547713</v>
      </c>
      <c r="U138" s="69"/>
    </row>
    <row r="139" spans="1:31" x14ac:dyDescent="0.2">
      <c r="A139" s="67">
        <v>8</v>
      </c>
      <c r="B139" s="66">
        <f t="shared" si="56"/>
        <v>0.13962634015954636</v>
      </c>
      <c r="C139" s="64">
        <f t="shared" si="57"/>
        <v>25.488583192014616</v>
      </c>
      <c r="D139" s="64">
        <f t="shared" si="58"/>
        <v>64.511416807985384</v>
      </c>
      <c r="E139" s="65">
        <f t="shared" si="50"/>
        <v>17.259392746674276</v>
      </c>
      <c r="F139" s="64">
        <f t="shared" si="59"/>
        <v>37.017855886955779</v>
      </c>
      <c r="G139" s="64">
        <f t="shared" si="60"/>
        <v>52.982144113044221</v>
      </c>
      <c r="H139" s="65">
        <f t="shared" si="51"/>
        <v>13.081492896947866</v>
      </c>
      <c r="I139" s="64">
        <f t="shared" si="61"/>
        <v>48.631121017245064</v>
      </c>
      <c r="J139" s="64">
        <f t="shared" si="62"/>
        <v>41.368878982754936</v>
      </c>
      <c r="K139" s="65">
        <f t="shared" si="52"/>
        <v>10.687245953113647</v>
      </c>
      <c r="L139" s="64">
        <f t="shared" si="63"/>
        <v>60.27878922448177</v>
      </c>
      <c r="M139" s="64">
        <f t="shared" si="64"/>
        <v>29.72121077551823</v>
      </c>
      <c r="N139" s="65">
        <f t="shared" si="53"/>
        <v>9.0276513698765104</v>
      </c>
      <c r="O139" s="64">
        <f t="shared" si="65"/>
        <v>71.94279443740885</v>
      </c>
      <c r="P139" s="64">
        <f t="shared" si="66"/>
        <v>18.05720556259115</v>
      </c>
      <c r="Q139" s="65">
        <f t="shared" si="54"/>
        <v>7.7177236145142141</v>
      </c>
      <c r="R139" s="64">
        <f t="shared" si="67"/>
        <v>61.33365501111598</v>
      </c>
      <c r="S139" s="59">
        <f t="shared" si="68"/>
        <v>28.66634498888402</v>
      </c>
      <c r="T139" s="58">
        <f t="shared" si="55"/>
        <v>8.8983417121605672</v>
      </c>
      <c r="U139" s="69"/>
    </row>
    <row r="140" spans="1:31" x14ac:dyDescent="0.2">
      <c r="A140" s="67">
        <v>9</v>
      </c>
      <c r="B140" s="66">
        <f t="shared" si="56"/>
        <v>0.15707963267948966</v>
      </c>
      <c r="C140" s="64">
        <f t="shared" si="57"/>
        <v>25.698081528940289</v>
      </c>
      <c r="D140" s="64">
        <f t="shared" si="58"/>
        <v>64.301918471059707</v>
      </c>
      <c r="E140" s="65">
        <f t="shared" si="50"/>
        <v>19.327104009305557</v>
      </c>
      <c r="F140" s="64">
        <f t="shared" si="59"/>
        <v>37.177988031521217</v>
      </c>
      <c r="G140" s="64">
        <f t="shared" si="60"/>
        <v>52.822011968478783</v>
      </c>
      <c r="H140" s="65">
        <f t="shared" si="51"/>
        <v>14.682961882709614</v>
      </c>
      <c r="I140" s="64">
        <f t="shared" si="61"/>
        <v>48.762435097189226</v>
      </c>
      <c r="J140" s="64">
        <f t="shared" si="62"/>
        <v>41.237564902810774</v>
      </c>
      <c r="K140" s="65">
        <f t="shared" si="52"/>
        <v>12.006888427965745</v>
      </c>
      <c r="L140" s="64">
        <f t="shared" si="63"/>
        <v>60.389947201493712</v>
      </c>
      <c r="M140" s="64">
        <f t="shared" si="64"/>
        <v>29.610052798506288</v>
      </c>
      <c r="N140" s="65">
        <f t="shared" si="53"/>
        <v>10.147199852257829</v>
      </c>
      <c r="O140" s="64">
        <f t="shared" si="65"/>
        <v>72.037956142517615</v>
      </c>
      <c r="P140" s="64">
        <f t="shared" si="66"/>
        <v>17.962043857482385</v>
      </c>
      <c r="Q140" s="65">
        <f t="shared" si="54"/>
        <v>8.6771912666949103</v>
      </c>
      <c r="R140" s="64">
        <f t="shared" si="67"/>
        <v>61.443237095321884</v>
      </c>
      <c r="S140" s="59">
        <f t="shared" si="68"/>
        <v>28.556762904678116</v>
      </c>
      <c r="T140" s="58">
        <f t="shared" si="55"/>
        <v>10.002164060668632</v>
      </c>
      <c r="U140" s="69"/>
    </row>
    <row r="141" spans="1:31" x14ac:dyDescent="0.2">
      <c r="A141" s="67">
        <v>10</v>
      </c>
      <c r="B141" s="66">
        <f t="shared" si="56"/>
        <v>0.17453292519943295</v>
      </c>
      <c r="C141" s="64">
        <f t="shared" si="57"/>
        <v>25.930147284031534</v>
      </c>
      <c r="D141" s="64">
        <f t="shared" si="58"/>
        <v>64.069852715968466</v>
      </c>
      <c r="E141" s="65">
        <f t="shared" si="50"/>
        <v>21.365477206318698</v>
      </c>
      <c r="F141" s="64">
        <f t="shared" si="59"/>
        <v>37.356101082591778</v>
      </c>
      <c r="G141" s="64">
        <f t="shared" si="60"/>
        <v>52.643898917408222</v>
      </c>
      <c r="H141" s="65">
        <f t="shared" si="51"/>
        <v>16.273003712801156</v>
      </c>
      <c r="I141" s="64">
        <f t="shared" si="61"/>
        <v>48.908752581589411</v>
      </c>
      <c r="J141" s="64">
        <f t="shared" si="62"/>
        <v>41.091247418410589</v>
      </c>
      <c r="K141" s="65">
        <f t="shared" si="52"/>
        <v>13.320937944246523</v>
      </c>
      <c r="L141" s="64">
        <f t="shared" si="63"/>
        <v>60.513924283513163</v>
      </c>
      <c r="M141" s="64">
        <f t="shared" si="64"/>
        <v>29.486075716486837</v>
      </c>
      <c r="N141" s="65">
        <f t="shared" si="53"/>
        <v>11.263661454227542</v>
      </c>
      <c r="O141" s="64">
        <f t="shared" si="65"/>
        <v>72.144155529034336</v>
      </c>
      <c r="P141" s="64">
        <f t="shared" si="66"/>
        <v>17.855844470965664</v>
      </c>
      <c r="Q141" s="65">
        <f t="shared" si="54"/>
        <v>9.6348318372399184</v>
      </c>
      <c r="R141" s="64">
        <f t="shared" si="67"/>
        <v>61.565464513959256</v>
      </c>
      <c r="S141" s="59">
        <f t="shared" si="68"/>
        <v>28.434535486040744</v>
      </c>
      <c r="T141" s="58">
        <f t="shared" si="55"/>
        <v>11.103049662096034</v>
      </c>
      <c r="U141" s="69"/>
    </row>
    <row r="142" spans="1:31" x14ac:dyDescent="0.2">
      <c r="A142" s="67">
        <v>11</v>
      </c>
      <c r="B142" s="66">
        <f t="shared" si="56"/>
        <v>0.19198621771937624</v>
      </c>
      <c r="C142" s="64">
        <f t="shared" si="57"/>
        <v>26.184155090915269</v>
      </c>
      <c r="D142" s="64">
        <f t="shared" si="58"/>
        <v>63.815844909084731</v>
      </c>
      <c r="E142" s="65">
        <f t="shared" si="50"/>
        <v>23.372424407253959</v>
      </c>
      <c r="F142" s="64">
        <f t="shared" si="59"/>
        <v>37.551923915924775</v>
      </c>
      <c r="G142" s="64">
        <f t="shared" si="60"/>
        <v>52.448076084075225</v>
      </c>
      <c r="H142" s="65">
        <f t="shared" si="51"/>
        <v>17.850598457242285</v>
      </c>
      <c r="I142" s="64">
        <f t="shared" si="61"/>
        <v>49.069929883235908</v>
      </c>
      <c r="J142" s="64">
        <f t="shared" si="62"/>
        <v>40.930070116764092</v>
      </c>
      <c r="K142" s="65">
        <f t="shared" si="52"/>
        <v>14.628852177767177</v>
      </c>
      <c r="L142" s="64">
        <f t="shared" si="63"/>
        <v>60.650636288256131</v>
      </c>
      <c r="M142" s="64">
        <f t="shared" si="64"/>
        <v>29.349363711743869</v>
      </c>
      <c r="N142" s="65">
        <f t="shared" si="53"/>
        <v>12.376724234081781</v>
      </c>
      <c r="O142" s="64">
        <f t="shared" si="65"/>
        <v>72.2613408334051</v>
      </c>
      <c r="P142" s="64">
        <f t="shared" si="66"/>
        <v>17.7386591665949</v>
      </c>
      <c r="Q142" s="65">
        <f t="shared" si="54"/>
        <v>10.590456042267727</v>
      </c>
      <c r="R142" s="64">
        <f t="shared" si="67"/>
        <v>61.700256817270684</v>
      </c>
      <c r="S142" s="59">
        <f t="shared" si="68"/>
        <v>28.299743182729316</v>
      </c>
      <c r="T142" s="58">
        <f t="shared" si="55"/>
        <v>12.200700935957537</v>
      </c>
      <c r="U142" s="69"/>
    </row>
    <row r="143" spans="1:31" x14ac:dyDescent="0.2">
      <c r="A143" s="67">
        <v>12</v>
      </c>
      <c r="B143" s="66">
        <f t="shared" si="56"/>
        <v>0.20943951023931956</v>
      </c>
      <c r="C143" s="64">
        <f t="shared" si="57"/>
        <v>26.459445274132491</v>
      </c>
      <c r="D143" s="64">
        <f t="shared" si="58"/>
        <v>63.540554725867509</v>
      </c>
      <c r="E143" s="65">
        <f t="shared" si="50"/>
        <v>25.346149301336247</v>
      </c>
      <c r="F143" s="64">
        <f t="shared" si="59"/>
        <v>37.765164230081012</v>
      </c>
      <c r="G143" s="64">
        <f t="shared" si="60"/>
        <v>52.234835769918988</v>
      </c>
      <c r="H143" s="65">
        <f t="shared" si="51"/>
        <v>19.414795976609241</v>
      </c>
      <c r="I143" s="64">
        <f t="shared" si="61"/>
        <v>49.245810750713353</v>
      </c>
      <c r="J143" s="64">
        <f t="shared" si="62"/>
        <v>40.754189249286647</v>
      </c>
      <c r="K143" s="65">
        <f t="shared" si="52"/>
        <v>15.930111974031496</v>
      </c>
      <c r="L143" s="64">
        <f t="shared" si="63"/>
        <v>60.799991154301821</v>
      </c>
      <c r="M143" s="64">
        <f t="shared" si="64"/>
        <v>29.200008845698179</v>
      </c>
      <c r="N143" s="65">
        <f t="shared" si="53"/>
        <v>13.486085568919712</v>
      </c>
      <c r="O143" s="64">
        <f t="shared" si="65"/>
        <v>72.389455277046693</v>
      </c>
      <c r="P143" s="64">
        <f t="shared" si="66"/>
        <v>17.610544722953307</v>
      </c>
      <c r="Q143" s="65">
        <f t="shared" si="54"/>
        <v>11.543878780575175</v>
      </c>
      <c r="R143" s="64">
        <f t="shared" si="67"/>
        <v>61.847525996520886</v>
      </c>
      <c r="S143" s="59">
        <f t="shared" si="68"/>
        <v>28.152474003479114</v>
      </c>
      <c r="T143" s="58">
        <f t="shared" si="55"/>
        <v>13.294828938430948</v>
      </c>
      <c r="U143" s="69"/>
    </row>
    <row r="144" spans="1:31" x14ac:dyDescent="0.2">
      <c r="A144" s="67">
        <v>13</v>
      </c>
      <c r="B144" s="66">
        <f t="shared" si="56"/>
        <v>0.22689280275926285</v>
      </c>
      <c r="C144" s="64">
        <f t="shared" si="57"/>
        <v>26.755330789201309</v>
      </c>
      <c r="D144" s="64">
        <f t="shared" si="58"/>
        <v>63.244669210798691</v>
      </c>
      <c r="E144" s="65">
        <f t="shared" si="50"/>
        <v>27.285144914302137</v>
      </c>
      <c r="F144" s="64">
        <f t="shared" si="59"/>
        <v>37.995510433052182</v>
      </c>
      <c r="G144" s="64">
        <f t="shared" si="60"/>
        <v>52.004489566947818</v>
      </c>
      <c r="H144" s="65">
        <f t="shared" si="51"/>
        <v>20.964718855751606</v>
      </c>
      <c r="I144" s="64">
        <f t="shared" si="61"/>
        <v>49.436226935262226</v>
      </c>
      <c r="J144" s="64">
        <f t="shared" si="62"/>
        <v>40.563773064737774</v>
      </c>
      <c r="K144" s="65">
        <f t="shared" si="52"/>
        <v>17.224222820934507</v>
      </c>
      <c r="L144" s="64">
        <f t="shared" si="63"/>
        <v>60.96188921685625</v>
      </c>
      <c r="M144" s="64">
        <f t="shared" si="64"/>
        <v>29.03811078314375</v>
      </c>
      <c r="N144" s="65">
        <f t="shared" si="53"/>
        <v>14.591452855669981</v>
      </c>
      <c r="O144" s="64">
        <f t="shared" si="65"/>
        <v>72.528437190456856</v>
      </c>
      <c r="P144" s="64">
        <f t="shared" si="66"/>
        <v>17.471562809543144</v>
      </c>
      <c r="Q144" s="65">
        <f t="shared" si="54"/>
        <v>12.49491947873126</v>
      </c>
      <c r="R144" s="64">
        <f t="shared" si="67"/>
        <v>62.007176739868811</v>
      </c>
      <c r="S144" s="59">
        <f t="shared" si="68"/>
        <v>27.992823260131189</v>
      </c>
      <c r="T144" s="58">
        <f t="shared" si="55"/>
        <v>14.385154018932081</v>
      </c>
      <c r="U144" s="69"/>
    </row>
    <row r="145" spans="1:32" x14ac:dyDescent="0.2">
      <c r="A145" s="67">
        <v>14</v>
      </c>
      <c r="B145" s="66">
        <f t="shared" si="56"/>
        <v>0.24434609527920614</v>
      </c>
      <c r="C145" s="64">
        <f t="shared" si="57"/>
        <v>27.071103910779485</v>
      </c>
      <c r="D145" s="64">
        <f t="shared" si="58"/>
        <v>62.928896089220515</v>
      </c>
      <c r="E145" s="65">
        <f t="shared" si="50"/>
        <v>29.188186468678619</v>
      </c>
      <c r="F145" s="64">
        <f t="shared" si="59"/>
        <v>38.242633575413414</v>
      </c>
      <c r="G145" s="64">
        <f t="shared" si="60"/>
        <v>51.757366424586586</v>
      </c>
      <c r="H145" s="65">
        <f t="shared" si="51"/>
        <v>22.499564473953544</v>
      </c>
      <c r="I145" s="64">
        <f t="shared" si="61"/>
        <v>49.640998891400088</v>
      </c>
      <c r="J145" s="64">
        <f t="shared" si="62"/>
        <v>40.359001108599912</v>
      </c>
      <c r="K145" s="65">
        <f t="shared" si="52"/>
        <v>18.510716119105819</v>
      </c>
      <c r="L145" s="64">
        <f t="shared" si="63"/>
        <v>61.136223501308386</v>
      </c>
      <c r="M145" s="64">
        <f t="shared" si="64"/>
        <v>28.863776498691614</v>
      </c>
      <c r="N145" s="65">
        <f t="shared" si="53"/>
        <v>15.6925441534997</v>
      </c>
      <c r="O145" s="64">
        <f t="shared" si="65"/>
        <v>72.678220146397919</v>
      </c>
      <c r="P145" s="64">
        <f t="shared" si="66"/>
        <v>17.321779853602081</v>
      </c>
      <c r="Q145" s="65">
        <f t="shared" si="54"/>
        <v>13.44340241694845</v>
      </c>
      <c r="R145" s="64">
        <f t="shared" si="67"/>
        <v>62.179106704989159</v>
      </c>
      <c r="S145" s="59">
        <f t="shared" si="68"/>
        <v>27.820893295010841</v>
      </c>
      <c r="T145" s="58">
        <f t="shared" si="55"/>
        <v>15.471406423906419</v>
      </c>
      <c r="U145" s="69"/>
    </row>
    <row r="146" spans="1:32" s="54" customFormat="1" x14ac:dyDescent="0.2">
      <c r="A146" s="63">
        <v>15</v>
      </c>
      <c r="B146" s="62">
        <f t="shared" si="56"/>
        <v>0.26179938779914941</v>
      </c>
      <c r="C146" s="60">
        <f t="shared" si="57"/>
        <v>27.406042558318703</v>
      </c>
      <c r="D146" s="60">
        <f t="shared" si="58"/>
        <v>62.593957441681297</v>
      </c>
      <c r="E146" s="61">
        <f t="shared" si="50"/>
        <v>31.054320145034652</v>
      </c>
      <c r="F146" s="60">
        <f t="shared" si="59"/>
        <v>38.506189304831139</v>
      </c>
      <c r="G146" s="60">
        <f t="shared" si="60"/>
        <v>51.493810695168861</v>
      </c>
      <c r="H146" s="61">
        <f t="shared" si="51"/>
        <v>24.018606239098496</v>
      </c>
      <c r="I146" s="60">
        <f t="shared" si="61"/>
        <v>49.859936504776925</v>
      </c>
      <c r="J146" s="60">
        <f t="shared" si="62"/>
        <v>40.140063495223075</v>
      </c>
      <c r="K146" s="61">
        <f t="shared" si="52"/>
        <v>19.789150246879618</v>
      </c>
      <c r="L146" s="60">
        <f t="shared" si="63"/>
        <v>61.322880032580883</v>
      </c>
      <c r="M146" s="60">
        <f t="shared" si="64"/>
        <v>28.677119967419117</v>
      </c>
      <c r="N146" s="61">
        <f t="shared" si="53"/>
        <v>16.789088765313572</v>
      </c>
      <c r="O146" s="60">
        <f t="shared" si="65"/>
        <v>72.838733101477501</v>
      </c>
      <c r="P146" s="60">
        <f t="shared" si="66"/>
        <v>17.161266898522499</v>
      </c>
      <c r="Q146" s="61">
        <f t="shared" si="54"/>
        <v>14.389157034701144</v>
      </c>
      <c r="R146" s="60">
        <f t="shared" si="67"/>
        <v>62.36320680663782</v>
      </c>
      <c r="S146" s="59">
        <f t="shared" si="68"/>
        <v>27.63679319336218</v>
      </c>
      <c r="T146" s="58">
        <f t="shared" si="55"/>
        <v>16.553326845689767</v>
      </c>
      <c r="U146" s="70"/>
      <c r="V146" s="56">
        <f>E146</f>
        <v>31.054320145034652</v>
      </c>
      <c r="W146" s="55"/>
      <c r="AF146" s="55">
        <f>D146</f>
        <v>62.593957441681297</v>
      </c>
    </row>
    <row r="147" spans="1:32" x14ac:dyDescent="0.2">
      <c r="A147" s="67">
        <v>16</v>
      </c>
      <c r="B147" s="66">
        <f t="shared" si="56"/>
        <v>0.27925268031909273</v>
      </c>
      <c r="C147" s="64">
        <f t="shared" si="57"/>
        <v>27.759416173738483</v>
      </c>
      <c r="D147" s="64">
        <f t="shared" si="58"/>
        <v>62.240583826261513</v>
      </c>
      <c r="E147" s="65">
        <f t="shared" si="50"/>
        <v>32.882848539287309</v>
      </c>
      <c r="F147" s="64">
        <f t="shared" si="59"/>
        <v>38.785819818264478</v>
      </c>
      <c r="G147" s="64">
        <f t="shared" si="60"/>
        <v>51.214180181735522</v>
      </c>
      <c r="H147" s="65">
        <f t="shared" si="51"/>
        <v>25.521194027837886</v>
      </c>
      <c r="I147" s="64">
        <f t="shared" si="61"/>
        <v>50.09283984075838</v>
      </c>
      <c r="J147" s="64">
        <f t="shared" si="62"/>
        <v>39.90716015924162</v>
      </c>
      <c r="K147" s="65">
        <f t="shared" si="52"/>
        <v>21.059111419674036</v>
      </c>
      <c r="L147" s="64">
        <f t="shared" si="63"/>
        <v>61.521738158225034</v>
      </c>
      <c r="M147" s="64">
        <f t="shared" si="64"/>
        <v>28.478261841774966</v>
      </c>
      <c r="N147" s="65">
        <f t="shared" si="53"/>
        <v>17.880827756681597</v>
      </c>
      <c r="O147" s="64">
        <f t="shared" si="65"/>
        <v>73.009900545420678</v>
      </c>
      <c r="P147" s="64">
        <f t="shared" si="66"/>
        <v>16.990099454579322</v>
      </c>
      <c r="Q147" s="65">
        <f t="shared" si="54"/>
        <v>15.332018215219577</v>
      </c>
      <c r="R147" s="64">
        <f t="shared" si="67"/>
        <v>62.559361517304417</v>
      </c>
      <c r="S147" s="59">
        <f t="shared" si="68"/>
        <v>27.440638482695583</v>
      </c>
      <c r="T147" s="58">
        <f t="shared" si="55"/>
        <v>17.630666914839644</v>
      </c>
      <c r="U147" s="69"/>
      <c r="V147" s="53">
        <f>H146</f>
        <v>24.018606239098496</v>
      </c>
      <c r="AF147" s="50">
        <f>G146</f>
        <v>51.493810695168861</v>
      </c>
    </row>
    <row r="148" spans="1:32" x14ac:dyDescent="0.2">
      <c r="A148" s="67">
        <v>17</v>
      </c>
      <c r="B148" s="66">
        <f t="shared" si="56"/>
        <v>0.29670597283903605</v>
      </c>
      <c r="C148" s="64">
        <f t="shared" si="57"/>
        <v>28.130491090282693</v>
      </c>
      <c r="D148" s="64">
        <f t="shared" si="58"/>
        <v>61.869508909717311</v>
      </c>
      <c r="E148" s="65">
        <f t="shared" si="50"/>
        <v>34.673313606379871</v>
      </c>
      <c r="F148" s="64">
        <f t="shared" si="59"/>
        <v>39.08115579010412</v>
      </c>
      <c r="G148" s="64">
        <f t="shared" si="60"/>
        <v>50.91884420989588</v>
      </c>
      <c r="H148" s="65">
        <f t="shared" si="51"/>
        <v>27.006753885752683</v>
      </c>
      <c r="I148" s="64">
        <f t="shared" si="61"/>
        <v>50.339499907341349</v>
      </c>
      <c r="J148" s="64">
        <f t="shared" si="62"/>
        <v>39.660500092658651</v>
      </c>
      <c r="K148" s="65">
        <f t="shared" si="52"/>
        <v>22.320214346183281</v>
      </c>
      <c r="L148" s="64">
        <f t="shared" si="63"/>
        <v>61.732670883180027</v>
      </c>
      <c r="M148" s="64">
        <f t="shared" si="64"/>
        <v>28.267329116819973</v>
      </c>
      <c r="N148" s="65">
        <f t="shared" si="53"/>
        <v>18.967514411148048</v>
      </c>
      <c r="O148" s="64">
        <f t="shared" si="65"/>
        <v>73.191642657304129</v>
      </c>
      <c r="P148" s="64">
        <f t="shared" si="66"/>
        <v>16.808357342695871</v>
      </c>
      <c r="Q148" s="65">
        <f t="shared" si="54"/>
        <v>16.271826548146883</v>
      </c>
      <c r="R148" s="64">
        <f t="shared" si="67"/>
        <v>62.767449179065004</v>
      </c>
      <c r="S148" s="59">
        <f t="shared" si="68"/>
        <v>27.232550820934996</v>
      </c>
      <c r="T148" s="58">
        <f t="shared" si="55"/>
        <v>18.703189634889117</v>
      </c>
      <c r="U148" s="69"/>
      <c r="V148" s="53">
        <f>K146</f>
        <v>19.789150246879618</v>
      </c>
      <c r="AF148" s="50">
        <f>J146</f>
        <v>40.140063495223075</v>
      </c>
    </row>
    <row r="149" spans="1:32" x14ac:dyDescent="0.2">
      <c r="A149" s="67">
        <v>18</v>
      </c>
      <c r="B149" s="66">
        <f t="shared" si="56"/>
        <v>0.31415926535897931</v>
      </c>
      <c r="C149" s="64">
        <f t="shared" si="57"/>
        <v>28.518535354709151</v>
      </c>
      <c r="D149" s="64">
        <f t="shared" si="58"/>
        <v>61.481464645290849</v>
      </c>
      <c r="E149" s="65">
        <f t="shared" si="50"/>
        <v>36.425477841674009</v>
      </c>
      <c r="F149" s="64">
        <f t="shared" si="59"/>
        <v>39.391818256702138</v>
      </c>
      <c r="G149" s="64">
        <f t="shared" si="60"/>
        <v>50.608181743297862</v>
      </c>
      <c r="H149" s="65">
        <f t="shared" si="51"/>
        <v>28.474787050914543</v>
      </c>
      <c r="I149" s="64">
        <f t="shared" si="61"/>
        <v>50.599699426203806</v>
      </c>
      <c r="J149" s="64">
        <f t="shared" si="62"/>
        <v>39.400300573796194</v>
      </c>
      <c r="K149" s="65">
        <f t="shared" si="52"/>
        <v>23.572102686205781</v>
      </c>
      <c r="L149" s="64">
        <f t="shared" si="63"/>
        <v>61.955545214109208</v>
      </c>
      <c r="M149" s="64">
        <f t="shared" si="64"/>
        <v>28.044454785890792</v>
      </c>
      <c r="N149" s="65">
        <f t="shared" si="53"/>
        <v>20.048914621483455</v>
      </c>
      <c r="O149" s="64">
        <f t="shared" si="65"/>
        <v>73.383875468005968</v>
      </c>
      <c r="P149" s="64">
        <f t="shared" si="66"/>
        <v>16.616124531994032</v>
      </c>
      <c r="Q149" s="65">
        <f t="shared" si="54"/>
        <v>17.208428569813346</v>
      </c>
      <c r="R149" s="64">
        <f t="shared" si="67"/>
        <v>62.987342324736666</v>
      </c>
      <c r="S149" s="59">
        <f t="shared" si="68"/>
        <v>27.012657675263334</v>
      </c>
      <c r="T149" s="58">
        <f t="shared" si="55"/>
        <v>19.770669759007674</v>
      </c>
      <c r="U149" s="69"/>
      <c r="V149" s="53">
        <f>N146</f>
        <v>16.789088765313572</v>
      </c>
      <c r="AF149" s="50">
        <f>M146</f>
        <v>28.677119967419117</v>
      </c>
    </row>
    <row r="150" spans="1:32" x14ac:dyDescent="0.2">
      <c r="A150" s="67">
        <v>19</v>
      </c>
      <c r="B150" s="66">
        <f t="shared" si="56"/>
        <v>0.33161255787892263</v>
      </c>
      <c r="C150" s="64">
        <f t="shared" si="57"/>
        <v>28.922822985485755</v>
      </c>
      <c r="D150" s="64">
        <f t="shared" si="58"/>
        <v>61.077177014514248</v>
      </c>
      <c r="E150" s="65">
        <f t="shared" si="50"/>
        <v>38.139304386998354</v>
      </c>
      <c r="F150" s="64">
        <f t="shared" si="59"/>
        <v>39.717420440161916</v>
      </c>
      <c r="G150" s="64">
        <f t="shared" si="60"/>
        <v>50.282579559838084</v>
      </c>
      <c r="H150" s="65">
        <f t="shared" si="51"/>
        <v>29.924868371078656</v>
      </c>
      <c r="I150" s="64">
        <f t="shared" si="61"/>
        <v>50.873213605962924</v>
      </c>
      <c r="J150" s="64">
        <f t="shared" si="62"/>
        <v>39.126786394037076</v>
      </c>
      <c r="K150" s="65">
        <f t="shared" si="52"/>
        <v>24.814449317102657</v>
      </c>
      <c r="L150" s="64">
        <f t="shared" si="63"/>
        <v>62.190222511239789</v>
      </c>
      <c r="M150" s="64">
        <f t="shared" si="64"/>
        <v>27.809777488760211</v>
      </c>
      <c r="N150" s="65">
        <f t="shared" si="53"/>
        <v>21.124807217018621</v>
      </c>
      <c r="O150" s="64">
        <f t="shared" si="65"/>
        <v>73.586511028112568</v>
      </c>
      <c r="P150" s="64">
        <f t="shared" si="66"/>
        <v>16.413488971887432</v>
      </c>
      <c r="Q150" s="65">
        <f t="shared" si="54"/>
        <v>18.141676980738339</v>
      </c>
      <c r="R150" s="64">
        <f t="shared" si="67"/>
        <v>63.218908006443456</v>
      </c>
      <c r="S150" s="59">
        <f t="shared" si="68"/>
        <v>26.781091993556544</v>
      </c>
      <c r="T150" s="58">
        <f t="shared" si="55"/>
        <v>20.832894108568599</v>
      </c>
      <c r="U150" s="69"/>
      <c r="V150" s="53">
        <f>Q146</f>
        <v>14.389157034701144</v>
      </c>
      <c r="AF150" s="50">
        <f>P146</f>
        <v>17.161266898522499</v>
      </c>
    </row>
    <row r="151" spans="1:32" x14ac:dyDescent="0.2">
      <c r="A151" s="67">
        <v>20</v>
      </c>
      <c r="B151" s="66">
        <f t="shared" si="56"/>
        <v>0.3490658503988659</v>
      </c>
      <c r="C151" s="64">
        <f t="shared" si="57"/>
        <v>29.342637667222132</v>
      </c>
      <c r="D151" s="64">
        <f t="shared" si="58"/>
        <v>60.657362332777865</v>
      </c>
      <c r="E151" s="65">
        <f t="shared" si="50"/>
        <v>39.814936667059094</v>
      </c>
      <c r="F151" s="64">
        <f t="shared" si="59"/>
        <v>40.057569496789434</v>
      </c>
      <c r="G151" s="64">
        <f t="shared" si="60"/>
        <v>49.942430503210566</v>
      </c>
      <c r="H151" s="65">
        <f t="shared" si="51"/>
        <v>31.356644189067001</v>
      </c>
      <c r="I151" s="64">
        <f t="shared" si="61"/>
        <v>51.15981091205277</v>
      </c>
      <c r="J151" s="64">
        <f t="shared" si="62"/>
        <v>38.84018908794723</v>
      </c>
      <c r="K151" s="65">
        <f t="shared" si="52"/>
        <v>26.04695641777888</v>
      </c>
      <c r="L151" s="64">
        <f t="shared" si="63"/>
        <v>62.436558845665779</v>
      </c>
      <c r="M151" s="64">
        <f t="shared" si="64"/>
        <v>27.563441154334221</v>
      </c>
      <c r="N151" s="65">
        <f t="shared" si="53"/>
        <v>22.194984227750442</v>
      </c>
      <c r="O151" s="64">
        <f t="shared" si="65"/>
        <v>73.799457580518663</v>
      </c>
      <c r="P151" s="64">
        <f t="shared" si="66"/>
        <v>16.200542419481337</v>
      </c>
      <c r="Q151" s="65">
        <f t="shared" si="54"/>
        <v>19.071430840133534</v>
      </c>
      <c r="R151" s="64">
        <f t="shared" si="67"/>
        <v>63.462008129729121</v>
      </c>
      <c r="S151" s="59">
        <f t="shared" si="68"/>
        <v>26.537991870270879</v>
      </c>
      <c r="T151" s="58">
        <f t="shared" si="55"/>
        <v>21.889661834116986</v>
      </c>
      <c r="U151" s="69"/>
    </row>
    <row r="152" spans="1:32" x14ac:dyDescent="0.2">
      <c r="A152" s="67">
        <v>21</v>
      </c>
      <c r="B152" s="66">
        <f t="shared" si="56"/>
        <v>0.36651914291880922</v>
      </c>
      <c r="C152" s="64">
        <f t="shared" si="57"/>
        <v>29.777275895939514</v>
      </c>
      <c r="D152" s="64">
        <f t="shared" si="58"/>
        <v>60.222724104060489</v>
      </c>
      <c r="E152" s="65">
        <f t="shared" si="50"/>
        <v>41.452678071624419</v>
      </c>
      <c r="F152" s="64">
        <f t="shared" si="59"/>
        <v>40.411868178170806</v>
      </c>
      <c r="G152" s="64">
        <f t="shared" si="60"/>
        <v>49.588131821829194</v>
      </c>
      <c r="H152" s="65">
        <f t="shared" si="51"/>
        <v>32.769829772909993</v>
      </c>
      <c r="I152" s="64">
        <f t="shared" si="61"/>
        <v>51.459253828023286</v>
      </c>
      <c r="J152" s="64">
        <f t="shared" si="62"/>
        <v>38.540746171976714</v>
      </c>
      <c r="K152" s="65">
        <f t="shared" si="52"/>
        <v>27.269355380688644</v>
      </c>
      <c r="L152" s="64">
        <f t="shared" si="63"/>
        <v>62.694405360125806</v>
      </c>
      <c r="M152" s="64">
        <f t="shared" si="64"/>
        <v>27.305594639874194</v>
      </c>
      <c r="N152" s="65">
        <f t="shared" si="53"/>
        <v>23.259251086420271</v>
      </c>
      <c r="O152" s="64">
        <f t="shared" si="65"/>
        <v>74.022619736956997</v>
      </c>
      <c r="P152" s="64">
        <f t="shared" si="66"/>
        <v>15.977380263043003</v>
      </c>
      <c r="Q152" s="65">
        <f t="shared" si="54"/>
        <v>19.997555737333773</v>
      </c>
      <c r="R152" s="64">
        <f t="shared" si="67"/>
        <v>63.716499791393595</v>
      </c>
      <c r="S152" s="59">
        <f t="shared" si="68"/>
        <v>26.283500208606405</v>
      </c>
      <c r="T152" s="58">
        <f t="shared" si="55"/>
        <v>22.940784619687246</v>
      </c>
      <c r="U152" s="69"/>
    </row>
    <row r="153" spans="1:32" x14ac:dyDescent="0.2">
      <c r="A153" s="67">
        <v>22</v>
      </c>
      <c r="B153" s="66">
        <f t="shared" si="56"/>
        <v>0.38397243543875248</v>
      </c>
      <c r="C153" s="64">
        <f t="shared" si="57"/>
        <v>30.226049600978875</v>
      </c>
      <c r="D153" s="64">
        <f t="shared" si="58"/>
        <v>59.773950399021125</v>
      </c>
      <c r="E153" s="65">
        <f t="shared" si="50"/>
        <v>43.052972106059961</v>
      </c>
      <c r="F153" s="64">
        <f t="shared" si="59"/>
        <v>40.779916395363564</v>
      </c>
      <c r="G153" s="64">
        <f t="shared" si="60"/>
        <v>49.220083604636436</v>
      </c>
      <c r="H153" s="65">
        <f t="shared" si="51"/>
        <v>34.164206367242443</v>
      </c>
      <c r="I153" s="64">
        <f t="shared" si="61"/>
        <v>51.771299603495621</v>
      </c>
      <c r="J153" s="64">
        <f t="shared" si="62"/>
        <v>38.228700396504379</v>
      </c>
      <c r="K153" s="65">
        <f t="shared" si="52"/>
        <v>28.481406563680949</v>
      </c>
      <c r="L153" s="64">
        <f t="shared" si="63"/>
        <v>62.963608631335951</v>
      </c>
      <c r="M153" s="64">
        <f t="shared" si="64"/>
        <v>27.036391368664049</v>
      </c>
      <c r="N153" s="65">
        <f t="shared" si="53"/>
        <v>24.317426770236164</v>
      </c>
      <c r="O153" s="64">
        <f t="shared" si="65"/>
        <v>74.255898657698665</v>
      </c>
      <c r="P153" s="64">
        <f t="shared" si="66"/>
        <v>15.744101342301335</v>
      </c>
      <c r="Q153" s="65">
        <f t="shared" si="54"/>
        <v>20.919923940231108</v>
      </c>
      <c r="R153" s="64">
        <f t="shared" si="67"/>
        <v>63.982235619287628</v>
      </c>
      <c r="S153" s="59">
        <f t="shared" si="68"/>
        <v>26.017764380712372</v>
      </c>
      <c r="T153" s="58">
        <f t="shared" si="55"/>
        <v>23.986086831846293</v>
      </c>
      <c r="U153" s="69"/>
    </row>
    <row r="154" spans="1:32" x14ac:dyDescent="0.2">
      <c r="A154" s="67">
        <v>23</v>
      </c>
      <c r="B154" s="66">
        <f t="shared" si="56"/>
        <v>0.4014257279586958</v>
      </c>
      <c r="C154" s="64">
        <f t="shared" si="57"/>
        <v>30.688288277555504</v>
      </c>
      <c r="D154" s="64">
        <f t="shared" si="58"/>
        <v>59.3117117224445</v>
      </c>
      <c r="E154" s="65">
        <f t="shared" si="50"/>
        <v>44.616383342559168</v>
      </c>
      <c r="F154" s="64">
        <f t="shared" si="59"/>
        <v>41.161312679108853</v>
      </c>
      <c r="G154" s="64">
        <f t="shared" si="60"/>
        <v>48.838687320891147</v>
      </c>
      <c r="H154" s="65">
        <f t="shared" si="51"/>
        <v>35.539617940589338</v>
      </c>
      <c r="I154" s="64">
        <f t="shared" si="61"/>
        <v>52.095700984471179</v>
      </c>
      <c r="J154" s="64">
        <f t="shared" si="62"/>
        <v>37.904299015528821</v>
      </c>
      <c r="K154" s="65">
        <f t="shared" si="52"/>
        <v>29.682898894514345</v>
      </c>
      <c r="L154" s="64">
        <f t="shared" si="63"/>
        <v>63.244011032040618</v>
      </c>
      <c r="M154" s="64">
        <f t="shared" si="64"/>
        <v>26.755988967959382</v>
      </c>
      <c r="N154" s="65">
        <f t="shared" si="53"/>
        <v>25.369343884332501</v>
      </c>
      <c r="O154" s="64">
        <f t="shared" si="65"/>
        <v>74.499192233676567</v>
      </c>
      <c r="P154" s="64">
        <f t="shared" si="66"/>
        <v>15.500807766323433</v>
      </c>
      <c r="Q154" s="65">
        <f t="shared" si="54"/>
        <v>21.838414520929124</v>
      </c>
      <c r="R154" s="64">
        <f t="shared" si="67"/>
        <v>64.259064112370297</v>
      </c>
      <c r="S154" s="59">
        <f t="shared" si="68"/>
        <v>25.740935887629703</v>
      </c>
      <c r="T154" s="58">
        <f t="shared" si="55"/>
        <v>25.025405615221519</v>
      </c>
      <c r="U154" s="69"/>
    </row>
    <row r="155" spans="1:32" x14ac:dyDescent="0.2">
      <c r="A155" s="67">
        <v>24</v>
      </c>
      <c r="B155" s="66">
        <f t="shared" si="56"/>
        <v>0.41887902047863912</v>
      </c>
      <c r="C155" s="64">
        <f t="shared" si="57"/>
        <v>31.1633406694828</v>
      </c>
      <c r="D155" s="64">
        <f t="shared" si="58"/>
        <v>58.8366593305172</v>
      </c>
      <c r="E155" s="65">
        <f t="shared" si="50"/>
        <v>46.143579420487747</v>
      </c>
      <c r="F155" s="64">
        <f t="shared" si="59"/>
        <v>41.555655531238216</v>
      </c>
      <c r="G155" s="64">
        <f t="shared" si="60"/>
        <v>48.444344468761784</v>
      </c>
      <c r="H155" s="65">
        <f t="shared" si="51"/>
        <v>36.895967699827146</v>
      </c>
      <c r="I155" s="64">
        <f t="shared" si="61"/>
        <v>52.432206922175936</v>
      </c>
      <c r="J155" s="64">
        <f t="shared" si="62"/>
        <v>37.567793077824064</v>
      </c>
      <c r="K155" s="65">
        <f t="shared" si="52"/>
        <v>30.873649341599858</v>
      </c>
      <c r="L155" s="64">
        <f t="shared" si="63"/>
        <v>63.535451091040017</v>
      </c>
      <c r="M155" s="64">
        <f t="shared" si="64"/>
        <v>26.464548908959983</v>
      </c>
      <c r="N155" s="65">
        <f t="shared" si="53"/>
        <v>26.414848689433349</v>
      </c>
      <c r="O155" s="64">
        <f t="shared" si="65"/>
        <v>74.752395270299061</v>
      </c>
      <c r="P155" s="64">
        <f t="shared" si="66"/>
        <v>15.247604729700939</v>
      </c>
      <c r="Q155" s="65">
        <f t="shared" si="54"/>
        <v>22.752913458970454</v>
      </c>
      <c r="R155" s="64">
        <f t="shared" si="67"/>
        <v>64.546829979416174</v>
      </c>
      <c r="S155" s="59">
        <f t="shared" si="68"/>
        <v>25.453170020583826</v>
      </c>
      <c r="T155" s="58">
        <f t="shared" si="55"/>
        <v>26.058590936615815</v>
      </c>
      <c r="U155" s="69"/>
    </row>
    <row r="156" spans="1:32" x14ac:dyDescent="0.2">
      <c r="A156" s="67">
        <v>25</v>
      </c>
      <c r="B156" s="66">
        <f t="shared" si="56"/>
        <v>0.43633231299858238</v>
      </c>
      <c r="C156" s="64">
        <f t="shared" si="57"/>
        <v>31.650576044780344</v>
      </c>
      <c r="D156" s="64">
        <f t="shared" si="58"/>
        <v>58.349423955219656</v>
      </c>
      <c r="E156" s="65">
        <f t="shared" si="50"/>
        <v>47.635314269075963</v>
      </c>
      <c r="F156" s="64">
        <f t="shared" si="59"/>
        <v>41.96254466452659</v>
      </c>
      <c r="G156" s="64">
        <f t="shared" si="60"/>
        <v>48.03745533547341</v>
      </c>
      <c r="H156" s="65">
        <f t="shared" si="51"/>
        <v>38.233214438588114</v>
      </c>
      <c r="I156" s="64">
        <f t="shared" si="61"/>
        <v>52.780563257113229</v>
      </c>
      <c r="J156" s="64">
        <f t="shared" si="62"/>
        <v>37.219436742886771</v>
      </c>
      <c r="K156" s="65">
        <f t="shared" si="52"/>
        <v>32.053502264982328</v>
      </c>
      <c r="L156" s="64">
        <f t="shared" si="63"/>
        <v>63.837763849559394</v>
      </c>
      <c r="M156" s="64">
        <f t="shared" si="64"/>
        <v>26.162236150440606</v>
      </c>
      <c r="N156" s="65">
        <f t="shared" si="53"/>
        <v>27.453801076510828</v>
      </c>
      <c r="O156" s="64">
        <f t="shared" si="65"/>
        <v>75.015399672241259</v>
      </c>
      <c r="P156" s="64">
        <f t="shared" si="66"/>
        <v>14.984600327758741</v>
      </c>
      <c r="Q156" s="65">
        <f t="shared" si="54"/>
        <v>23.66331372261299</v>
      </c>
      <c r="R156" s="64">
        <f t="shared" si="67"/>
        <v>64.84537447485134</v>
      </c>
      <c r="S156" s="59">
        <f t="shared" si="68"/>
        <v>25.15462552514866</v>
      </c>
      <c r="T156" s="58">
        <f t="shared" si="55"/>
        <v>27.085505580111196</v>
      </c>
      <c r="U156" s="69"/>
    </row>
    <row r="157" spans="1:32" x14ac:dyDescent="0.2">
      <c r="A157" s="67">
        <v>26</v>
      </c>
      <c r="B157" s="66">
        <f t="shared" si="56"/>
        <v>0.4537856055185257</v>
      </c>
      <c r="C157" s="64">
        <f t="shared" si="57"/>
        <v>32.149385108141345</v>
      </c>
      <c r="D157" s="64">
        <f t="shared" si="58"/>
        <v>57.850614891858655</v>
      </c>
      <c r="E157" s="65">
        <f t="shared" si="50"/>
        <v>49.092412660552846</v>
      </c>
      <c r="F157" s="64">
        <f t="shared" si="59"/>
        <v>42.381582130106217</v>
      </c>
      <c r="G157" s="64">
        <f t="shared" si="60"/>
        <v>47.618417869893783</v>
      </c>
      <c r="H157" s="65">
        <f t="shared" si="51"/>
        <v>39.551368780992043</v>
      </c>
      <c r="I157" s="64">
        <f t="shared" si="61"/>
        <v>53.14051337549121</v>
      </c>
      <c r="J157" s="64">
        <f t="shared" si="62"/>
        <v>36.85948662450879</v>
      </c>
      <c r="K157" s="65">
        <f t="shared" si="52"/>
        <v>33.222328661768167</v>
      </c>
      <c r="L157" s="64">
        <f t="shared" si="63"/>
        <v>64.150781212440023</v>
      </c>
      <c r="M157" s="64">
        <f t="shared" si="64"/>
        <v>25.849218787559977</v>
      </c>
      <c r="N157" s="65">
        <f t="shared" si="53"/>
        <v>28.486074491496797</v>
      </c>
      <c r="O157" s="64">
        <f t="shared" si="65"/>
        <v>75.28809462852449</v>
      </c>
      <c r="P157" s="64">
        <f t="shared" si="66"/>
        <v>14.71190537147551</v>
      </c>
      <c r="Q157" s="65">
        <f t="shared" si="54"/>
        <v>24.569515328747055</v>
      </c>
      <c r="R157" s="64">
        <f t="shared" si="67"/>
        <v>65.154535730297326</v>
      </c>
      <c r="S157" s="59">
        <f t="shared" si="68"/>
        <v>24.845464269702674</v>
      </c>
      <c r="T157" s="58">
        <f t="shared" si="55"/>
        <v>28.106025095814619</v>
      </c>
      <c r="U157" s="69"/>
    </row>
    <row r="158" spans="1:32" x14ac:dyDescent="0.2">
      <c r="A158" s="67">
        <v>27</v>
      </c>
      <c r="B158" s="66">
        <f t="shared" si="56"/>
        <v>0.47123889803846897</v>
      </c>
      <c r="C158" s="64">
        <f t="shared" si="57"/>
        <v>32.659180593955071</v>
      </c>
      <c r="D158" s="64">
        <f t="shared" si="58"/>
        <v>57.340819406044929</v>
      </c>
      <c r="E158" s="65">
        <f t="shared" si="50"/>
        <v>50.515756147158122</v>
      </c>
      <c r="F158" s="64">
        <f t="shared" si="59"/>
        <v>42.812373333189868</v>
      </c>
      <c r="G158" s="64">
        <f t="shared" si="60"/>
        <v>47.187626666810132</v>
      </c>
      <c r="H158" s="65">
        <f t="shared" si="51"/>
        <v>40.850489376120052</v>
      </c>
      <c r="I158" s="64">
        <f t="shared" si="61"/>
        <v>53.51179883567567</v>
      </c>
      <c r="J158" s="64">
        <f t="shared" si="62"/>
        <v>36.48820116432433</v>
      </c>
      <c r="K158" s="65">
        <f t="shared" si="52"/>
        <v>34.380025320174106</v>
      </c>
      <c r="L158" s="64">
        <f t="shared" si="63"/>
        <v>64.474332292752919</v>
      </c>
      <c r="M158" s="64">
        <f t="shared" si="64"/>
        <v>25.525667707247081</v>
      </c>
      <c r="N158" s="65">
        <f t="shared" si="53"/>
        <v>29.511555813327664</v>
      </c>
      <c r="O158" s="64">
        <f t="shared" si="65"/>
        <v>75.570366797222164</v>
      </c>
      <c r="P158" s="64">
        <f t="shared" si="66"/>
        <v>14.429633202777836</v>
      </c>
      <c r="Q158" s="65">
        <f t="shared" si="54"/>
        <v>25.471425382148777</v>
      </c>
      <c r="R158" s="64">
        <f t="shared" si="67"/>
        <v>65.474149080509093</v>
      </c>
      <c r="S158" s="59">
        <f t="shared" si="68"/>
        <v>24.525850919490907</v>
      </c>
      <c r="T158" s="58">
        <f t="shared" si="55"/>
        <v>29.120037705110654</v>
      </c>
      <c r="U158" s="69"/>
    </row>
    <row r="159" spans="1:32" x14ac:dyDescent="0.2">
      <c r="A159" s="67">
        <v>28</v>
      </c>
      <c r="B159" s="66">
        <f t="shared" si="56"/>
        <v>0.48869219055841229</v>
      </c>
      <c r="C159" s="64">
        <f t="shared" si="57"/>
        <v>33.179397582125837</v>
      </c>
      <c r="D159" s="64">
        <f t="shared" si="58"/>
        <v>56.820602417874163</v>
      </c>
      <c r="E159" s="65">
        <f t="shared" si="50"/>
        <v>51.906270391057305</v>
      </c>
      <c r="F159" s="64">
        <f t="shared" si="59"/>
        <v>43.254527939251837</v>
      </c>
      <c r="G159" s="64">
        <f t="shared" si="60"/>
        <v>46.745472060748163</v>
      </c>
      <c r="H159" s="65">
        <f t="shared" si="51"/>
        <v>42.130679092351642</v>
      </c>
      <c r="I159" s="64">
        <f t="shared" si="61"/>
        <v>53.894159962787242</v>
      </c>
      <c r="J159" s="64">
        <f t="shared" si="62"/>
        <v>36.105840037212758</v>
      </c>
      <c r="K159" s="65">
        <f t="shared" si="52"/>
        <v>35.526513896130083</v>
      </c>
      <c r="L159" s="64">
        <f t="shared" si="63"/>
        <v>64.808243748562873</v>
      </c>
      <c r="M159" s="64">
        <f t="shared" si="64"/>
        <v>25.191756251437127</v>
      </c>
      <c r="N159" s="65">
        <f t="shared" si="53"/>
        <v>30.530145188768437</v>
      </c>
      <c r="O159" s="64">
        <f t="shared" si="65"/>
        <v>75.862100489160625</v>
      </c>
      <c r="P159" s="64">
        <f t="shared" si="66"/>
        <v>14.137899510839375</v>
      </c>
      <c r="Q159" s="65">
        <f t="shared" si="54"/>
        <v>26.368958094860783</v>
      </c>
      <c r="R159" s="64">
        <f t="shared" si="67"/>
        <v>65.804047382504265</v>
      </c>
      <c r="S159" s="59">
        <f t="shared" si="68"/>
        <v>24.195952617495735</v>
      </c>
      <c r="T159" s="58">
        <f t="shared" si="55"/>
        <v>30.127444165449646</v>
      </c>
      <c r="U159" s="68"/>
    </row>
    <row r="160" spans="1:32" x14ac:dyDescent="0.2">
      <c r="A160" s="67">
        <v>29</v>
      </c>
      <c r="B160" s="66">
        <f t="shared" si="56"/>
        <v>0.50614548307835561</v>
      </c>
      <c r="C160" s="64">
        <f t="shared" si="57"/>
        <v>33.709493576623395</v>
      </c>
      <c r="D160" s="64">
        <f t="shared" si="58"/>
        <v>56.290506423376605</v>
      </c>
      <c r="E160" s="65">
        <f t="shared" si="50"/>
        <v>53.264913861321418</v>
      </c>
      <c r="F160" s="64">
        <f t="shared" si="59"/>
        <v>43.707660673983682</v>
      </c>
      <c r="G160" s="64">
        <f t="shared" si="60"/>
        <v>46.292339326016318</v>
      </c>
      <c r="H160" s="65">
        <f t="shared" si="51"/>
        <v>43.392081254285344</v>
      </c>
      <c r="I160" s="64">
        <f t="shared" si="61"/>
        <v>54.287336410009999</v>
      </c>
      <c r="J160" s="64">
        <f t="shared" si="62"/>
        <v>35.712663589990001</v>
      </c>
      <c r="K160" s="65">
        <f t="shared" si="52"/>
        <v>36.661739925951956</v>
      </c>
      <c r="L160" s="64">
        <f t="shared" si="63"/>
        <v>65.152340110698759</v>
      </c>
      <c r="M160" s="64">
        <f t="shared" si="64"/>
        <v>24.847659889301241</v>
      </c>
      <c r="N160" s="65">
        <f t="shared" si="53"/>
        <v>31.541755827582861</v>
      </c>
      <c r="O160" s="64">
        <f t="shared" si="65"/>
        <v>76.163177850016311</v>
      </c>
      <c r="P160" s="64">
        <f t="shared" si="66"/>
        <v>13.836822149983689</v>
      </c>
      <c r="Q160" s="65">
        <f t="shared" si="54"/>
        <v>27.262034786570865</v>
      </c>
      <c r="R160" s="64">
        <f t="shared" si="67"/>
        <v>66.144061326795153</v>
      </c>
      <c r="S160" s="59">
        <f t="shared" si="68"/>
        <v>23.855938673204847</v>
      </c>
      <c r="T160" s="58">
        <f t="shared" si="55"/>
        <v>31.128157597820415</v>
      </c>
      <c r="U160" s="66"/>
    </row>
    <row r="161" spans="1:34" s="54" customFormat="1" x14ac:dyDescent="0.2">
      <c r="A161" s="63">
        <v>30</v>
      </c>
      <c r="B161" s="62">
        <f t="shared" si="56"/>
        <v>0.52359877559829882</v>
      </c>
      <c r="C161" s="60">
        <f t="shared" si="57"/>
        <v>34.248948383824604</v>
      </c>
      <c r="D161" s="60">
        <f t="shared" si="58"/>
        <v>55.751051616175396</v>
      </c>
      <c r="E161" s="61">
        <f t="shared" si="50"/>
        <v>54.592667845849739</v>
      </c>
      <c r="F161" s="60">
        <f t="shared" si="59"/>
        <v>44.171392021287531</v>
      </c>
      <c r="G161" s="60">
        <f t="shared" si="60"/>
        <v>45.828607978712469</v>
      </c>
      <c r="H161" s="61">
        <f t="shared" si="51"/>
        <v>44.634875958642198</v>
      </c>
      <c r="I161" s="60">
        <f t="shared" si="61"/>
        <v>54.69106768559881</v>
      </c>
      <c r="J161" s="60">
        <f t="shared" si="62"/>
        <v>35.30893231440119</v>
      </c>
      <c r="K161" s="61">
        <f t="shared" si="52"/>
        <v>37.785671788030292</v>
      </c>
      <c r="L161" s="60">
        <f t="shared" si="63"/>
        <v>65.506444100515765</v>
      </c>
      <c r="M161" s="60">
        <f t="shared" si="64"/>
        <v>24.493555899484235</v>
      </c>
      <c r="N161" s="61">
        <f t="shared" si="53"/>
        <v>32.546313761688346</v>
      </c>
      <c r="O161" s="60">
        <f t="shared" si="65"/>
        <v>76.473479040246303</v>
      </c>
      <c r="P161" s="60">
        <f t="shared" si="66"/>
        <v>13.526520959753697</v>
      </c>
      <c r="Q161" s="61">
        <f t="shared" si="54"/>
        <v>28.150583866932944</v>
      </c>
      <c r="R161" s="60">
        <f t="shared" si="67"/>
        <v>66.494019739751295</v>
      </c>
      <c r="S161" s="59">
        <f t="shared" si="68"/>
        <v>23.505980260248705</v>
      </c>
      <c r="T161" s="58">
        <f t="shared" si="55"/>
        <v>32.122103280140706</v>
      </c>
      <c r="U161" s="62"/>
      <c r="V161" s="56">
        <f>E161</f>
        <v>54.592667845849739</v>
      </c>
      <c r="W161" s="55"/>
      <c r="AG161" s="55">
        <f>D161</f>
        <v>55.751051616175396</v>
      </c>
    </row>
    <row r="162" spans="1:34" x14ac:dyDescent="0.2">
      <c r="A162" s="67">
        <v>31</v>
      </c>
      <c r="B162" s="66">
        <f t="shared" si="56"/>
        <v>0.54105206811824214</v>
      </c>
      <c r="C162" s="64">
        <f t="shared" si="57"/>
        <v>34.797263824490258</v>
      </c>
      <c r="D162" s="64">
        <f t="shared" si="58"/>
        <v>55.202736175509742</v>
      </c>
      <c r="E162" s="65">
        <f t="shared" si="50"/>
        <v>55.890527707279375</v>
      </c>
      <c r="F162" s="64">
        <f t="shared" si="59"/>
        <v>44.645348824307938</v>
      </c>
      <c r="G162" s="64">
        <f t="shared" si="60"/>
        <v>45.354651175692062</v>
      </c>
      <c r="H162" s="65">
        <f t="shared" si="51"/>
        <v>45.85927649946008</v>
      </c>
      <c r="I162" s="64">
        <f t="shared" si="61"/>
        <v>55.105093644963979</v>
      </c>
      <c r="J162" s="64">
        <f t="shared" si="62"/>
        <v>34.894906355036021</v>
      </c>
      <c r="K162" s="65">
        <f t="shared" si="52"/>
        <v>38.898299625792284</v>
      </c>
      <c r="L162" s="64">
        <f t="shared" si="63"/>
        <v>65.870376936764373</v>
      </c>
      <c r="M162" s="64">
        <f t="shared" si="64"/>
        <v>24.129623063235627</v>
      </c>
      <c r="N162" s="65">
        <f t="shared" si="53"/>
        <v>33.54375757196474</v>
      </c>
      <c r="O162" s="64">
        <f t="shared" si="65"/>
        <v>76.792882412325838</v>
      </c>
      <c r="P162" s="64">
        <f t="shared" si="66"/>
        <v>13.207117587674162</v>
      </c>
      <c r="Q162" s="65">
        <f t="shared" si="54"/>
        <v>29.034540800832946</v>
      </c>
      <c r="R162" s="64">
        <f t="shared" si="67"/>
        <v>66.853749876235526</v>
      </c>
      <c r="S162" s="59">
        <f t="shared" si="68"/>
        <v>23.146250123764474</v>
      </c>
      <c r="T162" s="58">
        <f t="shared" si="55"/>
        <v>33.109218409836942</v>
      </c>
      <c r="U162" s="66"/>
      <c r="V162" s="53">
        <f>H161</f>
        <v>44.634875958642198</v>
      </c>
      <c r="AG162" s="50">
        <f>G161</f>
        <v>45.828607978712469</v>
      </c>
    </row>
    <row r="163" spans="1:34" x14ac:dyDescent="0.2">
      <c r="A163" s="67">
        <v>32</v>
      </c>
      <c r="B163" s="66">
        <f t="shared" si="56"/>
        <v>0.55850536063818546</v>
      </c>
      <c r="C163" s="64">
        <f t="shared" si="57"/>
        <v>35.353963309852013</v>
      </c>
      <c r="D163" s="64">
        <f t="shared" si="58"/>
        <v>54.646036690147987</v>
      </c>
      <c r="E163" s="65">
        <f t="shared" ref="E163:E194" si="69">DEGREES(ACOS((SIN(RADIANS(D163))*SIN($C$6)-SIN(C$5))/(COS(RADIANS(D163))*COS($C$6))))</f>
        <v>57.159495299380417</v>
      </c>
      <c r="F163" s="64">
        <f t="shared" si="59"/>
        <v>45.12916479504927</v>
      </c>
      <c r="G163" s="64">
        <f t="shared" si="60"/>
        <v>44.87083520495073</v>
      </c>
      <c r="H163" s="65">
        <f t="shared" ref="H163:H194" si="70">DEGREES(ACOS((SIN(RADIANS(G163))*SIN($C$6)-SIN(G$5))/(COS(RADIANS(G163))*COS($C$6))))</f>
        <v>47.065525927136925</v>
      </c>
      <c r="I163" s="64">
        <f t="shared" si="61"/>
        <v>55.529154947568991</v>
      </c>
      <c r="J163" s="64">
        <f t="shared" si="62"/>
        <v>34.470845052431009</v>
      </c>
      <c r="K163" s="65">
        <f t="shared" ref="K163:K194" si="71">DEGREES(ACOS((SIN(RADIANS(J163))*SIN($C$6)-SIN(J$5))/(COS(RADIANS(J163))*COS($C$6))))</f>
        <v>39.999634243406256</v>
      </c>
      <c r="L163" s="64">
        <f t="shared" si="63"/>
        <v>66.243958630807782</v>
      </c>
      <c r="M163" s="64">
        <f t="shared" si="64"/>
        <v>23.756041369192218</v>
      </c>
      <c r="N163" s="65">
        <f t="shared" ref="N163:N194" si="72">DEGREES(ACOS((SIN(RADIANS(M163))*SIN($C$6)-SIN(M$5))/(COS(RADIANS(M163))*COS($C$6))))</f>
        <v>34.53403808637632</v>
      </c>
      <c r="O163" s="64">
        <f t="shared" si="65"/>
        <v>77.12126468480507</v>
      </c>
      <c r="P163" s="64">
        <f t="shared" si="66"/>
        <v>12.87873531519493</v>
      </c>
      <c r="Q163" s="65">
        <f t="shared" ref="Q163:Q194" si="73">DEGREES(ACOS((SIN(RADIANS(P163))*SIN($C$6)-SIN(P$5))/(COS(RADIANS(P163))*COS($C$6))))</f>
        <v>29.913848057651329</v>
      </c>
      <c r="R163" s="64">
        <f t="shared" si="67"/>
        <v>67.223077701771828</v>
      </c>
      <c r="S163" s="59">
        <f t="shared" si="68"/>
        <v>22.776922298228172</v>
      </c>
      <c r="T163" s="58">
        <f t="shared" ref="T163:T194" si="74">DEGREES(ACOS((SIN(RADIANS(S163))*SIN($C$6)-SIN(S$5))/(COS(RADIANS(S163))*COS($C$6))))</f>
        <v>34.089451838895556</v>
      </c>
      <c r="U163" s="66"/>
      <c r="V163" s="53">
        <f>K161</f>
        <v>37.785671788030292</v>
      </c>
      <c r="AG163" s="50">
        <f>J161</f>
        <v>35.30893231440119</v>
      </c>
    </row>
    <row r="164" spans="1:34" x14ac:dyDescent="0.2">
      <c r="A164" s="67">
        <v>33</v>
      </c>
      <c r="B164" s="66">
        <f t="shared" si="56"/>
        <v>0.57595865315812877</v>
      </c>
      <c r="C164" s="64">
        <f t="shared" si="57"/>
        <v>35.918591308903231</v>
      </c>
      <c r="D164" s="64">
        <f t="shared" si="58"/>
        <v>54.081408691096769</v>
      </c>
      <c r="E164" s="65">
        <f t="shared" si="69"/>
        <v>58.400572453056583</v>
      </c>
      <c r="F164" s="64">
        <f t="shared" si="59"/>
        <v>45.622480938500999</v>
      </c>
      <c r="G164" s="64">
        <f t="shared" si="60"/>
        <v>44.377519061499001</v>
      </c>
      <c r="H164" s="65">
        <f t="shared" si="70"/>
        <v>48.253893760558768</v>
      </c>
      <c r="I164" s="64">
        <f t="shared" si="61"/>
        <v>55.962993478701065</v>
      </c>
      <c r="J164" s="64">
        <f t="shared" si="62"/>
        <v>34.037006521298935</v>
      </c>
      <c r="K164" s="65">
        <f t="shared" si="71"/>
        <v>41.089705984846162</v>
      </c>
      <c r="L164" s="64">
        <f t="shared" si="63"/>
        <v>66.627008269553357</v>
      </c>
      <c r="M164" s="64">
        <f t="shared" si="64"/>
        <v>23.372991730446643</v>
      </c>
      <c r="N164" s="65">
        <f t="shared" si="72"/>
        <v>35.517118053020035</v>
      </c>
      <c r="O164" s="64">
        <f t="shared" si="65"/>
        <v>77.458501112736414</v>
      </c>
      <c r="P164" s="64">
        <f t="shared" si="66"/>
        <v>12.541498887263586</v>
      </c>
      <c r="Q164" s="65">
        <f t="shared" si="73"/>
        <v>30.788455045611958</v>
      </c>
      <c r="R164" s="64">
        <f t="shared" si="67"/>
        <v>67.601828163614471</v>
      </c>
      <c r="S164" s="59">
        <f t="shared" si="68"/>
        <v>22.398171836385529</v>
      </c>
      <c r="T164" s="58">
        <f t="shared" si="74"/>
        <v>35.062763784637745</v>
      </c>
      <c r="U164" s="66"/>
      <c r="V164" s="53">
        <f>N161</f>
        <v>32.546313761688346</v>
      </c>
      <c r="AG164" s="50">
        <f>M161</f>
        <v>24.493555899484235</v>
      </c>
    </row>
    <row r="165" spans="1:34" x14ac:dyDescent="0.2">
      <c r="A165" s="67">
        <v>34</v>
      </c>
      <c r="B165" s="66">
        <f t="shared" si="56"/>
        <v>0.59341194567807209</v>
      </c>
      <c r="C165" s="64">
        <f t="shared" si="57"/>
        <v>36.490712730703208</v>
      </c>
      <c r="D165" s="64">
        <f t="shared" si="58"/>
        <v>53.509287269296792</v>
      </c>
      <c r="E165" s="65">
        <f t="shared" si="69"/>
        <v>59.614755437815738</v>
      </c>
      <c r="F165" s="64">
        <f t="shared" si="59"/>
        <v>46.124945897416524</v>
      </c>
      <c r="G165" s="64">
        <f t="shared" si="60"/>
        <v>43.875054102583476</v>
      </c>
      <c r="H165" s="65">
        <f t="shared" si="70"/>
        <v>49.424672866703986</v>
      </c>
      <c r="I165" s="64">
        <f t="shared" si="61"/>
        <v>56.4063527364615</v>
      </c>
      <c r="J165" s="64">
        <f t="shared" si="62"/>
        <v>33.5936472635385</v>
      </c>
      <c r="K165" s="65">
        <f t="shared" si="71"/>
        <v>42.168563606030531</v>
      </c>
      <c r="L165" s="64">
        <f t="shared" si="63"/>
        <v>67.019344285582633</v>
      </c>
      <c r="M165" s="64">
        <f t="shared" si="64"/>
        <v>22.980655714417367</v>
      </c>
      <c r="N165" s="65">
        <f t="shared" si="72"/>
        <v>36.492971791635448</v>
      </c>
      <c r="O165" s="64">
        <f t="shared" si="65"/>
        <v>77.804465654063847</v>
      </c>
      <c r="P165" s="64">
        <f t="shared" si="66"/>
        <v>12.195534345936153</v>
      </c>
      <c r="Q165" s="65">
        <f t="shared" si="73"/>
        <v>31.658318032334989</v>
      </c>
      <c r="R165" s="64">
        <f t="shared" si="67"/>
        <v>67.989825450197685</v>
      </c>
      <c r="S165" s="59">
        <f t="shared" si="68"/>
        <v>22.010174549802315</v>
      </c>
      <c r="T165" s="58">
        <f t="shared" si="74"/>
        <v>36.029125519418614</v>
      </c>
      <c r="U165" s="66"/>
      <c r="V165" s="53">
        <f>Q161</f>
        <v>28.150583866932944</v>
      </c>
      <c r="AG165" s="50">
        <f>P161</f>
        <v>13.526520959753697</v>
      </c>
    </row>
    <row r="166" spans="1:34" x14ac:dyDescent="0.2">
      <c r="A166" s="67">
        <v>35</v>
      </c>
      <c r="B166" s="66">
        <f t="shared" si="56"/>
        <v>0.6108652381980153</v>
      </c>
      <c r="C166" s="64">
        <f t="shared" si="57"/>
        <v>37.069912242386451</v>
      </c>
      <c r="D166" s="64">
        <f t="shared" si="58"/>
        <v>52.930087757613549</v>
      </c>
      <c r="E166" s="65">
        <f t="shared" si="69"/>
        <v>60.803030304512227</v>
      </c>
      <c r="F166" s="64">
        <f t="shared" si="59"/>
        <v>46.636216223984093</v>
      </c>
      <c r="G166" s="64">
        <f t="shared" si="60"/>
        <v>43.363783776015907</v>
      </c>
      <c r="H166" s="65">
        <f t="shared" si="70"/>
        <v>50.578176517779745</v>
      </c>
      <c r="I166" s="64">
        <f t="shared" si="61"/>
        <v>56.858978184575776</v>
      </c>
      <c r="J166" s="64">
        <f t="shared" si="62"/>
        <v>33.141021815424224</v>
      </c>
      <c r="K166" s="65">
        <f t="shared" si="71"/>
        <v>43.236273148826683</v>
      </c>
      <c r="L166" s="64">
        <f t="shared" si="63"/>
        <v>67.420784714078295</v>
      </c>
      <c r="M166" s="64">
        <f t="shared" si="64"/>
        <v>22.579215285921705</v>
      </c>
      <c r="N166" s="65">
        <f t="shared" si="72"/>
        <v>37.46158482700541</v>
      </c>
      <c r="O166" s="64">
        <f t="shared" si="65"/>
        <v>78.159031131604664</v>
      </c>
      <c r="P166" s="64">
        <f t="shared" si="66"/>
        <v>11.840968868395336</v>
      </c>
      <c r="Q166" s="65">
        <f t="shared" si="73"/>
        <v>32.523400052727233</v>
      </c>
      <c r="R166" s="64">
        <f t="shared" si="67"/>
        <v>68.386893238548183</v>
      </c>
      <c r="S166" s="59">
        <f t="shared" si="68"/>
        <v>21.613106761451817</v>
      </c>
      <c r="T166" s="58">
        <f t="shared" si="74"/>
        <v>36.988519042366384</v>
      </c>
      <c r="U166" s="66"/>
    </row>
    <row r="167" spans="1:34" x14ac:dyDescent="0.2">
      <c r="A167" s="67">
        <v>36</v>
      </c>
      <c r="B167" s="66">
        <f t="shared" si="56"/>
        <v>0.62831853071795862</v>
      </c>
      <c r="C167" s="64">
        <f t="shared" si="57"/>
        <v>37.655793540672441</v>
      </c>
      <c r="D167" s="64">
        <f t="shared" si="58"/>
        <v>52.344206459327559</v>
      </c>
      <c r="E167" s="65">
        <f t="shared" si="69"/>
        <v>61.966369017499659</v>
      </c>
      <c r="F167" s="64">
        <f t="shared" si="59"/>
        <v>47.155956584611715</v>
      </c>
      <c r="G167" s="64">
        <f t="shared" si="60"/>
        <v>42.844043415388285</v>
      </c>
      <c r="H167" s="65">
        <f t="shared" si="70"/>
        <v>51.714735632129972</v>
      </c>
      <c r="I167" s="64">
        <f t="shared" si="61"/>
        <v>57.320617571840749</v>
      </c>
      <c r="J167" s="64">
        <f t="shared" si="62"/>
        <v>32.679382428159251</v>
      </c>
      <c r="K167" s="65">
        <f t="shared" si="71"/>
        <v>44.29291682477929</v>
      </c>
      <c r="L167" s="64">
        <f t="shared" si="63"/>
        <v>67.831147436254454</v>
      </c>
      <c r="M167" s="64">
        <f t="shared" si="64"/>
        <v>22.168852563745546</v>
      </c>
      <c r="N167" s="65">
        <f t="shared" si="72"/>
        <v>38.422953507547547</v>
      </c>
      <c r="O167" s="64">
        <f t="shared" si="65"/>
        <v>78.522069390295073</v>
      </c>
      <c r="P167" s="64">
        <f t="shared" si="66"/>
        <v>11.477930609704927</v>
      </c>
      <c r="Q167" s="65">
        <f t="shared" si="73"/>
        <v>33.383670805354804</v>
      </c>
      <c r="R167" s="64">
        <f t="shared" si="67"/>
        <v>68.792854929343108</v>
      </c>
      <c r="S167" s="59">
        <f t="shared" si="68"/>
        <v>21.207145070656892</v>
      </c>
      <c r="T167" s="58">
        <f t="shared" si="74"/>
        <v>37.94093673617661</v>
      </c>
      <c r="U167" s="66"/>
    </row>
    <row r="168" spans="1:34" x14ac:dyDescent="0.2">
      <c r="A168" s="67">
        <v>37</v>
      </c>
      <c r="B168" s="66">
        <f t="shared" si="56"/>
        <v>0.64577182323790194</v>
      </c>
      <c r="C168" s="64">
        <f t="shared" si="57"/>
        <v>38.247978592017311</v>
      </c>
      <c r="D168" s="64">
        <f t="shared" si="58"/>
        <v>51.752021407982689</v>
      </c>
      <c r="E168" s="65">
        <f t="shared" si="69"/>
        <v>63.105726288380197</v>
      </c>
      <c r="F168" s="64">
        <f t="shared" si="59"/>
        <v>47.683839903938669</v>
      </c>
      <c r="G168" s="64">
        <f t="shared" si="60"/>
        <v>42.316160096061331</v>
      </c>
      <c r="H168" s="65">
        <f t="shared" si="70"/>
        <v>52.83469620184637</v>
      </c>
      <c r="I168" s="64">
        <f t="shared" si="61"/>
        <v>57.791021219210634</v>
      </c>
      <c r="J168" s="64">
        <f t="shared" si="62"/>
        <v>32.208978780789366</v>
      </c>
      <c r="K168" s="65">
        <f t="shared" si="71"/>
        <v>45.338591915501333</v>
      </c>
      <c r="L168" s="64">
        <f t="shared" si="63"/>
        <v>68.250250409097021</v>
      </c>
      <c r="M168" s="64">
        <f t="shared" si="64"/>
        <v>21.749749590902979</v>
      </c>
      <c r="N168" s="65">
        <f t="shared" si="72"/>
        <v>39.377084612245454</v>
      </c>
      <c r="O168" s="64">
        <f t="shared" si="65"/>
        <v>78.893451449408943</v>
      </c>
      <c r="P168" s="64">
        <f t="shared" si="66"/>
        <v>11.106548550591057</v>
      </c>
      <c r="Q168" s="65">
        <f t="shared" si="73"/>
        <v>34.239106538439422</v>
      </c>
      <c r="R168" s="64">
        <f t="shared" si="67"/>
        <v>69.207533869388612</v>
      </c>
      <c r="S168" s="59">
        <f t="shared" si="68"/>
        <v>20.792466130611388</v>
      </c>
      <c r="T168" s="58">
        <f t="shared" si="74"/>
        <v>38.886381011851654</v>
      </c>
      <c r="U168" s="66"/>
    </row>
    <row r="169" spans="1:34" x14ac:dyDescent="0.2">
      <c r="A169" s="67">
        <v>38</v>
      </c>
      <c r="B169" s="66">
        <f t="shared" si="56"/>
        <v>0.66322511575784526</v>
      </c>
      <c r="C169" s="64">
        <f t="shared" si="57"/>
        <v>38.846106854157135</v>
      </c>
      <c r="D169" s="64">
        <f t="shared" si="58"/>
        <v>51.153893145842865</v>
      </c>
      <c r="E169" s="65">
        <f t="shared" si="69"/>
        <v>64.222037028752922</v>
      </c>
      <c r="F169" s="64">
        <f t="shared" si="59"/>
        <v>48.219547454005273</v>
      </c>
      <c r="G169" s="64">
        <f t="shared" si="60"/>
        <v>41.780452545994727</v>
      </c>
      <c r="H169" s="65">
        <f t="shared" si="70"/>
        <v>53.938416907198459</v>
      </c>
      <c r="I169" s="64">
        <f t="shared" si="61"/>
        <v>58.269942275675469</v>
      </c>
      <c r="J169" s="64">
        <f t="shared" si="62"/>
        <v>31.730057724324531</v>
      </c>
      <c r="K169" s="65">
        <f t="shared" si="71"/>
        <v>46.373409695768984</v>
      </c>
      <c r="L169" s="64">
        <f t="shared" si="63"/>
        <v>68.677911881315126</v>
      </c>
      <c r="M169" s="64">
        <f t="shared" si="64"/>
        <v>21.322088118684874</v>
      </c>
      <c r="N169" s="65">
        <f t="shared" si="72"/>
        <v>40.323994948904208</v>
      </c>
      <c r="O169" s="64">
        <f t="shared" si="65"/>
        <v>79.273047649497855</v>
      </c>
      <c r="P169" s="64">
        <f t="shared" si="66"/>
        <v>10.726952350502145</v>
      </c>
      <c r="Q169" s="65">
        <f t="shared" si="73"/>
        <v>35.089689926612778</v>
      </c>
      <c r="R169" s="64">
        <f t="shared" si="67"/>
        <v>69.630753561382136</v>
      </c>
      <c r="S169" s="59">
        <f t="shared" si="68"/>
        <v>20.369246438617864</v>
      </c>
      <c r="T169" s="58">
        <f t="shared" si="74"/>
        <v>39.824863944137817</v>
      </c>
      <c r="U169" s="66"/>
    </row>
    <row r="170" spans="1:34" x14ac:dyDescent="0.2">
      <c r="A170" s="67">
        <v>39</v>
      </c>
      <c r="B170" s="66">
        <f t="shared" si="56"/>
        <v>0.68067840827778847</v>
      </c>
      <c r="C170" s="64">
        <f t="shared" si="57"/>
        <v>39.449834489657128</v>
      </c>
      <c r="D170" s="64">
        <f t="shared" si="58"/>
        <v>50.550165510342872</v>
      </c>
      <c r="E170" s="65">
        <f t="shared" si="69"/>
        <v>65.316214345293986</v>
      </c>
      <c r="F170" s="64">
        <f t="shared" si="59"/>
        <v>48.762768894273165</v>
      </c>
      <c r="G170" s="64">
        <f t="shared" si="60"/>
        <v>41.237231105726835</v>
      </c>
      <c r="H170" s="65">
        <f t="shared" si="70"/>
        <v>55.026266915644001</v>
      </c>
      <c r="I170" s="64">
        <f t="shared" si="61"/>
        <v>58.757136944208312</v>
      </c>
      <c r="J170" s="64">
        <f t="shared" si="62"/>
        <v>31.242863055791688</v>
      </c>
      <c r="K170" s="65">
        <f t="shared" si="71"/>
        <v>47.397494384499403</v>
      </c>
      <c r="L170" s="64">
        <f t="shared" si="63"/>
        <v>69.113950595490664</v>
      </c>
      <c r="M170" s="64">
        <f t="shared" si="64"/>
        <v>20.886049404509336</v>
      </c>
      <c r="N170" s="65">
        <f t="shared" si="72"/>
        <v>41.263710946535703</v>
      </c>
      <c r="O170" s="64">
        <f t="shared" si="65"/>
        <v>79.660727793838191</v>
      </c>
      <c r="P170" s="64">
        <f t="shared" si="66"/>
        <v>10.339272206161809</v>
      </c>
      <c r="Q170" s="65">
        <f t="shared" si="73"/>
        <v>35.935409939548492</v>
      </c>
      <c r="R170" s="64">
        <f t="shared" si="67"/>
        <v>70.062337860902218</v>
      </c>
      <c r="S170" s="59">
        <f t="shared" si="68"/>
        <v>19.937662139097782</v>
      </c>
      <c r="T170" s="58">
        <f t="shared" si="74"/>
        <v>40.756406900262697</v>
      </c>
      <c r="U170" s="66"/>
    </row>
    <row r="171" spans="1:34" x14ac:dyDescent="0.2">
      <c r="A171" s="67">
        <v>40</v>
      </c>
      <c r="B171" s="66">
        <f t="shared" si="56"/>
        <v>0.69813170079773179</v>
      </c>
      <c r="C171" s="64">
        <f t="shared" si="57"/>
        <v>40.058833580198467</v>
      </c>
      <c r="D171" s="64">
        <f t="shared" si="58"/>
        <v>49.941166419801533</v>
      </c>
      <c r="E171" s="65">
        <f t="shared" si="69"/>
        <v>66.389148006798592</v>
      </c>
      <c r="F171" s="64">
        <f t="shared" si="59"/>
        <v>49.313202267906377</v>
      </c>
      <c r="G171" s="64">
        <f t="shared" si="60"/>
        <v>40.686797732093623</v>
      </c>
      <c r="H171" s="65">
        <f t="shared" si="70"/>
        <v>56.098623861251646</v>
      </c>
      <c r="I171" s="64">
        <f t="shared" si="61"/>
        <v>59.25236467915169</v>
      </c>
      <c r="J171" s="64">
        <f t="shared" si="62"/>
        <v>30.74763532084831</v>
      </c>
      <c r="K171" s="65">
        <f t="shared" si="71"/>
        <v>48.410982127972638</v>
      </c>
      <c r="L171" s="64">
        <f t="shared" si="63"/>
        <v>69.558185976491473</v>
      </c>
      <c r="M171" s="64">
        <f t="shared" si="64"/>
        <v>20.441814023508527</v>
      </c>
      <c r="N171" s="65">
        <f t="shared" si="72"/>
        <v>42.196268244492053</v>
      </c>
      <c r="O171" s="64">
        <f t="shared" si="65"/>
        <v>80.056361284206005</v>
      </c>
      <c r="P171" s="64">
        <f t="shared" si="66"/>
        <v>9.9436387157939947</v>
      </c>
      <c r="Q171" s="65">
        <f t="shared" si="73"/>
        <v>36.776261703567094</v>
      </c>
      <c r="R171" s="64">
        <f t="shared" si="67"/>
        <v>70.502111160643778</v>
      </c>
      <c r="S171" s="59">
        <f t="shared" si="68"/>
        <v>19.497888839356222</v>
      </c>
      <c r="T171" s="58">
        <f t="shared" si="74"/>
        <v>41.681040164413133</v>
      </c>
      <c r="U171" s="66"/>
    </row>
    <row r="172" spans="1:34" x14ac:dyDescent="0.2">
      <c r="A172" s="67">
        <v>41</v>
      </c>
      <c r="B172" s="66">
        <f t="shared" si="56"/>
        <v>0.71558499331767511</v>
      </c>
      <c r="C172" s="64">
        <f t="shared" si="57"/>
        <v>40.672791348688627</v>
      </c>
      <c r="D172" s="64">
        <f t="shared" si="58"/>
        <v>49.327208651311373</v>
      </c>
      <c r="E172" s="65">
        <f t="shared" si="69"/>
        <v>67.441703319215875</v>
      </c>
      <c r="F172" s="64">
        <f t="shared" si="59"/>
        <v>49.870553959411836</v>
      </c>
      <c r="G172" s="64">
        <f t="shared" si="60"/>
        <v>40.129446040588164</v>
      </c>
      <c r="H172" s="65">
        <f t="shared" si="70"/>
        <v>57.155871998827976</v>
      </c>
      <c r="I172" s="64">
        <f t="shared" si="61"/>
        <v>59.755388356482683</v>
      </c>
      <c r="J172" s="64">
        <f t="shared" si="62"/>
        <v>30.244611643517317</v>
      </c>
      <c r="K172" s="65">
        <f t="shared" si="71"/>
        <v>49.414020018888863</v>
      </c>
      <c r="L172" s="64">
        <f t="shared" si="63"/>
        <v>70.010438306284641</v>
      </c>
      <c r="M172" s="64">
        <f t="shared" si="64"/>
        <v>19.989561693715359</v>
      </c>
      <c r="N172" s="65">
        <f t="shared" si="72"/>
        <v>43.121711280772907</v>
      </c>
      <c r="O172" s="64">
        <f t="shared" si="65"/>
        <v>80.459817250835812</v>
      </c>
      <c r="P172" s="64">
        <f t="shared" si="66"/>
        <v>9.5401827491641882</v>
      </c>
      <c r="Q172" s="65">
        <f t="shared" si="73"/>
        <v>37.612246357283411</v>
      </c>
      <c r="R172" s="64">
        <f t="shared" si="67"/>
        <v>70.949898561984185</v>
      </c>
      <c r="S172" s="59">
        <f t="shared" si="68"/>
        <v>19.050101438015815</v>
      </c>
      <c r="T172" s="58">
        <f t="shared" si="74"/>
        <v>42.598802560229004</v>
      </c>
      <c r="U172" s="66"/>
    </row>
    <row r="173" spans="1:34" x14ac:dyDescent="0.2">
      <c r="A173" s="67">
        <v>42</v>
      </c>
      <c r="B173" s="66">
        <f t="shared" si="56"/>
        <v>0.73303828583761843</v>
      </c>
      <c r="C173" s="64">
        <f t="shared" si="57"/>
        <v>41.291409394855926</v>
      </c>
      <c r="D173" s="64">
        <f t="shared" si="58"/>
        <v>48.708590605144074</v>
      </c>
      <c r="E173" s="65">
        <f t="shared" si="69"/>
        <v>68.474720351010987</v>
      </c>
      <c r="F173" s="64">
        <f t="shared" si="59"/>
        <v>50.43453861840603</v>
      </c>
      <c r="G173" s="64">
        <f t="shared" si="60"/>
        <v>39.56546138159397</v>
      </c>
      <c r="H173" s="65">
        <f t="shared" si="70"/>
        <v>58.198400525844782</v>
      </c>
      <c r="I173" s="64">
        <f t="shared" si="61"/>
        <v>60.265974418442767</v>
      </c>
      <c r="J173" s="64">
        <f t="shared" si="62"/>
        <v>29.734025581557233</v>
      </c>
      <c r="K173" s="65">
        <f t="shared" si="71"/>
        <v>50.406765154140921</v>
      </c>
      <c r="L173" s="64">
        <f t="shared" si="63"/>
        <v>70.470528885349736</v>
      </c>
      <c r="M173" s="64">
        <f t="shared" si="64"/>
        <v>19.529471114650264</v>
      </c>
      <c r="N173" s="65">
        <f t="shared" si="72"/>
        <v>44.040092881736115</v>
      </c>
      <c r="O173" s="64">
        <f t="shared" si="65"/>
        <v>80.870964676451536</v>
      </c>
      <c r="P173" s="64">
        <f t="shared" si="66"/>
        <v>9.1290353235484645</v>
      </c>
      <c r="Q173" s="65">
        <f t="shared" si="73"/>
        <v>38.4433709023318</v>
      </c>
      <c r="R173" s="64">
        <f t="shared" si="67"/>
        <v>71.405526034026266</v>
      </c>
      <c r="S173" s="59">
        <f t="shared" si="68"/>
        <v>18.594473965973734</v>
      </c>
      <c r="T173" s="58">
        <f t="shared" si="74"/>
        <v>43.509741073416407</v>
      </c>
      <c r="U173" s="66"/>
    </row>
    <row r="174" spans="1:34" x14ac:dyDescent="0.2">
      <c r="A174" s="67">
        <v>43</v>
      </c>
      <c r="B174" s="66">
        <f t="shared" si="56"/>
        <v>0.75049157835756175</v>
      </c>
      <c r="C174" s="64">
        <f t="shared" si="57"/>
        <v>41.9144029487654</v>
      </c>
      <c r="D174" s="64">
        <f t="shared" si="58"/>
        <v>48.0855970512346</v>
      </c>
      <c r="E174" s="65">
        <f t="shared" si="69"/>
        <v>69.489013457256803</v>
      </c>
      <c r="F174" s="64">
        <f t="shared" si="59"/>
        <v>51.004879053932967</v>
      </c>
      <c r="G174" s="64">
        <f t="shared" si="60"/>
        <v>38.995120946067033</v>
      </c>
      <c r="H174" s="65">
        <f t="shared" si="70"/>
        <v>59.22660206437331</v>
      </c>
      <c r="I174" s="64">
        <f t="shared" si="61"/>
        <v>60.783892994043647</v>
      </c>
      <c r="J174" s="64">
        <f t="shared" si="62"/>
        <v>29.216107005956353</v>
      </c>
      <c r="K174" s="65">
        <f t="shared" si="71"/>
        <v>51.389383733524603</v>
      </c>
      <c r="L174" s="64">
        <f t="shared" si="63"/>
        <v>70.938280180947316</v>
      </c>
      <c r="M174" s="64">
        <f t="shared" si="64"/>
        <v>19.061719819052684</v>
      </c>
      <c r="N174" s="65">
        <f t="shared" si="72"/>
        <v>44.951473855245219</v>
      </c>
      <c r="O174" s="64">
        <f t="shared" si="65"/>
        <v>81.28967251428918</v>
      </c>
      <c r="P174" s="64">
        <f t="shared" si="66"/>
        <v>8.7103274857108204</v>
      </c>
      <c r="Q174" s="65">
        <f t="shared" si="73"/>
        <v>39.26964805016771</v>
      </c>
      <c r="R174" s="64">
        <f t="shared" si="67"/>
        <v>71.868820560318284</v>
      </c>
      <c r="S174" s="59">
        <f t="shared" si="68"/>
        <v>18.131179439681716</v>
      </c>
      <c r="T174" s="58">
        <f t="shared" si="74"/>
        <v>44.413910476411885</v>
      </c>
      <c r="U174" s="66"/>
    </row>
    <row r="175" spans="1:34" x14ac:dyDescent="0.2">
      <c r="A175" s="67">
        <v>44</v>
      </c>
      <c r="B175" s="66">
        <f t="shared" si="56"/>
        <v>0.76794487087750496</v>
      </c>
      <c r="C175" s="64">
        <f t="shared" si="57"/>
        <v>42.541500145649678</v>
      </c>
      <c r="D175" s="64">
        <f t="shared" si="58"/>
        <v>47.458499854350322</v>
      </c>
      <c r="E175" s="65">
        <f t="shared" si="69"/>
        <v>70.485371056591447</v>
      </c>
      <c r="F175" s="64">
        <f t="shared" si="59"/>
        <v>51.581306103414057</v>
      </c>
      <c r="G175" s="64">
        <f t="shared" si="60"/>
        <v>38.418693896585943</v>
      </c>
      <c r="H175" s="65">
        <f t="shared" si="70"/>
        <v>60.24087129460753</v>
      </c>
      <c r="I175" s="64">
        <f t="shared" si="61"/>
        <v>61.308917996968042</v>
      </c>
      <c r="J175" s="64">
        <f t="shared" si="62"/>
        <v>28.691082003031958</v>
      </c>
      <c r="K175" s="65">
        <f t="shared" si="71"/>
        <v>52.36205020101265</v>
      </c>
      <c r="L175" s="64">
        <f t="shared" si="63"/>
        <v>71.413515962546384</v>
      </c>
      <c r="M175" s="64">
        <f t="shared" si="64"/>
        <v>18.586484037453616</v>
      </c>
      <c r="N175" s="65">
        <f t="shared" si="72"/>
        <v>45.855922589092806</v>
      </c>
      <c r="O175" s="64">
        <f t="shared" si="65"/>
        <v>81.715809800059944</v>
      </c>
      <c r="P175" s="64">
        <f t="shared" si="66"/>
        <v>8.2841901999400562</v>
      </c>
      <c r="Q175" s="65">
        <f t="shared" si="73"/>
        <v>40.09109606590372</v>
      </c>
      <c r="R175" s="64">
        <f t="shared" si="67"/>
        <v>72.339610273497968</v>
      </c>
      <c r="S175" s="59">
        <f t="shared" si="68"/>
        <v>17.660389726502032</v>
      </c>
      <c r="T175" s="58">
        <f t="shared" si="74"/>
        <v>45.311372956856729</v>
      </c>
      <c r="U175" s="66"/>
    </row>
    <row r="176" spans="1:34" s="54" customFormat="1" x14ac:dyDescent="0.2">
      <c r="A176" s="63">
        <v>45</v>
      </c>
      <c r="B176" s="62">
        <f t="shared" si="56"/>
        <v>0.78539816339744828</v>
      </c>
      <c r="C176" s="60">
        <f t="shared" si="57"/>
        <v>43.17244132456792</v>
      </c>
      <c r="D176" s="60">
        <f t="shared" si="58"/>
        <v>46.82755867543208</v>
      </c>
      <c r="E176" s="61">
        <f t="shared" si="69"/>
        <v>71.464555620524791</v>
      </c>
      <c r="F176" s="60">
        <f t="shared" si="59"/>
        <v>52.163558479969367</v>
      </c>
      <c r="G176" s="60">
        <f t="shared" si="60"/>
        <v>37.836441520030633</v>
      </c>
      <c r="H176" s="61">
        <f t="shared" si="70"/>
        <v>61.241603731161568</v>
      </c>
      <c r="I176" s="60">
        <f t="shared" si="61"/>
        <v>61.84082720237658</v>
      </c>
      <c r="J176" s="60">
        <f t="shared" si="62"/>
        <v>28.15917279762342</v>
      </c>
      <c r="K176" s="61">
        <f t="shared" si="71"/>
        <v>53.324946429681333</v>
      </c>
      <c r="L176" s="60">
        <f t="shared" si="63"/>
        <v>71.896061424756525</v>
      </c>
      <c r="M176" s="60">
        <f t="shared" si="64"/>
        <v>18.103938575243475</v>
      </c>
      <c r="N176" s="61">
        <f t="shared" si="72"/>
        <v>46.753514656348905</v>
      </c>
      <c r="O176" s="60">
        <f t="shared" si="65"/>
        <v>82.149245757829377</v>
      </c>
      <c r="P176" s="60">
        <f t="shared" si="66"/>
        <v>7.8507542421706233</v>
      </c>
      <c r="Q176" s="61">
        <f t="shared" si="73"/>
        <v>40.907738610094277</v>
      </c>
      <c r="R176" s="60">
        <f t="shared" si="67"/>
        <v>72.817724578149438</v>
      </c>
      <c r="S176" s="59">
        <f t="shared" si="68"/>
        <v>17.182275421850562</v>
      </c>
      <c r="T176" s="58">
        <f t="shared" si="74"/>
        <v>46.202197751472113</v>
      </c>
      <c r="U176" s="62"/>
      <c r="V176" s="56">
        <f>E176</f>
        <v>71.464555620524791</v>
      </c>
      <c r="W176" s="55"/>
      <c r="AH176" s="55">
        <f>D176</f>
        <v>46.82755867543208</v>
      </c>
    </row>
    <row r="177" spans="1:35" x14ac:dyDescent="0.2">
      <c r="A177" s="67">
        <v>46</v>
      </c>
      <c r="B177" s="66">
        <f t="shared" si="56"/>
        <v>0.8028514559173916</v>
      </c>
      <c r="C177" s="64">
        <f t="shared" si="57"/>
        <v>43.806978352666853</v>
      </c>
      <c r="D177" s="64">
        <f t="shared" si="58"/>
        <v>46.193021647333147</v>
      </c>
      <c r="E177" s="65">
        <f t="shared" si="69"/>
        <v>72.427303839496901</v>
      </c>
      <c r="F177" s="64">
        <f t="shared" si="59"/>
        <v>52.751382601516887</v>
      </c>
      <c r="G177" s="64">
        <f t="shared" si="60"/>
        <v>37.248617398483113</v>
      </c>
      <c r="H177" s="65">
        <f t="shared" si="70"/>
        <v>62.229194633121331</v>
      </c>
      <c r="I177" s="64">
        <f t="shared" si="61"/>
        <v>62.379402304110123</v>
      </c>
      <c r="J177" s="64">
        <f t="shared" si="62"/>
        <v>27.620597695889877</v>
      </c>
      <c r="K177" s="65">
        <f t="shared" si="71"/>
        <v>54.278260950898613</v>
      </c>
      <c r="L177" s="64">
        <f t="shared" si="63"/>
        <v>72.385743298144092</v>
      </c>
      <c r="M177" s="64">
        <f t="shared" si="64"/>
        <v>17.614256701855908</v>
      </c>
      <c r="N177" s="65">
        <f t="shared" si="72"/>
        <v>47.644332429097609</v>
      </c>
      <c r="O177" s="64">
        <f t="shared" si="65"/>
        <v>82.589849899813615</v>
      </c>
      <c r="P177" s="64">
        <f t="shared" si="66"/>
        <v>7.4101501001863852</v>
      </c>
      <c r="Q177" s="65">
        <f t="shared" si="73"/>
        <v>41.719604579337343</v>
      </c>
      <c r="R177" s="64">
        <f t="shared" si="67"/>
        <v>73.302994262195739</v>
      </c>
      <c r="S177" s="59">
        <f t="shared" si="68"/>
        <v>16.697005737804261</v>
      </c>
      <c r="T177" s="58">
        <f t="shared" si="74"/>
        <v>47.086460786757705</v>
      </c>
      <c r="U177" s="66"/>
      <c r="V177" s="53">
        <f>H176</f>
        <v>61.241603731161568</v>
      </c>
      <c r="AH177" s="50">
        <f>G176</f>
        <v>37.836441520030633</v>
      </c>
    </row>
    <row r="178" spans="1:35" x14ac:dyDescent="0.2">
      <c r="A178" s="67">
        <v>47</v>
      </c>
      <c r="B178" s="66">
        <f t="shared" si="56"/>
        <v>0.82030474843733492</v>
      </c>
      <c r="C178" s="64">
        <f t="shared" si="57"/>
        <v>44.444873976203908</v>
      </c>
      <c r="D178" s="64">
        <f t="shared" si="58"/>
        <v>45.555126023796092</v>
      </c>
      <c r="E178" s="65">
        <f t="shared" si="69"/>
        <v>73.374326934579884</v>
      </c>
      <c r="F178" s="64">
        <f t="shared" si="59"/>
        <v>53.344532404736015</v>
      </c>
      <c r="G178" s="64">
        <f t="shared" si="60"/>
        <v>36.655467595263985</v>
      </c>
      <c r="H178" s="65">
        <f t="shared" si="70"/>
        <v>63.204038038785185</v>
      </c>
      <c r="I178" s="64">
        <f t="shared" si="61"/>
        <v>62.924428953744062</v>
      </c>
      <c r="J178" s="64">
        <f t="shared" si="62"/>
        <v>27.075571046255938</v>
      </c>
      <c r="K178" s="65">
        <f t="shared" si="71"/>
        <v>55.222188227959222</v>
      </c>
      <c r="L178" s="64">
        <f t="shared" si="63"/>
        <v>72.882389948341242</v>
      </c>
      <c r="M178" s="64">
        <f t="shared" si="64"/>
        <v>17.117610051658758</v>
      </c>
      <c r="N178" s="65">
        <f t="shared" si="72"/>
        <v>48.528464701848222</v>
      </c>
      <c r="O178" s="64">
        <f t="shared" si="65"/>
        <v>83.037492120116852</v>
      </c>
      <c r="P178" s="64">
        <f t="shared" si="66"/>
        <v>6.9625078798831481</v>
      </c>
      <c r="Q178" s="65">
        <f t="shared" si="73"/>
        <v>42.526727946514796</v>
      </c>
      <c r="R178" s="64">
        <f t="shared" si="67"/>
        <v>73.795251597180425</v>
      </c>
      <c r="S178" s="59">
        <f t="shared" si="68"/>
        <v>16.204748402819575</v>
      </c>
      <c r="T178" s="58">
        <f t="shared" si="74"/>
        <v>47.964244327779504</v>
      </c>
      <c r="U178" s="66"/>
      <c r="V178" s="53">
        <f>K176</f>
        <v>53.324946429681333</v>
      </c>
      <c r="AH178" s="50">
        <f>J176</f>
        <v>28.15917279762342</v>
      </c>
    </row>
    <row r="179" spans="1:35" x14ac:dyDescent="0.2">
      <c r="A179" s="67">
        <v>48</v>
      </c>
      <c r="B179" s="66">
        <f t="shared" si="56"/>
        <v>0.83775804095727824</v>
      </c>
      <c r="C179" s="64">
        <f t="shared" si="57"/>
        <v>45.085901198986974</v>
      </c>
      <c r="D179" s="64">
        <f t="shared" si="58"/>
        <v>44.914098801013026</v>
      </c>
      <c r="E179" s="65">
        <f t="shared" si="69"/>
        <v>74.306311087772329</v>
      </c>
      <c r="F179" s="64">
        <f t="shared" si="59"/>
        <v>53.942769146674991</v>
      </c>
      <c r="G179" s="64">
        <f t="shared" si="60"/>
        <v>36.057230853325009</v>
      </c>
      <c r="H179" s="65">
        <f t="shared" si="70"/>
        <v>64.166525916113727</v>
      </c>
      <c r="I179" s="64">
        <f t="shared" si="61"/>
        <v>63.475696782908891</v>
      </c>
      <c r="J179" s="64">
        <f t="shared" si="62"/>
        <v>26.524303217091109</v>
      </c>
      <c r="K179" s="65">
        <f t="shared" si="71"/>
        <v>56.156927973983464</v>
      </c>
      <c r="L179" s="64">
        <f t="shared" si="63"/>
        <v>73.385831463879185</v>
      </c>
      <c r="M179" s="64">
        <f t="shared" si="64"/>
        <v>16.614168536120815</v>
      </c>
      <c r="N179" s="65">
        <f t="shared" si="72"/>
        <v>49.406006325737984</v>
      </c>
      <c r="O179" s="64">
        <f t="shared" si="65"/>
        <v>83.492042782454973</v>
      </c>
      <c r="P179" s="64">
        <f t="shared" si="66"/>
        <v>6.5079572175450267</v>
      </c>
      <c r="Q179" s="65">
        <f t="shared" si="73"/>
        <v>43.329147601443871</v>
      </c>
      <c r="R179" s="64">
        <f t="shared" si="67"/>
        <v>74.294330427813691</v>
      </c>
      <c r="S179" s="59">
        <f t="shared" si="68"/>
        <v>15.705669572186309</v>
      </c>
      <c r="T179" s="58">
        <f t="shared" si="74"/>
        <v>48.835636636154398</v>
      </c>
      <c r="U179" s="66"/>
      <c r="V179" s="53">
        <f>N176</f>
        <v>46.753514656348905</v>
      </c>
      <c r="AH179" s="50">
        <f>M176</f>
        <v>18.103938575243475</v>
      </c>
    </row>
    <row r="180" spans="1:35" x14ac:dyDescent="0.2">
      <c r="A180" s="67">
        <v>49</v>
      </c>
      <c r="B180" s="66">
        <f t="shared" si="56"/>
        <v>0.85521133347722145</v>
      </c>
      <c r="C180" s="64">
        <f t="shared" si="57"/>
        <v>45.729842688472189</v>
      </c>
      <c r="D180" s="64">
        <f t="shared" si="58"/>
        <v>44.270157311527811</v>
      </c>
      <c r="E180" s="65">
        <f t="shared" si="69"/>
        <v>75.22391796747651</v>
      </c>
      <c r="F180" s="64">
        <f t="shared" si="59"/>
        <v>54.545861196493512</v>
      </c>
      <c r="G180" s="64">
        <f t="shared" si="60"/>
        <v>35.454138803506488</v>
      </c>
      <c r="H180" s="65">
        <f t="shared" si="70"/>
        <v>65.117047420098601</v>
      </c>
      <c r="I180" s="64">
        <f t="shared" si="61"/>
        <v>64.032999410241743</v>
      </c>
      <c r="J180" s="64">
        <f t="shared" si="62"/>
        <v>25.967000589758257</v>
      </c>
      <c r="K180" s="65">
        <f t="shared" si="71"/>
        <v>57.082684513577938</v>
      </c>
      <c r="L180" s="64">
        <f t="shared" si="63"/>
        <v>73.895899733193275</v>
      </c>
      <c r="M180" s="64">
        <f t="shared" si="64"/>
        <v>16.104100266806725</v>
      </c>
      <c r="N180" s="65">
        <f t="shared" si="72"/>
        <v>50.277057854480454</v>
      </c>
      <c r="O180" s="64">
        <f t="shared" si="65"/>
        <v>83.95337280192993</v>
      </c>
      <c r="P180" s="64">
        <f t="shared" si="66"/>
        <v>6.0466271980700697</v>
      </c>
      <c r="Q180" s="65">
        <f t="shared" si="73"/>
        <v>44.126907192664177</v>
      </c>
      <c r="R180" s="64">
        <f t="shared" si="67"/>
        <v>74.800066251178762</v>
      </c>
      <c r="S180" s="59">
        <f t="shared" si="68"/>
        <v>15.199933748821238</v>
      </c>
      <c r="T180" s="58">
        <f t="shared" si="74"/>
        <v>49.700731638195798</v>
      </c>
      <c r="U180" s="66"/>
      <c r="V180" s="53">
        <f>Q176</f>
        <v>40.907738610094277</v>
      </c>
      <c r="AH180" s="50">
        <f>P176</f>
        <v>7.8507542421706233</v>
      </c>
    </row>
    <row r="181" spans="1:35" x14ac:dyDescent="0.2">
      <c r="A181" s="67">
        <v>50</v>
      </c>
      <c r="B181" s="66">
        <f t="shared" si="56"/>
        <v>0.87266462599716477</v>
      </c>
      <c r="C181" s="64">
        <f t="shared" si="57"/>
        <v>46.376490209428894</v>
      </c>
      <c r="D181" s="64">
        <f t="shared" si="58"/>
        <v>43.623509790571106</v>
      </c>
      <c r="E181" s="65">
        <f t="shared" si="69"/>
        <v>76.127785328997902</v>
      </c>
      <c r="F181" s="64">
        <f t="shared" si="59"/>
        <v>55.153583819559806</v>
      </c>
      <c r="G181" s="64">
        <f t="shared" si="60"/>
        <v>34.846416180440194</v>
      </c>
      <c r="H181" s="65">
        <f t="shared" si="70"/>
        <v>66.05598824853152</v>
      </c>
      <c r="I181" s="64">
        <f t="shared" si="61"/>
        <v>64.596134434277417</v>
      </c>
      <c r="J181" s="64">
        <f t="shared" si="62"/>
        <v>25.403865565722583</v>
      </c>
      <c r="K181" s="65">
        <f t="shared" si="71"/>
        <v>57.999666187484799</v>
      </c>
      <c r="L181" s="64">
        <f t="shared" si="63"/>
        <v>74.412428511260856</v>
      </c>
      <c r="M181" s="64">
        <f t="shared" si="64"/>
        <v>15.587571488739144</v>
      </c>
      <c r="N181" s="65">
        <f t="shared" si="72"/>
        <v>51.141725202864777</v>
      </c>
      <c r="O181" s="64">
        <f t="shared" si="65"/>
        <v>84.421353720935727</v>
      </c>
      <c r="P181" s="64">
        <f t="shared" si="66"/>
        <v>5.578646279064273</v>
      </c>
      <c r="Q181" s="65">
        <f t="shared" si="73"/>
        <v>44.920054971034808</v>
      </c>
      <c r="R181" s="64">
        <f t="shared" si="67"/>
        <v>75.312296286007381</v>
      </c>
      <c r="S181" s="59">
        <f t="shared" si="68"/>
        <v>14.687703713992619</v>
      </c>
      <c r="T181" s="58">
        <f t="shared" si="74"/>
        <v>50.559628604043084</v>
      </c>
      <c r="U181" s="66"/>
    </row>
    <row r="182" spans="1:35" x14ac:dyDescent="0.2">
      <c r="A182" s="67">
        <v>51</v>
      </c>
      <c r="B182" s="66">
        <f t="shared" si="56"/>
        <v>0.89011791851710809</v>
      </c>
      <c r="C182" s="64">
        <f t="shared" si="57"/>
        <v>47.025644084816328</v>
      </c>
      <c r="D182" s="64">
        <f t="shared" si="58"/>
        <v>42.974355915183672</v>
      </c>
      <c r="E182" s="65">
        <f t="shared" si="69"/>
        <v>77.018527672787101</v>
      </c>
      <c r="F182" s="64">
        <f t="shared" si="59"/>
        <v>55.765718955869993</v>
      </c>
      <c r="G182" s="64">
        <f t="shared" si="60"/>
        <v>34.234281044130007</v>
      </c>
      <c r="H182" s="65">
        <f t="shared" si="70"/>
        <v>66.983730087989159</v>
      </c>
      <c r="I182" s="64">
        <f t="shared" si="61"/>
        <v>65.164903413527497</v>
      </c>
      <c r="J182" s="64">
        <f t="shared" si="62"/>
        <v>24.835096586472503</v>
      </c>
      <c r="K182" s="65">
        <f t="shared" si="71"/>
        <v>58.908084799220219</v>
      </c>
      <c r="L182" s="64">
        <f t="shared" si="63"/>
        <v>74.935253476339653</v>
      </c>
      <c r="M182" s="64">
        <f t="shared" si="64"/>
        <v>15.064746523660347</v>
      </c>
      <c r="N182" s="65">
        <f t="shared" si="72"/>
        <v>52.000119318468357</v>
      </c>
      <c r="O182" s="64">
        <f t="shared" si="65"/>
        <v>84.895857779292982</v>
      </c>
      <c r="P182" s="64">
        <f t="shared" si="66"/>
        <v>5.1041422207070184</v>
      </c>
      <c r="Q182" s="65">
        <f t="shared" si="73"/>
        <v>45.708643635769171</v>
      </c>
      <c r="R182" s="64">
        <f t="shared" si="67"/>
        <v>75.830859532443085</v>
      </c>
      <c r="S182" s="59">
        <f t="shared" si="68"/>
        <v>14.169140467556915</v>
      </c>
      <c r="T182" s="58">
        <f t="shared" si="74"/>
        <v>51.41243183846867</v>
      </c>
      <c r="U182" s="69"/>
    </row>
    <row r="183" spans="1:35" x14ac:dyDescent="0.2">
      <c r="A183" s="67">
        <v>52</v>
      </c>
      <c r="B183" s="66">
        <f t="shared" si="56"/>
        <v>0.90757121103705141</v>
      </c>
      <c r="C183" s="64">
        <f t="shared" si="57"/>
        <v>47.6771126833087</v>
      </c>
      <c r="D183" s="64">
        <f t="shared" si="58"/>
        <v>42.3228873166913</v>
      </c>
      <c r="E183" s="65">
        <f t="shared" si="69"/>
        <v>77.896736945685362</v>
      </c>
      <c r="F183" s="64">
        <f t="shared" si="59"/>
        <v>56.38205499452291</v>
      </c>
      <c r="G183" s="64">
        <f t="shared" si="60"/>
        <v>33.61794500547709</v>
      </c>
      <c r="H183" s="65">
        <f t="shared" si="70"/>
        <v>67.900650142227377</v>
      </c>
      <c r="I183" s="64">
        <f t="shared" si="61"/>
        <v>65.739111834932572</v>
      </c>
      <c r="J183" s="64">
        <f t="shared" si="62"/>
        <v>24.260888165067428</v>
      </c>
      <c r="K183" s="65">
        <f t="shared" si="71"/>
        <v>59.808155102515052</v>
      </c>
      <c r="L183" s="64">
        <f t="shared" si="63"/>
        <v>75.464212277278008</v>
      </c>
      <c r="M183" s="64">
        <f t="shared" si="64"/>
        <v>14.535787722721992</v>
      </c>
      <c r="N183" s="65">
        <f t="shared" si="72"/>
        <v>52.852355867114881</v>
      </c>
      <c r="O183" s="64">
        <f t="shared" si="65"/>
        <v>85.376757978721329</v>
      </c>
      <c r="P183" s="64">
        <f t="shared" si="66"/>
        <v>4.6232420212786707</v>
      </c>
      <c r="Q183" s="65">
        <f t="shared" si="73"/>
        <v>46.492730183486081</v>
      </c>
      <c r="R183" s="64">
        <f t="shared" si="67"/>
        <v>76.355596822717231</v>
      </c>
      <c r="S183" s="59">
        <f t="shared" si="68"/>
        <v>13.644403177282769</v>
      </c>
      <c r="T183" s="58">
        <f t="shared" si="74"/>
        <v>52.259250383933775</v>
      </c>
      <c r="U183" s="69"/>
    </row>
    <row r="184" spans="1:35" x14ac:dyDescent="0.2">
      <c r="A184" s="67">
        <v>53</v>
      </c>
      <c r="B184" s="66">
        <f t="shared" si="56"/>
        <v>0.92502450355699462</v>
      </c>
      <c r="C184" s="64">
        <f t="shared" si="57"/>
        <v>48.330711932746908</v>
      </c>
      <c r="D184" s="64">
        <f t="shared" si="58"/>
        <v>41.669288067253092</v>
      </c>
      <c r="E184" s="65">
        <f t="shared" si="69"/>
        <v>78.762983272668464</v>
      </c>
      <c r="F184" s="64">
        <f t="shared" si="59"/>
        <v>57.002386545769632</v>
      </c>
      <c r="G184" s="64">
        <f t="shared" si="60"/>
        <v>32.997613454230368</v>
      </c>
      <c r="H184" s="65">
        <f t="shared" si="70"/>
        <v>68.8071207355881</v>
      </c>
      <c r="I184" s="64">
        <f t="shared" si="61"/>
        <v>66.318569071807048</v>
      </c>
      <c r="J184" s="64">
        <f t="shared" si="62"/>
        <v>23.681430928192952</v>
      </c>
      <c r="K184" s="65">
        <f t="shared" si="71"/>
        <v>60.700094328221496</v>
      </c>
      <c r="L184" s="64">
        <f t="shared" si="63"/>
        <v>75.999144571868271</v>
      </c>
      <c r="M184" s="64">
        <f t="shared" si="64"/>
        <v>14.000855428131729</v>
      </c>
      <c r="N184" s="65">
        <f t="shared" si="72"/>
        <v>53.698554932489159</v>
      </c>
      <c r="O184" s="64">
        <f t="shared" si="65"/>
        <v>85.863928141770941</v>
      </c>
      <c r="P184" s="64">
        <f t="shared" si="66"/>
        <v>4.1360718582290588</v>
      </c>
      <c r="Q184" s="65">
        <f t="shared" si="73"/>
        <v>47.272375760810021</v>
      </c>
      <c r="R184" s="64">
        <f t="shared" si="67"/>
        <v>76.886350863163955</v>
      </c>
      <c r="S184" s="59">
        <f t="shared" si="68"/>
        <v>13.113649136836045</v>
      </c>
      <c r="T184" s="58">
        <f t="shared" si="74"/>
        <v>53.100197736351589</v>
      </c>
      <c r="U184" s="69"/>
    </row>
    <row r="185" spans="1:35" x14ac:dyDescent="0.2">
      <c r="A185" s="67">
        <v>54</v>
      </c>
      <c r="B185" s="66">
        <f t="shared" si="56"/>
        <v>0.94247779607693793</v>
      </c>
      <c r="C185" s="64">
        <f t="shared" si="57"/>
        <v>48.986264858676243</v>
      </c>
      <c r="D185" s="64">
        <f t="shared" si="58"/>
        <v>41.013735141323757</v>
      </c>
      <c r="E185" s="65">
        <f t="shared" si="69"/>
        <v>79.617815708535801</v>
      </c>
      <c r="F185" s="64">
        <f t="shared" si="59"/>
        <v>57.626514211960014</v>
      </c>
      <c r="G185" s="64">
        <f t="shared" si="60"/>
        <v>32.373485788039986</v>
      </c>
      <c r="H185" s="65">
        <f t="shared" si="70"/>
        <v>69.703508984450636</v>
      </c>
      <c r="I185" s="64">
        <f t="shared" si="61"/>
        <v>66.903088332329602</v>
      </c>
      <c r="J185" s="64">
        <f t="shared" si="62"/>
        <v>23.096911667670398</v>
      </c>
      <c r="K185" s="65">
        <f t="shared" si="71"/>
        <v>61.58412174923194</v>
      </c>
      <c r="L185" s="64">
        <f t="shared" si="63"/>
        <v>76.539892056710897</v>
      </c>
      <c r="M185" s="64">
        <f t="shared" si="64"/>
        <v>13.460107943289103</v>
      </c>
      <c r="N185" s="65">
        <f t="shared" si="72"/>
        <v>54.538840730210126</v>
      </c>
      <c r="O185" s="64">
        <f t="shared" si="65"/>
        <v>86.357242965344255</v>
      </c>
      <c r="P185" s="64">
        <f t="shared" si="66"/>
        <v>3.6427570346557445</v>
      </c>
      <c r="Q185" s="65">
        <f t="shared" si="73"/>
        <v>48.047645521009009</v>
      </c>
      <c r="R185" s="64">
        <f t="shared" si="67"/>
        <v>77.422966268000394</v>
      </c>
      <c r="S185" s="59">
        <f t="shared" si="68"/>
        <v>12.577033731999606</v>
      </c>
      <c r="T185" s="58">
        <f t="shared" si="74"/>
        <v>53.935391573912838</v>
      </c>
      <c r="U185" s="69"/>
    </row>
    <row r="186" spans="1:35" x14ac:dyDescent="0.2">
      <c r="A186" s="67">
        <v>55</v>
      </c>
      <c r="B186" s="66">
        <f t="shared" si="56"/>
        <v>0.95993108859688125</v>
      </c>
      <c r="C186" s="64">
        <f t="shared" si="57"/>
        <v>49.643601147043839</v>
      </c>
      <c r="D186" s="64">
        <f t="shared" si="58"/>
        <v>40.356398852956161</v>
      </c>
      <c r="E186" s="65">
        <f t="shared" si="69"/>
        <v>80.461763000692173</v>
      </c>
      <c r="F186" s="64">
        <f t="shared" si="59"/>
        <v>58.254244358529633</v>
      </c>
      <c r="G186" s="64">
        <f t="shared" si="60"/>
        <v>31.745755641470367</v>
      </c>
      <c r="H186" s="65">
        <f t="shared" si="70"/>
        <v>70.590176530196075</v>
      </c>
      <c r="I186" s="64">
        <f t="shared" si="61"/>
        <v>67.49248659956524</v>
      </c>
      <c r="J186" s="64">
        <f t="shared" si="62"/>
        <v>22.50751340043476</v>
      </c>
      <c r="K186" s="65">
        <f t="shared" si="71"/>
        <v>62.460458281868156</v>
      </c>
      <c r="L186" s="64">
        <f t="shared" si="63"/>
        <v>77.086298489050179</v>
      </c>
      <c r="M186" s="64">
        <f t="shared" si="64"/>
        <v>12.913701510949821</v>
      </c>
      <c r="N186" s="65">
        <f t="shared" si="72"/>
        <v>55.37334133656239</v>
      </c>
      <c r="O186" s="64">
        <f t="shared" si="65"/>
        <v>86.856578068946121</v>
      </c>
      <c r="P186" s="64">
        <f t="shared" si="66"/>
        <v>3.1434219310538793</v>
      </c>
      <c r="Q186" s="65">
        <f t="shared" si="73"/>
        <v>48.818608485113316</v>
      </c>
      <c r="R186" s="64">
        <f t="shared" si="67"/>
        <v>77.965289585293689</v>
      </c>
      <c r="S186" s="59">
        <f t="shared" si="68"/>
        <v>12.034710414706311</v>
      </c>
      <c r="T186" s="58">
        <f t="shared" si="74"/>
        <v>54.764953499233137</v>
      </c>
      <c r="U186" s="69"/>
    </row>
    <row r="187" spans="1:35" x14ac:dyDescent="0.2">
      <c r="A187" s="67">
        <v>56</v>
      </c>
      <c r="B187" s="66">
        <f t="shared" si="56"/>
        <v>0.97738438111682457</v>
      </c>
      <c r="C187" s="64">
        <f t="shared" si="57"/>
        <v>50.302556730072759</v>
      </c>
      <c r="D187" s="64">
        <f t="shared" si="58"/>
        <v>39.697443269927241</v>
      </c>
      <c r="E187" s="65">
        <f t="shared" si="69"/>
        <v>81.295334355646247</v>
      </c>
      <c r="F187" s="64">
        <f t="shared" si="59"/>
        <v>58.885388886008933</v>
      </c>
      <c r="G187" s="64">
        <f t="shared" si="60"/>
        <v>31.114611113991067</v>
      </c>
      <c r="H187" s="65">
        <f t="shared" si="70"/>
        <v>71.467479327591249</v>
      </c>
      <c r="I187" s="64">
        <f t="shared" si="61"/>
        <v>68.086584563939098</v>
      </c>
      <c r="J187" s="64">
        <f t="shared" si="62"/>
        <v>21.913415436060902</v>
      </c>
      <c r="K187" s="65">
        <f t="shared" si="71"/>
        <v>63.329326122138347</v>
      </c>
      <c r="L187" s="64">
        <f t="shared" si="63"/>
        <v>77.638209701033958</v>
      </c>
      <c r="M187" s="64">
        <f t="shared" si="64"/>
        <v>12.361790298966042</v>
      </c>
      <c r="N187" s="65">
        <f t="shared" si="72"/>
        <v>56.202188431997975</v>
      </c>
      <c r="O187" s="64">
        <f t="shared" si="65"/>
        <v>87.361810037808283</v>
      </c>
      <c r="P187" s="64">
        <f t="shared" si="66"/>
        <v>2.6381899621917171</v>
      </c>
      <c r="Q187" s="65">
        <f t="shared" si="73"/>
        <v>49.585337407919731</v>
      </c>
      <c r="R187" s="64">
        <f t="shared" si="67"/>
        <v>78.513169315530533</v>
      </c>
      <c r="S187" s="59">
        <f t="shared" si="68"/>
        <v>11.486830684469467</v>
      </c>
      <c r="T187" s="58">
        <f t="shared" si="74"/>
        <v>55.589008794995841</v>
      </c>
      <c r="U187" s="69"/>
    </row>
    <row r="188" spans="1:35" x14ac:dyDescent="0.2">
      <c r="A188" s="67">
        <v>57</v>
      </c>
      <c r="B188" s="66">
        <f t="shared" si="56"/>
        <v>0.99483767363676789</v>
      </c>
      <c r="C188" s="64">
        <f t="shared" si="57"/>
        <v>50.962973394293428</v>
      </c>
      <c r="D188" s="64">
        <f t="shared" si="58"/>
        <v>39.037026605706572</v>
      </c>
      <c r="E188" s="65">
        <f t="shared" si="69"/>
        <v>82.119020203125345</v>
      </c>
      <c r="F188" s="64">
        <f t="shared" si="59"/>
        <v>59.519765003889361</v>
      </c>
      <c r="G188" s="64">
        <f t="shared" si="60"/>
        <v>30.480234996110639</v>
      </c>
      <c r="H188" s="65">
        <f t="shared" si="70"/>
        <v>72.335767482931445</v>
      </c>
      <c r="I188" s="64">
        <f t="shared" si="61"/>
        <v>68.685206549016158</v>
      </c>
      <c r="J188" s="64">
        <f t="shared" si="62"/>
        <v>21.314793450983842</v>
      </c>
      <c r="K188" s="65">
        <f t="shared" si="71"/>
        <v>64.190948415218784</v>
      </c>
      <c r="L188" s="64">
        <f t="shared" si="63"/>
        <v>78.195473606837965</v>
      </c>
      <c r="M188" s="64">
        <f t="shared" si="64"/>
        <v>11.804526393162035</v>
      </c>
      <c r="N188" s="65">
        <f t="shared" si="72"/>
        <v>57.025517059437256</v>
      </c>
      <c r="O188" s="64">
        <f t="shared" si="65"/>
        <v>87.872816461037999</v>
      </c>
      <c r="P188" s="64">
        <f t="shared" si="66"/>
        <v>2.1271835389620009</v>
      </c>
      <c r="Q188" s="65">
        <f t="shared" si="73"/>
        <v>50.347908649243998</v>
      </c>
      <c r="R188" s="64">
        <f t="shared" si="67"/>
        <v>79.066455923196344</v>
      </c>
      <c r="S188" s="59">
        <f t="shared" si="68"/>
        <v>10.933544076803656</v>
      </c>
      <c r="T188" s="58">
        <f t="shared" si="74"/>
        <v>56.407686193186755</v>
      </c>
      <c r="U188" s="69"/>
    </row>
    <row r="189" spans="1:35" x14ac:dyDescent="0.2">
      <c r="A189" s="67">
        <v>58</v>
      </c>
      <c r="B189" s="66">
        <f t="shared" si="56"/>
        <v>1.0122909661567112</v>
      </c>
      <c r="C189" s="64">
        <f t="shared" si="57"/>
        <v>51.624698409697075</v>
      </c>
      <c r="D189" s="64">
        <f t="shared" si="58"/>
        <v>38.375301590302925</v>
      </c>
      <c r="E189" s="65">
        <f t="shared" si="69"/>
        <v>82.933292952806539</v>
      </c>
      <c r="F189" s="64">
        <f t="shared" si="59"/>
        <v>60.157195007051229</v>
      </c>
      <c r="G189" s="64">
        <f t="shared" si="60"/>
        <v>29.842804992948771</v>
      </c>
      <c r="H189" s="65">
        <f t="shared" si="70"/>
        <v>73.195385136702811</v>
      </c>
      <c r="I189" s="64">
        <f t="shared" si="61"/>
        <v>69.288180431378251</v>
      </c>
      <c r="J189" s="64">
        <f t="shared" si="62"/>
        <v>20.711819568621749</v>
      </c>
      <c r="K189" s="65">
        <f t="shared" si="71"/>
        <v>65.045548956499687</v>
      </c>
      <c r="L189" s="64">
        <f t="shared" si="63"/>
        <v>78.757940203082995</v>
      </c>
      <c r="M189" s="64">
        <f t="shared" si="64"/>
        <v>11.242059796917005</v>
      </c>
      <c r="N189" s="65">
        <f t="shared" si="72"/>
        <v>57.843465397328863</v>
      </c>
      <c r="O189" s="64">
        <f t="shared" si="65"/>
        <v>88.38947596494495</v>
      </c>
      <c r="P189" s="64">
        <f t="shared" si="66"/>
        <v>1.6105240350550503</v>
      </c>
      <c r="Q189" s="65">
        <f t="shared" si="73"/>
        <v>51.106402050749452</v>
      </c>
      <c r="R189" s="64">
        <f t="shared" si="67"/>
        <v>79.625001841760607</v>
      </c>
      <c r="S189" s="59">
        <f t="shared" si="68"/>
        <v>10.374998158239393</v>
      </c>
      <c r="T189" s="58">
        <f t="shared" si="74"/>
        <v>57.221117657946706</v>
      </c>
      <c r="U189" s="69"/>
    </row>
    <row r="190" spans="1:35" x14ac:dyDescent="0.2">
      <c r="A190" s="67">
        <v>59</v>
      </c>
      <c r="B190" s="66">
        <f t="shared" si="56"/>
        <v>1.0297442586766545</v>
      </c>
      <c r="C190" s="64">
        <f t="shared" si="57"/>
        <v>52.287584178973148</v>
      </c>
      <c r="D190" s="64">
        <f t="shared" si="58"/>
        <v>37.712415821026852</v>
      </c>
      <c r="E190" s="65">
        <f t="shared" si="69"/>
        <v>83.738607739607048</v>
      </c>
      <c r="F190" s="64">
        <f t="shared" si="59"/>
        <v>60.797506055339369</v>
      </c>
      <c r="G190" s="64">
        <f t="shared" si="60"/>
        <v>29.202493944660631</v>
      </c>
      <c r="H190" s="65">
        <f t="shared" si="70"/>
        <v>74.046670385932089</v>
      </c>
      <c r="I190" s="64">
        <f t="shared" si="61"/>
        <v>69.895337555327387</v>
      </c>
      <c r="J190" s="64">
        <f t="shared" si="62"/>
        <v>20.104662444672613</v>
      </c>
      <c r="K190" s="65">
        <f t="shared" si="71"/>
        <v>65.893351922530996</v>
      </c>
      <c r="L190" s="64">
        <f t="shared" si="63"/>
        <v>79.325461562957983</v>
      </c>
      <c r="M190" s="64">
        <f t="shared" si="64"/>
        <v>10.674538437042017</v>
      </c>
      <c r="N190" s="65">
        <f t="shared" si="72"/>
        <v>58.656174547363179</v>
      </c>
      <c r="O190" s="64">
        <f t="shared" si="65"/>
        <v>88.911668241701975</v>
      </c>
      <c r="P190" s="64">
        <f t="shared" si="66"/>
        <v>1.0883317582980254</v>
      </c>
      <c r="Q190" s="65">
        <f t="shared" si="73"/>
        <v>51.86090081864284</v>
      </c>
      <c r="R190" s="64">
        <f t="shared" si="67"/>
        <v>80.188661472452921</v>
      </c>
      <c r="S190" s="59">
        <f t="shared" si="68"/>
        <v>9.811338527547079</v>
      </c>
      <c r="T190" s="58">
        <f t="shared" si="74"/>
        <v>58.02943818200702</v>
      </c>
      <c r="U190" s="69"/>
    </row>
    <row r="191" spans="1:35" s="54" customFormat="1" x14ac:dyDescent="0.2">
      <c r="A191" s="63">
        <v>60</v>
      </c>
      <c r="B191" s="62">
        <f t="shared" si="56"/>
        <v>1.0471975511965976</v>
      </c>
      <c r="C191" s="60">
        <f t="shared" si="57"/>
        <v>52.951487905802381</v>
      </c>
      <c r="D191" s="60">
        <f t="shared" si="58"/>
        <v>37.048512094197619</v>
      </c>
      <c r="E191" s="61">
        <f t="shared" si="69"/>
        <v>84.535403154285959</v>
      </c>
      <c r="F191" s="60">
        <f t="shared" si="59"/>
        <v>61.440529956769169</v>
      </c>
      <c r="G191" s="60">
        <f t="shared" si="60"/>
        <v>28.559470043230831</v>
      </c>
      <c r="H191" s="61">
        <f t="shared" si="70"/>
        <v>74.889955241782758</v>
      </c>
      <c r="I191" s="60">
        <f t="shared" si="61"/>
        <v>70.506512643085387</v>
      </c>
      <c r="J191" s="60">
        <f t="shared" si="62"/>
        <v>19.493487356914613</v>
      </c>
      <c r="K191" s="61">
        <f t="shared" si="71"/>
        <v>66.734581630216994</v>
      </c>
      <c r="L191" s="60">
        <f t="shared" si="63"/>
        <v>79.897891824446617</v>
      </c>
      <c r="M191" s="60">
        <f t="shared" si="64"/>
        <v>10.102108175553383</v>
      </c>
      <c r="N191" s="61">
        <f t="shared" si="72"/>
        <v>59.463788336681034</v>
      </c>
      <c r="O191" s="60">
        <f t="shared" si="65"/>
        <v>89.4392740734976</v>
      </c>
      <c r="P191" s="60">
        <f t="shared" si="66"/>
        <v>0.56072592650239983</v>
      </c>
      <c r="Q191" s="61">
        <f t="shared" si="73"/>
        <v>52.611491412498673</v>
      </c>
      <c r="R191" s="60">
        <f t="shared" si="67"/>
        <v>80.757291177201566</v>
      </c>
      <c r="S191" s="59">
        <f t="shared" si="68"/>
        <v>9.2427088227984342</v>
      </c>
      <c r="T191" s="58">
        <f t="shared" si="74"/>
        <v>58.832785596619615</v>
      </c>
      <c r="U191" s="70"/>
      <c r="V191" s="56">
        <f>E191</f>
        <v>84.535403154285959</v>
      </c>
      <c r="W191" s="55"/>
      <c r="AI191" s="55">
        <f>D191</f>
        <v>37.048512094197619</v>
      </c>
    </row>
    <row r="192" spans="1:35" x14ac:dyDescent="0.2">
      <c r="A192" s="67">
        <v>61</v>
      </c>
      <c r="B192" s="66">
        <f t="shared" si="56"/>
        <v>1.064650843716541</v>
      </c>
      <c r="C192" s="64">
        <f t="shared" si="57"/>
        <v>53.616271281195345</v>
      </c>
      <c r="D192" s="64">
        <f t="shared" si="58"/>
        <v>36.383728718804655</v>
      </c>
      <c r="E192" s="65">
        <f t="shared" si="69"/>
        <v>85.324101956796042</v>
      </c>
      <c r="F192" s="64">
        <f t="shared" si="59"/>
        <v>62.086102954752221</v>
      </c>
      <c r="G192" s="64">
        <f t="shared" si="60"/>
        <v>27.913897045247779</v>
      </c>
      <c r="H192" s="65">
        <f t="shared" si="70"/>
        <v>75.72556561832603</v>
      </c>
      <c r="I192" s="64">
        <f t="shared" si="61"/>
        <v>71.121543701102496</v>
      </c>
      <c r="J192" s="64">
        <f t="shared" si="62"/>
        <v>18.878456298897504</v>
      </c>
      <c r="K192" s="65">
        <f t="shared" si="71"/>
        <v>67.569462322632418</v>
      </c>
      <c r="L192" s="64">
        <f t="shared" si="63"/>
        <v>80.475087173038148</v>
      </c>
      <c r="M192" s="64">
        <f t="shared" si="64"/>
        <v>9.5249128269618524</v>
      </c>
      <c r="N192" s="65">
        <f t="shared" si="72"/>
        <v>60.266453134371325</v>
      </c>
      <c r="O192" s="64">
        <f t="shared" si="65"/>
        <v>89.97217535233662</v>
      </c>
      <c r="P192" s="64">
        <f t="shared" si="66"/>
        <v>2.7824647663379665E-2</v>
      </c>
      <c r="Q192" s="65">
        <f t="shared" si="73"/>
        <v>53.35826344044068</v>
      </c>
      <c r="R192" s="64">
        <f t="shared" si="67"/>
        <v>81.330749266090677</v>
      </c>
      <c r="S192" s="59">
        <f t="shared" si="68"/>
        <v>8.6692507339093225</v>
      </c>
      <c r="T192" s="58">
        <f t="shared" si="74"/>
        <v>59.631300394844239</v>
      </c>
      <c r="U192" s="69"/>
      <c r="V192" s="53">
        <f>H191</f>
        <v>74.889955241782758</v>
      </c>
      <c r="AI192" s="50">
        <f>G191</f>
        <v>28.559470043230831</v>
      </c>
    </row>
    <row r="193" spans="1:36" x14ac:dyDescent="0.2">
      <c r="A193" s="67">
        <v>62</v>
      </c>
      <c r="B193" s="66">
        <f t="shared" si="56"/>
        <v>1.0821041362364843</v>
      </c>
      <c r="C193" s="64">
        <f t="shared" si="57"/>
        <v>54.281800186892198</v>
      </c>
      <c r="D193" s="64">
        <f t="shared" si="58"/>
        <v>35.718199813107802</v>
      </c>
      <c r="E193" s="65">
        <f t="shared" si="69"/>
        <v>86.105111770409806</v>
      </c>
      <c r="F193" s="64">
        <f t="shared" si="59"/>
        <v>62.734065519649135</v>
      </c>
      <c r="G193" s="64">
        <f t="shared" si="60"/>
        <v>27.265934480350865</v>
      </c>
      <c r="H193" s="65">
        <f t="shared" si="70"/>
        <v>76.553821348766391</v>
      </c>
      <c r="I193" s="64">
        <f t="shared" si="61"/>
        <v>71.74027192303393</v>
      </c>
      <c r="J193" s="64">
        <f t="shared" si="62"/>
        <v>18.25972807696607</v>
      </c>
      <c r="K193" s="65">
        <f t="shared" si="71"/>
        <v>68.398217979867709</v>
      </c>
      <c r="L193" s="64">
        <f t="shared" si="63"/>
        <v>81.056905819285305</v>
      </c>
      <c r="M193" s="64">
        <f t="shared" si="64"/>
        <v>8.9430941807146951</v>
      </c>
      <c r="N193" s="65">
        <f t="shared" si="72"/>
        <v>61.064317682011698</v>
      </c>
      <c r="O193" s="64">
        <f t="shared" si="65"/>
        <v>90.510255095645306</v>
      </c>
      <c r="P193" s="64">
        <f t="shared" si="66"/>
        <v>-0.5102550956453058</v>
      </c>
      <c r="Q193" s="65">
        <f t="shared" si="73"/>
        <v>54.101309560884317</v>
      </c>
      <c r="R193" s="64">
        <f t="shared" si="67"/>
        <v>81.908895979678093</v>
      </c>
      <c r="S193" s="59">
        <f t="shared" si="68"/>
        <v>8.0911040203219073</v>
      </c>
      <c r="T193" s="58">
        <f t="shared" si="74"/>
        <v>60.42512556801762</v>
      </c>
      <c r="U193" s="69"/>
      <c r="V193" s="53">
        <f>K191</f>
        <v>66.734581630216994</v>
      </c>
      <c r="AI193" s="50">
        <f>J191</f>
        <v>19.493487356914613</v>
      </c>
    </row>
    <row r="194" spans="1:36" x14ac:dyDescent="0.2">
      <c r="A194" s="67">
        <v>63</v>
      </c>
      <c r="B194" s="66">
        <f t="shared" si="56"/>
        <v>1.0995574287564276</v>
      </c>
      <c r="C194" s="64">
        <f t="shared" si="57"/>
        <v>54.947944414869916</v>
      </c>
      <c r="D194" s="64">
        <f t="shared" si="58"/>
        <v>35.052055585130084</v>
      </c>
      <c r="E194" s="65">
        <f t="shared" si="69"/>
        <v>86.878825755137782</v>
      </c>
      <c r="F194" s="64">
        <f t="shared" si="59"/>
        <v>63.384262144885099</v>
      </c>
      <c r="G194" s="64">
        <f t="shared" si="60"/>
        <v>26.615737855114901</v>
      </c>
      <c r="H194" s="65">
        <f t="shared" si="70"/>
        <v>77.375036225730753</v>
      </c>
      <c r="I194" s="64">
        <f t="shared" si="61"/>
        <v>72.362541589891492</v>
      </c>
      <c r="J194" s="64">
        <f t="shared" si="62"/>
        <v>17.637458410108508</v>
      </c>
      <c r="K194" s="65">
        <f t="shared" si="71"/>
        <v>69.221072153352821</v>
      </c>
      <c r="L194" s="64">
        <f t="shared" si="63"/>
        <v>81.643207971554403</v>
      </c>
      <c r="M194" s="64">
        <f t="shared" si="64"/>
        <v>8.3567920284455965</v>
      </c>
      <c r="N194" s="65">
        <f t="shared" si="72"/>
        <v>61.857532937973161</v>
      </c>
      <c r="O194" s="64">
        <f t="shared" si="65"/>
        <v>91.053397457835104</v>
      </c>
      <c r="P194" s="64">
        <f t="shared" si="66"/>
        <v>-1.0533974578351035</v>
      </c>
      <c r="Q194" s="65">
        <f t="shared" si="73"/>
        <v>54.840725391017394</v>
      </c>
      <c r="R194" s="64">
        <f t="shared" si="67"/>
        <v>82.491593466499268</v>
      </c>
      <c r="S194" s="59">
        <f t="shared" si="68"/>
        <v>7.5084065335007324</v>
      </c>
      <c r="T194" s="58">
        <f t="shared" si="74"/>
        <v>61.214406455192943</v>
      </c>
      <c r="U194" s="69"/>
      <c r="V194" s="53">
        <f>N191</f>
        <v>59.463788336681034</v>
      </c>
      <c r="AI194" s="50">
        <f>M191</f>
        <v>10.102108175553383</v>
      </c>
    </row>
    <row r="195" spans="1:36" x14ac:dyDescent="0.2">
      <c r="A195" s="67">
        <v>64</v>
      </c>
      <c r="B195" s="66">
        <f t="shared" si="56"/>
        <v>1.1170107212763709</v>
      </c>
      <c r="C195" s="64">
        <f t="shared" si="57"/>
        <v>55.614577402037781</v>
      </c>
      <c r="D195" s="64">
        <f t="shared" si="58"/>
        <v>34.385422597962219</v>
      </c>
      <c r="E195" s="65">
        <f t="shared" ref="E195:E226" si="75">DEGREES(ACOS((SIN(RADIANS(D195))*SIN($C$6)-SIN(C$5))/(COS(RADIANS(D195))*COS($C$6))))</f>
        <v>87.64562325937213</v>
      </c>
      <c r="F195" s="64">
        <f t="shared" si="59"/>
        <v>64.036541147800563</v>
      </c>
      <c r="G195" s="64">
        <f t="shared" si="60"/>
        <v>25.963458852199437</v>
      </c>
      <c r="H195" s="65">
        <f t="shared" ref="H195:H226" si="76">DEGREES(ACOS((SIN(RADIANS(G195))*SIN($C$6)-SIN(G$5))/(COS(RADIANS(G195))*COS($C$6))))</f>
        <v>78.189518062536948</v>
      </c>
      <c r="I195" s="64">
        <f t="shared" si="61"/>
        <v>72.98819996782845</v>
      </c>
      <c r="J195" s="64">
        <f t="shared" si="62"/>
        <v>17.01180003217155</v>
      </c>
      <c r="K195" s="65">
        <f t="shared" ref="K195:K226" si="77">DEGREES(ACOS((SIN(RADIANS(J195))*SIN($C$6)-SIN(J$5))/(COS(RADIANS(J195))*COS($C$6))))</f>
        <v>70.038247822158056</v>
      </c>
      <c r="L195" s="64">
        <f t="shared" si="63"/>
        <v>82.233855804293626</v>
      </c>
      <c r="M195" s="64">
        <f t="shared" si="64"/>
        <v>7.7661441957063744</v>
      </c>
      <c r="N195" s="65">
        <f t="shared" ref="N195:N226" si="78">DEGREES(ACOS((SIN(RADIANS(M195))*SIN($C$6)-SIN(M$5))/(COS(RADIANS(M195))*COS($C$6))))</f>
        <v>62.646251935182178</v>
      </c>
      <c r="O195" s="64">
        <f t="shared" si="65"/>
        <v>91.601487737975944</v>
      </c>
      <c r="P195" s="64">
        <f t="shared" si="66"/>
        <v>-1.601487737975944</v>
      </c>
      <c r="Q195" s="65">
        <f t="shared" ref="Q195:Q226" si="79">DEGREES(ACOS((SIN(RADIANS(P195))*SIN($C$6)-SIN(P$5))/(COS(RADIANS(P195))*COS($C$6))))</f>
        <v>55.576609422174712</v>
      </c>
      <c r="R195" s="64">
        <f t="shared" si="67"/>
        <v>83.078705756066014</v>
      </c>
      <c r="S195" s="59">
        <f t="shared" si="68"/>
        <v>6.9212942439339855</v>
      </c>
      <c r="T195" s="58">
        <f t="shared" ref="T195:T226" si="80">DEGREES(ACOS((SIN(RADIANS(S195))*SIN($C$6)-SIN(S$5))/(COS(RADIANS(S195))*COS($C$6))))</f>
        <v>61.999290605310641</v>
      </c>
      <c r="U195" s="69"/>
      <c r="V195" s="53">
        <f>Q191</f>
        <v>52.611491412498673</v>
      </c>
      <c r="AI195" s="50">
        <f>P191</f>
        <v>0.56072592650239983</v>
      </c>
    </row>
    <row r="196" spans="1:36" x14ac:dyDescent="0.2">
      <c r="A196" s="67">
        <v>65</v>
      </c>
      <c r="B196" s="66">
        <f t="shared" si="56"/>
        <v>1.1344640137963142</v>
      </c>
      <c r="C196" s="64">
        <f t="shared" si="57"/>
        <v>56.281575979239356</v>
      </c>
      <c r="D196" s="64">
        <f t="shared" si="58"/>
        <v>33.718424020760644</v>
      </c>
      <c r="E196" s="65">
        <f t="shared" si="75"/>
        <v>88.405870449037721</v>
      </c>
      <c r="F196" s="64">
        <f t="shared" si="59"/>
        <v>64.690754475354595</v>
      </c>
      <c r="G196" s="64">
        <f t="shared" si="60"/>
        <v>25.309245524645405</v>
      </c>
      <c r="H196" s="65">
        <f t="shared" si="76"/>
        <v>78.997568772644726</v>
      </c>
      <c r="I196" s="64">
        <f t="shared" si="61"/>
        <v>73.617097203970701</v>
      </c>
      <c r="J196" s="64">
        <f t="shared" si="62"/>
        <v>16.382902796029299</v>
      </c>
      <c r="K196" s="65">
        <f t="shared" si="77"/>
        <v>70.849967269824333</v>
      </c>
      <c r="L196" s="64">
        <f t="shared" si="63"/>
        <v>82.828713422127208</v>
      </c>
      <c r="M196" s="64">
        <f t="shared" si="64"/>
        <v>7.1712865778727917</v>
      </c>
      <c r="N196" s="65">
        <f t="shared" si="78"/>
        <v>63.430629652012229</v>
      </c>
      <c r="O196" s="64">
        <f t="shared" si="65"/>
        <v>92.154412383726751</v>
      </c>
      <c r="P196" s="64">
        <f t="shared" si="66"/>
        <v>-2.1544123837267506</v>
      </c>
      <c r="Q196" s="65">
        <f t="shared" si="79"/>
        <v>56.309062942242022</v>
      </c>
      <c r="R196" s="64">
        <f t="shared" si="67"/>
        <v>83.670098727652459</v>
      </c>
      <c r="S196" s="59">
        <f t="shared" si="68"/>
        <v>6.3299012723475414</v>
      </c>
      <c r="T196" s="58">
        <f t="shared" si="80"/>
        <v>62.779927651837895</v>
      </c>
      <c r="U196" s="69"/>
    </row>
    <row r="197" spans="1:36" x14ac:dyDescent="0.2">
      <c r="A197" s="67">
        <v>66</v>
      </c>
      <c r="B197" s="66">
        <f t="shared" si="56"/>
        <v>1.1519173063162575</v>
      </c>
      <c r="C197" s="64">
        <f t="shared" si="57"/>
        <v>56.948820133717597</v>
      </c>
      <c r="D197" s="64">
        <f t="shared" si="58"/>
        <v>33.051179866282403</v>
      </c>
      <c r="E197" s="65">
        <f t="shared" si="75"/>
        <v>89.159920913821566</v>
      </c>
      <c r="F197" s="64">
        <f t="shared" si="59"/>
        <v>65.34675751475055</v>
      </c>
      <c r="G197" s="64">
        <f t="shared" si="60"/>
        <v>24.65324248524945</v>
      </c>
      <c r="H197" s="65">
        <f t="shared" si="76"/>
        <v>79.7994844647571</v>
      </c>
      <c r="I197" s="64">
        <f t="shared" si="61"/>
        <v>74.249086220663898</v>
      </c>
      <c r="J197" s="64">
        <f t="shared" si="62"/>
        <v>15.750913779336102</v>
      </c>
      <c r="K197" s="65">
        <f t="shared" si="77"/>
        <v>71.656451980332676</v>
      </c>
      <c r="L197" s="64">
        <f t="shared" si="63"/>
        <v>83.427646820063813</v>
      </c>
      <c r="M197" s="64">
        <f t="shared" si="64"/>
        <v>6.5723531799361865</v>
      </c>
      <c r="N197" s="65">
        <f t="shared" si="78"/>
        <v>64.210822895959964</v>
      </c>
      <c r="O197" s="64">
        <f t="shared" si="65"/>
        <v>92.712058991666296</v>
      </c>
      <c r="P197" s="64">
        <f t="shared" si="66"/>
        <v>-2.7120589916662965</v>
      </c>
      <c r="Q197" s="65">
        <f t="shared" si="79"/>
        <v>57.038189965207309</v>
      </c>
      <c r="R197" s="64">
        <f t="shared" si="67"/>
        <v>84.265640075142798</v>
      </c>
      <c r="S197" s="59">
        <f t="shared" si="68"/>
        <v>5.7343599248572019</v>
      </c>
      <c r="T197" s="58">
        <f t="shared" si="80"/>
        <v>63.556469199595462</v>
      </c>
      <c r="U197" s="69"/>
    </row>
    <row r="198" spans="1:36" x14ac:dyDescent="0.2">
      <c r="A198" s="67">
        <v>67</v>
      </c>
      <c r="B198" s="66">
        <f t="shared" si="56"/>
        <v>1.1693705988362009</v>
      </c>
      <c r="C198" s="64">
        <f t="shared" si="57"/>
        <v>57.616192784240013</v>
      </c>
      <c r="D198" s="64">
        <f t="shared" si="58"/>
        <v>32.383807215759987</v>
      </c>
      <c r="E198" s="65">
        <f t="shared" si="75"/>
        <v>89.908116250291968</v>
      </c>
      <c r="F198" s="64">
        <f t="shared" si="59"/>
        <v>66.00440890901308</v>
      </c>
      <c r="G198" s="64">
        <f t="shared" si="60"/>
        <v>23.99559109098692</v>
      </c>
      <c r="H198" s="65">
        <f t="shared" si="76"/>
        <v>80.595555551285344</v>
      </c>
      <c r="I198" s="64">
        <f t="shared" si="61"/>
        <v>74.884022608465727</v>
      </c>
      <c r="J198" s="64">
        <f t="shared" si="62"/>
        <v>15.115977391534273</v>
      </c>
      <c r="K198" s="65">
        <f t="shared" si="77"/>
        <v>72.457922551882035</v>
      </c>
      <c r="L198" s="64">
        <f t="shared" si="63"/>
        <v>84.030523840088946</v>
      </c>
      <c r="M198" s="64">
        <f t="shared" si="64"/>
        <v>5.9694761599110535</v>
      </c>
      <c r="N198" s="65">
        <f t="shared" si="78"/>
        <v>64.986990199749286</v>
      </c>
      <c r="O198" s="64">
        <f t="shared" si="65"/>
        <v>93.274316304162483</v>
      </c>
      <c r="P198" s="64">
        <f t="shared" si="66"/>
        <v>-3.2743163041624825</v>
      </c>
      <c r="Q198" s="65">
        <f t="shared" si="79"/>
        <v>57.76409716796195</v>
      </c>
      <c r="R198" s="64">
        <f t="shared" si="67"/>
        <v>84.865199268199319</v>
      </c>
      <c r="S198" s="59">
        <f t="shared" si="68"/>
        <v>5.1348007318006808</v>
      </c>
      <c r="T198" s="58">
        <f t="shared" si="80"/>
        <v>64.329068723477107</v>
      </c>
      <c r="U198" s="69"/>
    </row>
    <row r="199" spans="1:36" x14ac:dyDescent="0.2">
      <c r="A199" s="67">
        <v>68</v>
      </c>
      <c r="B199" s="66">
        <f t="shared" si="56"/>
        <v>1.1868238913561442</v>
      </c>
      <c r="C199" s="64">
        <f t="shared" si="57"/>
        <v>58.283579568120388</v>
      </c>
      <c r="D199" s="64">
        <f t="shared" si="58"/>
        <v>31.716420431879612</v>
      </c>
      <c r="E199" s="65">
        <f t="shared" si="75"/>
        <v>90.650786621914904</v>
      </c>
      <c r="F199" s="64">
        <f t="shared" si="59"/>
        <v>66.6635703775097</v>
      </c>
      <c r="G199" s="64">
        <f t="shared" si="60"/>
        <v>23.3364296224903</v>
      </c>
      <c r="H199" s="65">
        <f t="shared" si="76"/>
        <v>81.38606686811616</v>
      </c>
      <c r="I199" s="64">
        <f t="shared" si="61"/>
        <v>75.521764518175644</v>
      </c>
      <c r="J199" s="64">
        <f t="shared" si="62"/>
        <v>14.478235481824356</v>
      </c>
      <c r="K199" s="65">
        <f t="shared" si="77"/>
        <v>73.254598627206462</v>
      </c>
      <c r="L199" s="64">
        <f t="shared" si="63"/>
        <v>84.637214124392386</v>
      </c>
      <c r="M199" s="64">
        <f t="shared" si="64"/>
        <v>5.3627858756076137</v>
      </c>
      <c r="N199" s="65">
        <f t="shared" si="78"/>
        <v>65.759291729498671</v>
      </c>
      <c r="O199" s="64">
        <f t="shared" si="65"/>
        <v>93.841074202913092</v>
      </c>
      <c r="P199" s="64">
        <f t="shared" si="66"/>
        <v>-3.8410742029130915</v>
      </c>
      <c r="Q199" s="65">
        <f t="shared" si="79"/>
        <v>58.486893834442228</v>
      </c>
      <c r="R199" s="64">
        <f t="shared" si="67"/>
        <v>85.468647509990475</v>
      </c>
      <c r="S199" s="59">
        <f t="shared" si="68"/>
        <v>4.5313524900095246</v>
      </c>
      <c r="T199" s="58">
        <f t="shared" si="80"/>
        <v>65.097881478755269</v>
      </c>
      <c r="U199" s="69"/>
    </row>
    <row r="200" spans="1:36" x14ac:dyDescent="0.2">
      <c r="A200" s="67">
        <v>69</v>
      </c>
      <c r="B200" s="66">
        <f t="shared" si="56"/>
        <v>1.2042771838760873</v>
      </c>
      <c r="C200" s="64">
        <f t="shared" si="57"/>
        <v>58.950868639413784</v>
      </c>
      <c r="D200" s="64">
        <f t="shared" si="58"/>
        <v>31.049131360586216</v>
      </c>
      <c r="E200" s="65">
        <f t="shared" si="75"/>
        <v>91.388251296135195</v>
      </c>
      <c r="F200" s="64">
        <f t="shared" si="59"/>
        <v>67.324106541380644</v>
      </c>
      <c r="G200" s="64">
        <f t="shared" si="60"/>
        <v>22.675893458619356</v>
      </c>
      <c r="H200" s="65">
        <f t="shared" si="76"/>
        <v>82.171297803826761</v>
      </c>
      <c r="I200" s="64">
        <f t="shared" si="61"/>
        <v>76.162172552159078</v>
      </c>
      <c r="J200" s="64">
        <f t="shared" si="62"/>
        <v>13.837827447840922</v>
      </c>
      <c r="K200" s="65">
        <f t="shared" si="77"/>
        <v>74.046698839224533</v>
      </c>
      <c r="L200" s="64">
        <f t="shared" si="63"/>
        <v>85.247589065463032</v>
      </c>
      <c r="M200" s="64">
        <f t="shared" si="64"/>
        <v>4.7524109345369681</v>
      </c>
      <c r="N200" s="65">
        <f t="shared" si="78"/>
        <v>66.527889204581868</v>
      </c>
      <c r="O200" s="64">
        <f t="shared" si="65"/>
        <v>94.412223699284027</v>
      </c>
      <c r="P200" s="64">
        <f t="shared" si="66"/>
        <v>-4.4122236992840271</v>
      </c>
      <c r="Q200" s="65">
        <f t="shared" si="79"/>
        <v>59.206691807189287</v>
      </c>
      <c r="R200" s="64">
        <f t="shared" si="67"/>
        <v>86.075857691703391</v>
      </c>
      <c r="S200" s="59">
        <f t="shared" si="68"/>
        <v>3.9241423082966094</v>
      </c>
      <c r="T200" s="58">
        <f t="shared" si="80"/>
        <v>65.863064422662077</v>
      </c>
      <c r="U200" s="69"/>
    </row>
    <row r="201" spans="1:36" x14ac:dyDescent="0.2">
      <c r="A201" s="67">
        <v>70</v>
      </c>
      <c r="B201" s="66">
        <f t="shared" si="56"/>
        <v>1.2217304763960306</v>
      </c>
      <c r="C201" s="64">
        <f t="shared" si="57"/>
        <v>59.617950477600466</v>
      </c>
      <c r="D201" s="64">
        <f t="shared" si="58"/>
        <v>30.382049522399534</v>
      </c>
      <c r="E201" s="65">
        <f t="shared" si="75"/>
        <v>92.120819158818591</v>
      </c>
      <c r="F201" s="64">
        <f t="shared" si="59"/>
        <v>67.985884753815284</v>
      </c>
      <c r="G201" s="64">
        <f t="shared" si="60"/>
        <v>22.014115246184716</v>
      </c>
      <c r="H201" s="65">
        <f t="shared" si="76"/>
        <v>82.951522436682453</v>
      </c>
      <c r="I201" s="64">
        <f t="shared" si="61"/>
        <v>76.805109655191117</v>
      </c>
      <c r="J201" s="64">
        <f t="shared" si="62"/>
        <v>13.194890344808883</v>
      </c>
      <c r="K201" s="65">
        <f t="shared" si="77"/>
        <v>74.834440770875574</v>
      </c>
      <c r="L201" s="64">
        <f t="shared" si="63"/>
        <v>85.861521753265635</v>
      </c>
      <c r="M201" s="64">
        <f t="shared" si="64"/>
        <v>4.1384782467343655</v>
      </c>
      <c r="N201" s="65">
        <f t="shared" si="78"/>
        <v>67.292945828812606</v>
      </c>
      <c r="O201" s="64">
        <f t="shared" si="65"/>
        <v>94.987656921565744</v>
      </c>
      <c r="P201" s="64">
        <f t="shared" si="66"/>
        <v>-4.987656921565744</v>
      </c>
      <c r="Q201" s="65">
        <f t="shared" si="79"/>
        <v>59.923605446399364</v>
      </c>
      <c r="R201" s="64">
        <f t="shared" si="67"/>
        <v>86.686704344046987</v>
      </c>
      <c r="S201" s="59">
        <f t="shared" si="68"/>
        <v>3.3132956559530129</v>
      </c>
      <c r="T201" s="58">
        <f t="shared" si="80"/>
        <v>66.624776146929065</v>
      </c>
      <c r="U201" s="69"/>
    </row>
    <row r="202" spans="1:36" x14ac:dyDescent="0.2">
      <c r="A202" s="67">
        <v>71</v>
      </c>
      <c r="B202" s="66">
        <f t="shared" ref="B202:B251" si="81">RADIANS(A202)</f>
        <v>1.2391837689159739</v>
      </c>
      <c r="C202" s="64">
        <f t="shared" ref="C202:C251" si="82">DEGREES(ACOS(SIN(C$5)*SIN($C$6)+COS(C$5)*COS($C$6)*COS($B202)))</f>
        <v>60.284717706113049</v>
      </c>
      <c r="D202" s="64">
        <f t="shared" ref="D202:D251" si="83">90-C202</f>
        <v>29.715282293886951</v>
      </c>
      <c r="E202" s="65">
        <f t="shared" si="75"/>
        <v>92.848789206452508</v>
      </c>
      <c r="F202" s="64">
        <f t="shared" ref="F202:F251" si="84">DEGREES(ACOS(SIN(G$5)*SIN($C$6)+COS(G$5)*COS($C$6)*COS($B202)))</f>
        <v>68.648774935092007</v>
      </c>
      <c r="G202" s="64">
        <f t="shared" ref="G202:G251" si="85">90-F202</f>
        <v>21.351225064907993</v>
      </c>
      <c r="H202" s="65">
        <f t="shared" si="76"/>
        <v>83.727009677923803</v>
      </c>
      <c r="I202" s="64">
        <f t="shared" ref="I202:I251" si="86">DEGREES(ACOS(SIN(J$5)*SIN($C$6)+COS(J$5)*COS($C$6)*COS($B202)))</f>
        <v>77.450441005014241</v>
      </c>
      <c r="J202" s="64">
        <f t="shared" ref="J202:J251" si="87">90-I202</f>
        <v>12.549558994985759</v>
      </c>
      <c r="K202" s="65">
        <f t="shared" si="77"/>
        <v>75.618040928058136</v>
      </c>
      <c r="L202" s="64">
        <f t="shared" ref="L202:L251" si="88">DEGREES(ACOS(SIN(M$5)*SIN($C$6)+COS(M$5)*COS($C$6)*COS($B202)))</f>
        <v>86.478886919695711</v>
      </c>
      <c r="M202" s="64">
        <f t="shared" ref="M202:M251" si="89">90-L202</f>
        <v>3.5211130803042892</v>
      </c>
      <c r="N202" s="65">
        <f t="shared" si="78"/>
        <v>68.05462623258309</v>
      </c>
      <c r="O202" s="64">
        <f t="shared" ref="O202:O251" si="90">DEGREES(ACOS(SIN(P$5)*SIN($C$6)+COS(P$5)*COS($C$6)*COS($B202)))</f>
        <v>95.567267099260533</v>
      </c>
      <c r="P202" s="64">
        <f t="shared" ref="P202:P251" si="91">90-O202</f>
        <v>-5.5672670992605333</v>
      </c>
      <c r="Q202" s="65">
        <f t="shared" si="79"/>
        <v>60.637751596527181</v>
      </c>
      <c r="R202" s="64">
        <f t="shared" ref="R202:R251" si="92">DEGREES(ACOS(SIN(S$5)*SIN($C$6)+COS(S$5)*COS($C$6)*COS($B202)))</f>
        <v>87.301063585936035</v>
      </c>
      <c r="S202" s="59">
        <f t="shared" ref="S202:S251" si="93">90-R202</f>
        <v>2.6989364140639651</v>
      </c>
      <c r="T202" s="58">
        <f t="shared" si="80"/>
        <v>67.383176820970107</v>
      </c>
      <c r="U202" s="69"/>
    </row>
    <row r="203" spans="1:36" x14ac:dyDescent="0.2">
      <c r="A203" s="67">
        <v>72</v>
      </c>
      <c r="B203" s="66">
        <f t="shared" si="81"/>
        <v>1.2566370614359172</v>
      </c>
      <c r="C203" s="64">
        <f t="shared" si="82"/>
        <v>60.951064920098382</v>
      </c>
      <c r="D203" s="64">
        <f t="shared" si="83"/>
        <v>29.048935079901618</v>
      </c>
      <c r="E203" s="65">
        <f t="shared" si="75"/>
        <v>93.572451016582576</v>
      </c>
      <c r="F203" s="64">
        <f t="shared" si="84"/>
        <v>69.312649412281658</v>
      </c>
      <c r="G203" s="64">
        <f t="shared" si="85"/>
        <v>20.687350587718342</v>
      </c>
      <c r="H203" s="65">
        <f t="shared" si="76"/>
        <v>84.498023420007911</v>
      </c>
      <c r="I203" s="64">
        <f t="shared" si="86"/>
        <v>78.098033902778184</v>
      </c>
      <c r="J203" s="64">
        <f t="shared" si="87"/>
        <v>11.901966097221816</v>
      </c>
      <c r="K203" s="65">
        <f t="shared" si="77"/>
        <v>76.397714724647074</v>
      </c>
      <c r="L203" s="64">
        <f t="shared" si="88"/>
        <v>87.099560880491865</v>
      </c>
      <c r="M203" s="64">
        <f t="shared" si="89"/>
        <v>2.9004391195081354</v>
      </c>
      <c r="N203" s="65">
        <f t="shared" si="78"/>
        <v>68.813096425592349</v>
      </c>
      <c r="O203" s="64">
        <f t="shared" si="90"/>
        <v>96.150948544506946</v>
      </c>
      <c r="P203" s="64">
        <f t="shared" si="91"/>
        <v>-6.1509485445069458</v>
      </c>
      <c r="Q203" s="65">
        <f t="shared" si="79"/>
        <v>61.349249560503196</v>
      </c>
      <c r="R203" s="64">
        <f t="shared" si="92"/>
        <v>87.918813070529723</v>
      </c>
      <c r="S203" s="59">
        <f t="shared" si="93"/>
        <v>2.0811869294702774</v>
      </c>
      <c r="T203" s="58">
        <f t="shared" si="80"/>
        <v>68.138428145392453</v>
      </c>
      <c r="U203" s="69"/>
    </row>
    <row r="204" spans="1:36" x14ac:dyDescent="0.2">
      <c r="A204" s="67">
        <v>73</v>
      </c>
      <c r="B204" s="66">
        <f t="shared" si="81"/>
        <v>1.2740903539558606</v>
      </c>
      <c r="C204" s="64">
        <f t="shared" si="82"/>
        <v>61.616888522841656</v>
      </c>
      <c r="D204" s="64">
        <f t="shared" si="83"/>
        <v>28.383111477158344</v>
      </c>
      <c r="E204" s="65">
        <f t="shared" si="75"/>
        <v>94.292085197021947</v>
      </c>
      <c r="F204" s="64">
        <f t="shared" si="84"/>
        <v>69.977382763499577</v>
      </c>
      <c r="G204" s="64">
        <f t="shared" si="85"/>
        <v>20.022617236500423</v>
      </c>
      <c r="H204" s="65">
        <f t="shared" si="76"/>
        <v>85.264822688609456</v>
      </c>
      <c r="I204" s="64">
        <f t="shared" si="86"/>
        <v>78.747757663503378</v>
      </c>
      <c r="J204" s="64">
        <f t="shared" si="87"/>
        <v>11.252242336496622</v>
      </c>
      <c r="K204" s="65">
        <f t="shared" si="77"/>
        <v>77.173676478622781</v>
      </c>
      <c r="L204" s="64">
        <f t="shared" si="88"/>
        <v>87.723421474767719</v>
      </c>
      <c r="M204" s="64">
        <f t="shared" si="89"/>
        <v>2.2765785252322814</v>
      </c>
      <c r="N204" s="65">
        <f t="shared" si="78"/>
        <v>69.568523759805387</v>
      </c>
      <c r="O204" s="64">
        <f t="shared" si="90"/>
        <v>96.738596630739465</v>
      </c>
      <c r="P204" s="64">
        <f t="shared" si="91"/>
        <v>-6.7385966307394654</v>
      </c>
      <c r="Q204" s="65">
        <f t="shared" si="79"/>
        <v>62.058221081621042</v>
      </c>
      <c r="R204" s="64">
        <f t="shared" si="92"/>
        <v>88.539831928782505</v>
      </c>
      <c r="S204" s="59">
        <f t="shared" si="93"/>
        <v>1.4601680712174954</v>
      </c>
      <c r="T204" s="58">
        <f t="shared" si="80"/>
        <v>68.890693315525937</v>
      </c>
      <c r="U204" s="68"/>
    </row>
    <row r="205" spans="1:36" x14ac:dyDescent="0.2">
      <c r="A205" s="67">
        <v>74</v>
      </c>
      <c r="B205" s="66">
        <f t="shared" si="81"/>
        <v>1.2915436464758039</v>
      </c>
      <c r="C205" s="64">
        <f t="shared" si="82"/>
        <v>62.282086570315229</v>
      </c>
      <c r="D205" s="64">
        <f t="shared" si="83"/>
        <v>27.717913429684771</v>
      </c>
      <c r="E205" s="65">
        <f t="shared" si="75"/>
        <v>95.007963814414651</v>
      </c>
      <c r="F205" s="64">
        <f t="shared" si="84"/>
        <v>70.642851666580782</v>
      </c>
      <c r="G205" s="64">
        <f t="shared" si="85"/>
        <v>19.357148333419218</v>
      </c>
      <c r="H205" s="65">
        <f t="shared" si="76"/>
        <v>86.027661797317009</v>
      </c>
      <c r="I205" s="64">
        <f t="shared" si="86"/>
        <v>79.399483506687318</v>
      </c>
      <c r="J205" s="64">
        <f t="shared" si="87"/>
        <v>10.600516493312682</v>
      </c>
      <c r="K205" s="65">
        <f t="shared" si="77"/>
        <v>77.946139418403334</v>
      </c>
      <c r="L205" s="64">
        <f t="shared" si="88"/>
        <v>88.350348002309062</v>
      </c>
      <c r="M205" s="64">
        <f t="shared" si="89"/>
        <v>1.6496519976909383</v>
      </c>
      <c r="N205" s="65">
        <f t="shared" si="78"/>
        <v>70.321076902291765</v>
      </c>
      <c r="O205" s="64">
        <f t="shared" si="90"/>
        <v>97.330107768673884</v>
      </c>
      <c r="P205" s="64">
        <f t="shared" si="91"/>
        <v>-7.3301077686738836</v>
      </c>
      <c r="Q205" s="65">
        <f t="shared" si="79"/>
        <v>62.764790333151971</v>
      </c>
      <c r="R205" s="64">
        <f t="shared" si="92"/>
        <v>89.164000710649489</v>
      </c>
      <c r="S205" s="59">
        <f t="shared" si="93"/>
        <v>0.83599928935051082</v>
      </c>
      <c r="T205" s="58">
        <f t="shared" si="80"/>
        <v>69.640136994664843</v>
      </c>
      <c r="U205" s="66"/>
    </row>
    <row r="206" spans="1:36" s="54" customFormat="1" x14ac:dyDescent="0.2">
      <c r="A206" s="63">
        <v>75</v>
      </c>
      <c r="B206" s="62">
        <f t="shared" si="81"/>
        <v>1.3089969389957472</v>
      </c>
      <c r="C206" s="60">
        <f t="shared" si="82"/>
        <v>62.946558623347684</v>
      </c>
      <c r="D206" s="60">
        <f t="shared" si="83"/>
        <v>27.053441376652316</v>
      </c>
      <c r="E206" s="61">
        <f t="shared" si="75"/>
        <v>95.720350802764088</v>
      </c>
      <c r="F206" s="60">
        <f t="shared" si="84"/>
        <v>71.308934752043271</v>
      </c>
      <c r="G206" s="60">
        <f t="shared" si="85"/>
        <v>18.691065247956729</v>
      </c>
      <c r="H206" s="61">
        <f t="shared" si="76"/>
        <v>86.786790504074872</v>
      </c>
      <c r="I206" s="60">
        <f t="shared" si="86"/>
        <v>80.053084447151008</v>
      </c>
      <c r="J206" s="60">
        <f t="shared" si="87"/>
        <v>9.9469155528489921</v>
      </c>
      <c r="K206" s="61">
        <f t="shared" si="77"/>
        <v>78.715315698523483</v>
      </c>
      <c r="L206" s="60">
        <f t="shared" si="88"/>
        <v>88.980221158765943</v>
      </c>
      <c r="M206" s="60">
        <f t="shared" si="89"/>
        <v>1.0197788412340572</v>
      </c>
      <c r="N206" s="61">
        <f t="shared" si="78"/>
        <v>71.070925817602188</v>
      </c>
      <c r="O206" s="60">
        <f t="shared" si="90"/>
        <v>97.925379379700729</v>
      </c>
      <c r="P206" s="60">
        <f t="shared" si="91"/>
        <v>-7.925379379700729</v>
      </c>
      <c r="Q206" s="61">
        <f t="shared" si="79"/>
        <v>63.469083915743454</v>
      </c>
      <c r="R206" s="60">
        <f t="shared" si="92"/>
        <v>89.791201324072901</v>
      </c>
      <c r="S206" s="59">
        <f t="shared" si="93"/>
        <v>0.208798675927099</v>
      </c>
      <c r="T206" s="58">
        <f t="shared" si="80"/>
        <v>70.386925296725224</v>
      </c>
      <c r="U206" s="62"/>
      <c r="V206" s="56">
        <f>E206</f>
        <v>95.720350802764088</v>
      </c>
      <c r="W206" s="55"/>
      <c r="AJ206" s="55">
        <f>D206</f>
        <v>27.053441376652316</v>
      </c>
    </row>
    <row r="207" spans="1:36" x14ac:dyDescent="0.2">
      <c r="A207" s="67">
        <v>76</v>
      </c>
      <c r="B207" s="66">
        <f t="shared" si="81"/>
        <v>1.3264502315156905</v>
      </c>
      <c r="C207" s="64">
        <f t="shared" si="82"/>
        <v>63.610205606940653</v>
      </c>
      <c r="D207" s="64">
        <f t="shared" si="83"/>
        <v>26.389794393059347</v>
      </c>
      <c r="E207" s="65">
        <f t="shared" si="75"/>
        <v>96.429502352557151</v>
      </c>
      <c r="F207" s="64">
        <f t="shared" si="84"/>
        <v>71.97551246019853</v>
      </c>
      <c r="G207" s="64">
        <f t="shared" si="85"/>
        <v>18.02448753980147</v>
      </c>
      <c r="H207" s="65">
        <f t="shared" si="76"/>
        <v>87.542454168525936</v>
      </c>
      <c r="I207" s="64">
        <f t="shared" si="86"/>
        <v>80.708435186203857</v>
      </c>
      <c r="J207" s="64">
        <f t="shared" si="87"/>
        <v>9.2915648137961426</v>
      </c>
      <c r="K207" s="65">
        <f t="shared" si="77"/>
        <v>79.48141642385724</v>
      </c>
      <c r="L207" s="64">
        <f t="shared" si="88"/>
        <v>89.612922968854036</v>
      </c>
      <c r="M207" s="64">
        <f t="shared" si="89"/>
        <v>0.3870770311459637</v>
      </c>
      <c r="N207" s="65">
        <f t="shared" si="78"/>
        <v>71.818241759351466</v>
      </c>
      <c r="O207" s="64">
        <f t="shared" si="90"/>
        <v>98.524309866760518</v>
      </c>
      <c r="P207" s="64">
        <f t="shared" si="91"/>
        <v>-8.5243098667605182</v>
      </c>
      <c r="Q207" s="65">
        <f t="shared" si="79"/>
        <v>64.171230862662227</v>
      </c>
      <c r="R207" s="64">
        <f t="shared" si="92"/>
        <v>90.421316971862055</v>
      </c>
      <c r="S207" s="59">
        <f t="shared" si="93"/>
        <v>-0.42131697186205486</v>
      </c>
      <c r="T207" s="58">
        <f t="shared" si="80"/>
        <v>71.131225778028366</v>
      </c>
      <c r="U207" s="66"/>
      <c r="V207" s="53">
        <f>H206</f>
        <v>86.786790504074872</v>
      </c>
      <c r="AJ207" s="50">
        <f>G206</f>
        <v>18.691065247956729</v>
      </c>
    </row>
    <row r="208" spans="1:36" x14ac:dyDescent="0.2">
      <c r="A208" s="67">
        <v>77</v>
      </c>
      <c r="B208" s="66">
        <f t="shared" si="81"/>
        <v>1.3439035240356338</v>
      </c>
      <c r="C208" s="64">
        <f t="shared" si="82"/>
        <v>64.272929676291398</v>
      </c>
      <c r="D208" s="64">
        <f t="shared" si="83"/>
        <v>25.727070323708602</v>
      </c>
      <c r="E208" s="65">
        <f t="shared" si="75"/>
        <v>97.135667281124384</v>
      </c>
      <c r="F208" s="64">
        <f t="shared" si="84"/>
        <v>72.642466902263095</v>
      </c>
      <c r="G208" s="64">
        <f t="shared" si="85"/>
        <v>17.357533097736905</v>
      </c>
      <c r="H208" s="65">
        <f t="shared" si="76"/>
        <v>88.294893909503884</v>
      </c>
      <c r="I208" s="64">
        <f t="shared" si="86"/>
        <v>81.365412003187515</v>
      </c>
      <c r="J208" s="64">
        <f t="shared" si="87"/>
        <v>8.6345879968124848</v>
      </c>
      <c r="K208" s="65">
        <f t="shared" si="77"/>
        <v>80.244651681628554</v>
      </c>
      <c r="L208" s="64">
        <f t="shared" si="88"/>
        <v>90.248336717664642</v>
      </c>
      <c r="M208" s="64">
        <f t="shared" si="89"/>
        <v>-0.24833671766464249</v>
      </c>
      <c r="N208" s="65">
        <f t="shared" si="78"/>
        <v>72.563197270687851</v>
      </c>
      <c r="O208" s="64">
        <f t="shared" si="90"/>
        <v>99.126798582766199</v>
      </c>
      <c r="P208" s="64">
        <f t="shared" si="91"/>
        <v>-9.1267985827661988</v>
      </c>
      <c r="Q208" s="65">
        <f t="shared" si="79"/>
        <v>64.871362652946061</v>
      </c>
      <c r="R208" s="64">
        <f t="shared" si="92"/>
        <v>91.054232086564085</v>
      </c>
      <c r="S208" s="59">
        <f t="shared" si="93"/>
        <v>-1.0542320865640846</v>
      </c>
      <c r="T208" s="58">
        <f t="shared" si="80"/>
        <v>71.873207437930844</v>
      </c>
      <c r="U208" s="66"/>
      <c r="V208" s="53">
        <f>K206</f>
        <v>78.715315698523483</v>
      </c>
      <c r="AJ208" s="50">
        <f>J206</f>
        <v>9.9469155528489921</v>
      </c>
    </row>
    <row r="209" spans="1:37" x14ac:dyDescent="0.2">
      <c r="A209" s="67">
        <v>78</v>
      </c>
      <c r="B209" s="66">
        <f t="shared" si="81"/>
        <v>1.3613568165555769</v>
      </c>
      <c r="C209" s="64">
        <f t="shared" si="82"/>
        <v>64.934634089108172</v>
      </c>
      <c r="D209" s="64">
        <f t="shared" si="83"/>
        <v>25.065365910891828</v>
      </c>
      <c r="E209" s="65">
        <f t="shared" si="75"/>
        <v>97.839087384877885</v>
      </c>
      <c r="F209" s="64">
        <f t="shared" si="84"/>
        <v>73.309681725322477</v>
      </c>
      <c r="G209" s="64">
        <f t="shared" si="85"/>
        <v>16.690318274677523</v>
      </c>
      <c r="H209" s="65">
        <f t="shared" si="76"/>
        <v>89.044346762006882</v>
      </c>
      <c r="I209" s="64">
        <f t="shared" si="86"/>
        <v>82.023892647442707</v>
      </c>
      <c r="J209" s="64">
        <f t="shared" si="87"/>
        <v>7.9761073525572925</v>
      </c>
      <c r="K209" s="65">
        <f t="shared" si="77"/>
        <v>81.005230580501447</v>
      </c>
      <c r="L209" s="64">
        <f t="shared" si="88"/>
        <v>90.886346880168048</v>
      </c>
      <c r="M209" s="64">
        <f t="shared" si="89"/>
        <v>-0.8863468801680483</v>
      </c>
      <c r="N209" s="65">
        <f t="shared" si="78"/>
        <v>73.305966193340367</v>
      </c>
      <c r="O209" s="64">
        <f t="shared" si="90"/>
        <v>99.732745796629189</v>
      </c>
      <c r="P209" s="64">
        <f t="shared" si="91"/>
        <v>-9.7327457966291888</v>
      </c>
      <c r="Q209" s="65">
        <f t="shared" si="79"/>
        <v>65.569613232534905</v>
      </c>
      <c r="R209" s="64">
        <f t="shared" si="92"/>
        <v>91.689832263409514</v>
      </c>
      <c r="S209" s="59">
        <f t="shared" si="93"/>
        <v>-1.6898322634095138</v>
      </c>
      <c r="T209" s="58">
        <f t="shared" si="80"/>
        <v>72.613040728032061</v>
      </c>
      <c r="U209" s="66"/>
      <c r="V209" s="53">
        <f>N206</f>
        <v>71.070925817602188</v>
      </c>
      <c r="AJ209" s="50">
        <f>M206</f>
        <v>1.0197788412340572</v>
      </c>
    </row>
    <row r="210" spans="1:37" x14ac:dyDescent="0.2">
      <c r="A210" s="67">
        <v>79</v>
      </c>
      <c r="B210" s="66">
        <f t="shared" si="81"/>
        <v>1.3788101090755203</v>
      </c>
      <c r="C210" s="64">
        <f t="shared" si="82"/>
        <v>65.595223083832792</v>
      </c>
      <c r="D210" s="64">
        <f t="shared" si="83"/>
        <v>24.404776916167208</v>
      </c>
      <c r="E210" s="65">
        <f t="shared" si="75"/>
        <v>98.53999777406456</v>
      </c>
      <c r="F210" s="64">
        <f t="shared" si="84"/>
        <v>73.977041980997114</v>
      </c>
      <c r="G210" s="64">
        <f t="shared" si="85"/>
        <v>16.022958019002886</v>
      </c>
      <c r="H210" s="65">
        <f t="shared" si="76"/>
        <v>89.791045833059101</v>
      </c>
      <c r="I210" s="64">
        <f t="shared" si="86"/>
        <v>82.683756230729145</v>
      </c>
      <c r="J210" s="64">
        <f t="shared" si="87"/>
        <v>7.3162437692708551</v>
      </c>
      <c r="K210" s="65">
        <f t="shared" si="77"/>
        <v>81.763361296084156</v>
      </c>
      <c r="L210" s="64">
        <f t="shared" si="88"/>
        <v>91.526839048981671</v>
      </c>
      <c r="M210" s="64">
        <f t="shared" si="89"/>
        <v>-1.526839048981671</v>
      </c>
      <c r="N210" s="65">
        <f t="shared" si="78"/>
        <v>74.046723684948859</v>
      </c>
      <c r="O210" s="64">
        <f t="shared" si="90"/>
        <v>100.34205265693672</v>
      </c>
      <c r="P210" s="64">
        <f t="shared" si="91"/>
        <v>-10.342052656936715</v>
      </c>
      <c r="Q210" s="65">
        <f t="shared" si="79"/>
        <v>66.266119043459085</v>
      </c>
      <c r="R210" s="64">
        <f t="shared" si="92"/>
        <v>92.328004191402442</v>
      </c>
      <c r="S210" s="59">
        <f t="shared" si="93"/>
        <v>-2.3280041914024423</v>
      </c>
      <c r="T210" s="58">
        <f t="shared" si="80"/>
        <v>73.350897569700734</v>
      </c>
      <c r="U210" s="66"/>
      <c r="V210" s="53">
        <f>Q206</f>
        <v>63.469083915743454</v>
      </c>
      <c r="AJ210" s="50">
        <f>P206</f>
        <v>-7.925379379700729</v>
      </c>
    </row>
    <row r="211" spans="1:37" x14ac:dyDescent="0.2">
      <c r="A211" s="67">
        <v>80</v>
      </c>
      <c r="B211" s="66">
        <f t="shared" si="81"/>
        <v>1.3962634015954636</v>
      </c>
      <c r="C211" s="64">
        <f t="shared" si="82"/>
        <v>66.254601763411259</v>
      </c>
      <c r="D211" s="64">
        <f t="shared" si="83"/>
        <v>23.745398236588741</v>
      </c>
      <c r="E211" s="65">
        <f t="shared" si="75"/>
        <v>99.238627190662726</v>
      </c>
      <c r="F211" s="64">
        <f t="shared" si="84"/>
        <v>74.644433997659789</v>
      </c>
      <c r="G211" s="64">
        <f t="shared" si="85"/>
        <v>15.355566002340211</v>
      </c>
      <c r="H211" s="65">
        <f t="shared" si="76"/>
        <v>90.535220455932262</v>
      </c>
      <c r="I211" s="64">
        <f t="shared" si="86"/>
        <v>83.344883120115327</v>
      </c>
      <c r="J211" s="64">
        <f t="shared" si="87"/>
        <v>6.6551168798846732</v>
      </c>
      <c r="K211" s="65">
        <f t="shared" si="77"/>
        <v>82.519251122222386</v>
      </c>
      <c r="L211" s="64">
        <f t="shared" si="88"/>
        <v>92.169699860460014</v>
      </c>
      <c r="M211" s="64">
        <f t="shared" si="89"/>
        <v>-2.169699860460014</v>
      </c>
      <c r="N211" s="65">
        <f t="shared" si="78"/>
        <v>74.785646244392737</v>
      </c>
      <c r="O211" s="64">
        <f t="shared" si="90"/>
        <v>100.95462115331829</v>
      </c>
      <c r="P211" s="64">
        <f t="shared" si="91"/>
        <v>-10.954621153318286</v>
      </c>
      <c r="Q211" s="65">
        <f t="shared" si="79"/>
        <v>66.961019061170944</v>
      </c>
      <c r="R211" s="64">
        <f t="shared" si="92"/>
        <v>92.968635582612592</v>
      </c>
      <c r="S211" s="59">
        <f t="shared" si="93"/>
        <v>-2.9686355826125919</v>
      </c>
      <c r="T211" s="58">
        <f t="shared" si="80"/>
        <v>74.086951379673877</v>
      </c>
      <c r="U211" s="66"/>
    </row>
    <row r="212" spans="1:37" x14ac:dyDescent="0.2">
      <c r="A212" s="67">
        <v>81</v>
      </c>
      <c r="B212" s="66">
        <f t="shared" si="81"/>
        <v>1.4137166941154069</v>
      </c>
      <c r="C212" s="64">
        <f t="shared" si="82"/>
        <v>66.912675984278195</v>
      </c>
      <c r="D212" s="64">
        <f t="shared" si="83"/>
        <v>23.087324015721805</v>
      </c>
      <c r="E212" s="65">
        <f t="shared" si="75"/>
        <v>99.9351983100361</v>
      </c>
      <c r="F212" s="64">
        <f t="shared" si="84"/>
        <v>75.31174525605519</v>
      </c>
      <c r="G212" s="64">
        <f t="shared" si="85"/>
        <v>14.68825474394481</v>
      </c>
      <c r="H212" s="65">
        <f t="shared" si="76"/>
        <v>91.277096342258275</v>
      </c>
      <c r="I212" s="64">
        <f t="shared" si="86"/>
        <v>84.007154831342746</v>
      </c>
      <c r="J212" s="64">
        <f t="shared" si="87"/>
        <v>5.9928451686572544</v>
      </c>
      <c r="K212" s="65">
        <f t="shared" si="77"/>
        <v>83.273106527493624</v>
      </c>
      <c r="L212" s="64">
        <f t="shared" si="88"/>
        <v>92.814816919151596</v>
      </c>
      <c r="M212" s="64">
        <f t="shared" si="89"/>
        <v>-2.8148169191515962</v>
      </c>
      <c r="N212" s="65">
        <f t="shared" si="78"/>
        <v>75.522911744848656</v>
      </c>
      <c r="O212" s="64">
        <f t="shared" si="90"/>
        <v>101.57035407553076</v>
      </c>
      <c r="P212" s="64">
        <f t="shared" si="91"/>
        <v>-11.570354075530759</v>
      </c>
      <c r="Q212" s="65">
        <f t="shared" si="79"/>
        <v>67.654454840117111</v>
      </c>
      <c r="R212" s="64">
        <f t="shared" si="92"/>
        <v>93.611615099713376</v>
      </c>
      <c r="S212" s="59">
        <f t="shared" si="93"/>
        <v>-3.6116150997133758</v>
      </c>
      <c r="T212" s="58">
        <f t="shared" si="80"/>
        <v>74.821377103492125</v>
      </c>
      <c r="U212" s="66"/>
    </row>
    <row r="213" spans="1:37" x14ac:dyDescent="0.2">
      <c r="A213" s="67">
        <v>82</v>
      </c>
      <c r="B213" s="66">
        <f t="shared" si="81"/>
        <v>1.4311699866353502</v>
      </c>
      <c r="C213" s="64">
        <f t="shared" si="82"/>
        <v>67.569352250244194</v>
      </c>
      <c r="D213" s="64">
        <f t="shared" si="83"/>
        <v>22.430647749755806</v>
      </c>
      <c r="E213" s="65">
        <f t="shared" si="75"/>
        <v>100.62992802694137</v>
      </c>
      <c r="F213" s="64">
        <f t="shared" si="84"/>
        <v>75.978864268173893</v>
      </c>
      <c r="G213" s="64">
        <f t="shared" si="85"/>
        <v>14.021135731826107</v>
      </c>
      <c r="H213" s="65">
        <f t="shared" si="76"/>
        <v>92.016895731614028</v>
      </c>
      <c r="I213" s="64">
        <f t="shared" si="86"/>
        <v>84.670453922659391</v>
      </c>
      <c r="J213" s="64">
        <f t="shared" si="87"/>
        <v>5.3295460773406091</v>
      </c>
      <c r="K213" s="65">
        <f t="shared" si="77"/>
        <v>84.025133216349872</v>
      </c>
      <c r="L213" s="64">
        <f t="shared" si="88"/>
        <v>93.462078720654958</v>
      </c>
      <c r="M213" s="64">
        <f t="shared" si="89"/>
        <v>-3.4620787206549579</v>
      </c>
      <c r="N213" s="65">
        <f t="shared" si="78"/>
        <v>76.258699474318703</v>
      </c>
      <c r="O213" s="64">
        <f t="shared" si="90"/>
        <v>102.1891549702809</v>
      </c>
      <c r="P213" s="64">
        <f t="shared" si="91"/>
        <v>-12.189154970280896</v>
      </c>
      <c r="Q213" s="65">
        <f t="shared" si="79"/>
        <v>68.346570567659214</v>
      </c>
      <c r="R213" s="64">
        <f t="shared" si="92"/>
        <v>94.256832281797955</v>
      </c>
      <c r="S213" s="59">
        <f t="shared" si="93"/>
        <v>-4.2568322817979549</v>
      </c>
      <c r="T213" s="58">
        <f t="shared" si="80"/>
        <v>75.554351256547946</v>
      </c>
      <c r="U213" s="66"/>
    </row>
    <row r="214" spans="1:37" x14ac:dyDescent="0.2">
      <c r="A214" s="67">
        <v>83</v>
      </c>
      <c r="B214" s="66">
        <f t="shared" si="81"/>
        <v>1.4486232791552935</v>
      </c>
      <c r="C214" s="64">
        <f t="shared" si="82"/>
        <v>68.224537610998084</v>
      </c>
      <c r="D214" s="64">
        <f t="shared" si="83"/>
        <v>21.775462389001916</v>
      </c>
      <c r="E214" s="65">
        <f t="shared" si="75"/>
        <v>101.3230277264674</v>
      </c>
      <c r="F214" s="64">
        <f t="shared" si="84"/>
        <v>76.645680459236146</v>
      </c>
      <c r="G214" s="64">
        <f t="shared" si="85"/>
        <v>13.354319540763854</v>
      </c>
      <c r="H214" s="65">
        <f t="shared" si="76"/>
        <v>92.754837538205493</v>
      </c>
      <c r="I214" s="64">
        <f t="shared" si="86"/>
        <v>85.334663889107262</v>
      </c>
      <c r="J214" s="64">
        <f t="shared" si="87"/>
        <v>4.6653361108927385</v>
      </c>
      <c r="K214" s="65">
        <f t="shared" si="77"/>
        <v>84.775536194386973</v>
      </c>
      <c r="L214" s="64">
        <f t="shared" si="88"/>
        <v>94.111374572893723</v>
      </c>
      <c r="M214" s="64">
        <f t="shared" si="89"/>
        <v>-4.1113745728937232</v>
      </c>
      <c r="N214" s="65">
        <f t="shared" si="78"/>
        <v>76.993190183383007</v>
      </c>
      <c r="O214" s="64">
        <f t="shared" si="90"/>
        <v>102.81092809579545</v>
      </c>
      <c r="P214" s="64">
        <f t="shared" si="91"/>
        <v>-12.810928095795447</v>
      </c>
      <c r="Q214" s="65">
        <f t="shared" si="79"/>
        <v>69.037513126464617</v>
      </c>
      <c r="R214" s="64">
        <f t="shared" si="92"/>
        <v>94.904177468493373</v>
      </c>
      <c r="S214" s="59">
        <f t="shared" si="93"/>
        <v>-4.9041774684933728</v>
      </c>
      <c r="T214" s="58">
        <f t="shared" si="80"/>
        <v>76.286051972534068</v>
      </c>
      <c r="U214" s="66"/>
    </row>
    <row r="215" spans="1:37" x14ac:dyDescent="0.2">
      <c r="A215" s="67">
        <v>84</v>
      </c>
      <c r="B215" s="66">
        <f t="shared" si="81"/>
        <v>1.4660765716752369</v>
      </c>
      <c r="C215" s="64">
        <f t="shared" si="82"/>
        <v>68.878139564957124</v>
      </c>
      <c r="D215" s="64">
        <f t="shared" si="83"/>
        <v>21.121860435042876</v>
      </c>
      <c r="E215" s="65">
        <f t="shared" si="75"/>
        <v>102.01470354046018</v>
      </c>
      <c r="F215" s="64">
        <f t="shared" si="84"/>
        <v>77.312084052644394</v>
      </c>
      <c r="G215" s="64">
        <f t="shared" si="85"/>
        <v>12.687915947355606</v>
      </c>
      <c r="H215" s="65">
        <f t="shared" si="76"/>
        <v>93.491137494316348</v>
      </c>
      <c r="I215" s="64">
        <f t="shared" si="86"/>
        <v>85.999669057240723</v>
      </c>
      <c r="J215" s="64">
        <f t="shared" si="87"/>
        <v>4.0003309427592768</v>
      </c>
      <c r="K215" s="65">
        <f t="shared" si="77"/>
        <v>85.524519837247368</v>
      </c>
      <c r="L215" s="64">
        <f t="shared" si="88"/>
        <v>94.762594515820027</v>
      </c>
      <c r="M215" s="64">
        <f t="shared" si="89"/>
        <v>-4.7625945158200267</v>
      </c>
      <c r="N215" s="65">
        <f t="shared" si="78"/>
        <v>77.726566139943159</v>
      </c>
      <c r="O215" s="64">
        <f t="shared" si="90"/>
        <v>103.43557837413793</v>
      </c>
      <c r="P215" s="64">
        <f t="shared" si="91"/>
        <v>-13.435578374137933</v>
      </c>
      <c r="Q215" s="65">
        <f t="shared" si="79"/>
        <v>69.727432165501654</v>
      </c>
      <c r="R215" s="64">
        <f t="shared" si="92"/>
        <v>95.553541722381169</v>
      </c>
      <c r="S215" s="59">
        <f t="shared" si="93"/>
        <v>-5.5535417223811692</v>
      </c>
      <c r="T215" s="58">
        <f t="shared" si="80"/>
        <v>77.016659059090358</v>
      </c>
      <c r="U215" s="66"/>
    </row>
    <row r="216" spans="1:37" x14ac:dyDescent="0.2">
      <c r="A216" s="67">
        <v>85</v>
      </c>
      <c r="B216" s="66">
        <f t="shared" si="81"/>
        <v>1.4835298641951802</v>
      </c>
      <c r="C216" s="64">
        <f t="shared" si="82"/>
        <v>69.530065966218189</v>
      </c>
      <c r="D216" s="64">
        <f t="shared" si="83"/>
        <v>20.469934033781811</v>
      </c>
      <c r="E216" s="65">
        <f t="shared" si="75"/>
        <v>102.70515658996599</v>
      </c>
      <c r="F216" s="64">
        <f t="shared" si="84"/>
        <v>77.97796595776741</v>
      </c>
      <c r="G216" s="64">
        <f t="shared" si="85"/>
        <v>12.02203404223259</v>
      </c>
      <c r="H216" s="65">
        <f t="shared" si="76"/>
        <v>94.226008290219639</v>
      </c>
      <c r="I216" s="64">
        <f t="shared" si="86"/>
        <v>86.665354480245085</v>
      </c>
      <c r="J216" s="64">
        <f t="shared" si="87"/>
        <v>3.3346455197549147</v>
      </c>
      <c r="K216" s="65">
        <f t="shared" si="77"/>
        <v>86.272287962688651</v>
      </c>
      <c r="L216" s="64">
        <f t="shared" si="88"/>
        <v>95.415629239543151</v>
      </c>
      <c r="M216" s="64">
        <f t="shared" si="89"/>
        <v>-5.4156292395431507</v>
      </c>
      <c r="N216" s="65">
        <f t="shared" si="78"/>
        <v>78.459011190732312</v>
      </c>
      <c r="O216" s="64">
        <f t="shared" si="90"/>
        <v>104.06301134126203</v>
      </c>
      <c r="P216" s="64">
        <f t="shared" si="91"/>
        <v>-14.063011341262026</v>
      </c>
      <c r="Q216" s="65">
        <f t="shared" si="79"/>
        <v>70.416480179789829</v>
      </c>
      <c r="R216" s="64">
        <f t="shared" si="92"/>
        <v>96.204816749721886</v>
      </c>
      <c r="S216" s="59">
        <f t="shared" si="93"/>
        <v>-6.2048167497218856</v>
      </c>
      <c r="T216" s="58">
        <f t="shared" si="80"/>
        <v>77.746354060458529</v>
      </c>
      <c r="U216" s="66"/>
    </row>
    <row r="217" spans="1:37" x14ac:dyDescent="0.2">
      <c r="A217" s="67">
        <v>86</v>
      </c>
      <c r="B217" s="66">
        <f t="shared" si="81"/>
        <v>1.5009831567151235</v>
      </c>
      <c r="C217" s="64">
        <f t="shared" si="82"/>
        <v>70.18022493538291</v>
      </c>
      <c r="D217" s="64">
        <f t="shared" si="83"/>
        <v>19.81977506461709</v>
      </c>
      <c r="E217" s="65">
        <f t="shared" si="75"/>
        <v>103.39458321420031</v>
      </c>
      <c r="F217" s="64">
        <f t="shared" si="84"/>
        <v>78.643217660424227</v>
      </c>
      <c r="G217" s="64">
        <f t="shared" si="85"/>
        <v>11.356782339575773</v>
      </c>
      <c r="H217" s="65">
        <f t="shared" si="76"/>
        <v>94.959659710280349</v>
      </c>
      <c r="I217" s="64">
        <f t="shared" si="86"/>
        <v>87.331605833418848</v>
      </c>
      <c r="J217" s="64">
        <f t="shared" si="87"/>
        <v>2.6683941665811517</v>
      </c>
      <c r="K217" s="65">
        <f t="shared" si="77"/>
        <v>87.019043905373692</v>
      </c>
      <c r="L217" s="64">
        <f t="shared" si="88"/>
        <v>96.070370000870909</v>
      </c>
      <c r="M217" s="64">
        <f t="shared" si="89"/>
        <v>-6.0703700008709092</v>
      </c>
      <c r="N217" s="65">
        <f t="shared" si="78"/>
        <v>79.190710829379967</v>
      </c>
      <c r="O217" s="64">
        <f t="shared" si="90"/>
        <v>104.69313309478035</v>
      </c>
      <c r="P217" s="64">
        <f t="shared" si="91"/>
        <v>-14.69313309478035</v>
      </c>
      <c r="Q217" s="65">
        <f t="shared" si="79"/>
        <v>71.104812599071607</v>
      </c>
      <c r="R217" s="64">
        <f t="shared" si="92"/>
        <v>96.857894819469578</v>
      </c>
      <c r="S217" s="59">
        <f t="shared" si="93"/>
        <v>-6.8578948194695784</v>
      </c>
      <c r="T217" s="58">
        <f t="shared" si="80"/>
        <v>78.4753203269632</v>
      </c>
      <c r="U217" s="66"/>
    </row>
    <row r="218" spans="1:37" x14ac:dyDescent="0.2">
      <c r="A218" s="67">
        <v>87</v>
      </c>
      <c r="B218" s="66">
        <f t="shared" si="81"/>
        <v>1.5184364492350666</v>
      </c>
      <c r="C218" s="64">
        <f t="shared" si="82"/>
        <v>70.828524774046954</v>
      </c>
      <c r="D218" s="64">
        <f t="shared" si="83"/>
        <v>19.171475225953046</v>
      </c>
      <c r="E218" s="65">
        <f t="shared" si="75"/>
        <v>104.08317518652466</v>
      </c>
      <c r="F218" s="64">
        <f t="shared" si="84"/>
        <v>79.307731115941067</v>
      </c>
      <c r="G218" s="64">
        <f t="shared" si="85"/>
        <v>10.692268884058933</v>
      </c>
      <c r="H218" s="65">
        <f t="shared" si="76"/>
        <v>95.692298764999975</v>
      </c>
      <c r="I218" s="64">
        <f t="shared" si="86"/>
        <v>87.998309309976889</v>
      </c>
      <c r="J218" s="64">
        <f t="shared" si="87"/>
        <v>2.0016906900231106</v>
      </c>
      <c r="K218" s="65">
        <f t="shared" si="77"/>
        <v>87.764990593956085</v>
      </c>
      <c r="L218" s="64">
        <f t="shared" si="88"/>
        <v>96.726708538239919</v>
      </c>
      <c r="M218" s="64">
        <f t="shared" si="89"/>
        <v>-6.7267085382399188</v>
      </c>
      <c r="N218" s="65">
        <f t="shared" si="78"/>
        <v>79.921852270826918</v>
      </c>
      <c r="O218" s="64">
        <f t="shared" si="90"/>
        <v>105.32585023941697</v>
      </c>
      <c r="P218" s="64">
        <f t="shared" si="91"/>
        <v>-15.325850239416965</v>
      </c>
      <c r="Q218" s="65">
        <f t="shared" si="79"/>
        <v>71.792587885588972</v>
      </c>
      <c r="R218" s="64">
        <f t="shared" si="92"/>
        <v>97.512668680552622</v>
      </c>
      <c r="S218" s="59">
        <f t="shared" si="93"/>
        <v>-7.5126686805526219</v>
      </c>
      <c r="T218" s="58">
        <f t="shared" si="80"/>
        <v>79.203743091147885</v>
      </c>
      <c r="U218" s="66"/>
    </row>
    <row r="219" spans="1:37" x14ac:dyDescent="0.2">
      <c r="A219" s="67">
        <v>88</v>
      </c>
      <c r="B219" s="66">
        <f t="shared" si="81"/>
        <v>1.5358897417550099</v>
      </c>
      <c r="C219" s="64">
        <f t="shared" si="82"/>
        <v>71.474873882762282</v>
      </c>
      <c r="D219" s="64">
        <f t="shared" si="83"/>
        <v>18.525126117237718</v>
      </c>
      <c r="E219" s="65">
        <f t="shared" si="75"/>
        <v>104.77111991788892</v>
      </c>
      <c r="F219" s="64">
        <f t="shared" si="84"/>
        <v>79.971398644660297</v>
      </c>
      <c r="G219" s="64">
        <f t="shared" si="85"/>
        <v>10.028601355339703</v>
      </c>
      <c r="H219" s="65">
        <f t="shared" si="76"/>
        <v>96.424129818774688</v>
      </c>
      <c r="I219" s="64">
        <f t="shared" si="86"/>
        <v>88.665351517128371</v>
      </c>
      <c r="J219" s="64">
        <f t="shared" si="87"/>
        <v>1.3346484828716285</v>
      </c>
      <c r="K219" s="65">
        <f t="shared" si="77"/>
        <v>88.510330630053843</v>
      </c>
      <c r="L219" s="64">
        <f t="shared" si="88"/>
        <v>97.384536985001745</v>
      </c>
      <c r="M219" s="64">
        <f t="shared" si="89"/>
        <v>-7.3845369850017448</v>
      </c>
      <c r="N219" s="65">
        <f t="shared" si="78"/>
        <v>80.652624531895569</v>
      </c>
      <c r="O219" s="64">
        <f t="shared" si="90"/>
        <v>105.96106983010147</v>
      </c>
      <c r="P219" s="64">
        <f t="shared" si="91"/>
        <v>-15.961069830101465</v>
      </c>
      <c r="Q219" s="65">
        <f t="shared" si="79"/>
        <v>72.479967641167903</v>
      </c>
      <c r="R219" s="64">
        <f t="shared" si="92"/>
        <v>98.169031477385971</v>
      </c>
      <c r="S219" s="59">
        <f t="shared" si="93"/>
        <v>-8.1690314773859711</v>
      </c>
      <c r="T219" s="58">
        <f t="shared" si="80"/>
        <v>79.931809550401809</v>
      </c>
      <c r="U219" s="66"/>
    </row>
    <row r="220" spans="1:37" x14ac:dyDescent="0.2">
      <c r="A220" s="67">
        <v>89</v>
      </c>
      <c r="B220" s="66">
        <f t="shared" si="81"/>
        <v>1.5533430342749532</v>
      </c>
      <c r="C220" s="64">
        <f t="shared" si="82"/>
        <v>72.119180682296573</v>
      </c>
      <c r="D220" s="64">
        <f t="shared" si="83"/>
        <v>17.880819317703427</v>
      </c>
      <c r="E220" s="65">
        <f t="shared" si="75"/>
        <v>105.45860064817049</v>
      </c>
      <c r="F220" s="64">
        <f t="shared" si="84"/>
        <v>80.634112829786886</v>
      </c>
      <c r="G220" s="64">
        <f t="shared" si="85"/>
        <v>9.3658871702131137</v>
      </c>
      <c r="H220" s="65">
        <f t="shared" si="76"/>
        <v>97.155354713154381</v>
      </c>
      <c r="I220" s="64">
        <f t="shared" si="86"/>
        <v>89.332619372378346</v>
      </c>
      <c r="J220" s="64">
        <f t="shared" si="87"/>
        <v>0.66738062762165384</v>
      </c>
      <c r="K220" s="65">
        <f t="shared" si="77"/>
        <v>89.25526636871605</v>
      </c>
      <c r="L220" s="64">
        <f t="shared" si="88"/>
        <v>98.04374778102121</v>
      </c>
      <c r="M220" s="64">
        <f t="shared" si="89"/>
        <v>-8.0437477810212101</v>
      </c>
      <c r="N220" s="65">
        <f t="shared" si="78"/>
        <v>81.383218517826066</v>
      </c>
      <c r="O220" s="64">
        <f t="shared" si="90"/>
        <v>106.59869931265011</v>
      </c>
      <c r="P220" s="64">
        <f t="shared" si="91"/>
        <v>-16.598699312650112</v>
      </c>
      <c r="Q220" s="65">
        <f t="shared" si="79"/>
        <v>73.16711672383137</v>
      </c>
      <c r="R220" s="64">
        <f t="shared" si="92"/>
        <v>98.826876663571042</v>
      </c>
      <c r="S220" s="59">
        <f t="shared" si="93"/>
        <v>-8.8268766635710421</v>
      </c>
      <c r="T220" s="58">
        <f t="shared" si="80"/>
        <v>80.659708955921303</v>
      </c>
      <c r="U220" s="66"/>
    </row>
    <row r="221" spans="1:37" s="54" customFormat="1" x14ac:dyDescent="0.2">
      <c r="A221" s="63">
        <v>90</v>
      </c>
      <c r="B221" s="62">
        <f t="shared" si="81"/>
        <v>1.5707963267948966</v>
      </c>
      <c r="C221" s="60">
        <f t="shared" si="82"/>
        <v>72.761353538030704</v>
      </c>
      <c r="D221" s="60">
        <f t="shared" si="83"/>
        <v>17.238646461969296</v>
      </c>
      <c r="E221" s="61">
        <f t="shared" si="75"/>
        <v>106.1457966258162</v>
      </c>
      <c r="F221" s="60">
        <f t="shared" si="84"/>
        <v>81.295766417464307</v>
      </c>
      <c r="G221" s="60">
        <f t="shared" si="85"/>
        <v>8.7042335825356929</v>
      </c>
      <c r="H221" s="61">
        <f t="shared" si="76"/>
        <v>97.886172885403653</v>
      </c>
      <c r="I221" s="60">
        <f t="shared" si="86"/>
        <v>90</v>
      </c>
      <c r="J221" s="60">
        <f t="shared" si="87"/>
        <v>0</v>
      </c>
      <c r="K221" s="61">
        <f t="shared" si="77"/>
        <v>90</v>
      </c>
      <c r="L221" s="60">
        <f t="shared" si="88"/>
        <v>98.704233582535679</v>
      </c>
      <c r="M221" s="60">
        <f t="shared" si="89"/>
        <v>-8.7042335825356787</v>
      </c>
      <c r="N221" s="61">
        <f t="shared" si="78"/>
        <v>82.113827114596333</v>
      </c>
      <c r="O221" s="60">
        <f t="shared" si="90"/>
        <v>107.23864646196928</v>
      </c>
      <c r="P221" s="60">
        <f t="shared" si="91"/>
        <v>-17.238646461969282</v>
      </c>
      <c r="Q221" s="61">
        <f t="shared" si="79"/>
        <v>73.854203374183783</v>
      </c>
      <c r="R221" s="60">
        <f t="shared" si="92"/>
        <v>99.486097913728813</v>
      </c>
      <c r="S221" s="59">
        <f t="shared" si="93"/>
        <v>-9.4860979137288126</v>
      </c>
      <c r="T221" s="58">
        <f t="shared" si="80"/>
        <v>81.387632707854976</v>
      </c>
      <c r="U221" s="62"/>
      <c r="V221" s="56">
        <f>E221</f>
        <v>106.1457966258162</v>
      </c>
      <c r="W221" s="55"/>
      <c r="AK221" s="55">
        <f>D221</f>
        <v>17.238646461969296</v>
      </c>
    </row>
    <row r="222" spans="1:37" x14ac:dyDescent="0.2">
      <c r="A222" s="67">
        <v>91</v>
      </c>
      <c r="B222" s="66">
        <f t="shared" si="81"/>
        <v>1.5882496193148399</v>
      </c>
      <c r="C222" s="64">
        <f t="shared" si="82"/>
        <v>73.401300687349888</v>
      </c>
      <c r="D222" s="64">
        <f t="shared" si="83"/>
        <v>16.598699312650112</v>
      </c>
      <c r="E222" s="65">
        <f t="shared" si="75"/>
        <v>106.83288327616863</v>
      </c>
      <c r="F222" s="64">
        <f t="shared" si="84"/>
        <v>81.956252218978776</v>
      </c>
      <c r="G222" s="64">
        <f t="shared" si="85"/>
        <v>8.0437477810212243</v>
      </c>
      <c r="H222" s="65">
        <f t="shared" si="76"/>
        <v>98.61678148217392</v>
      </c>
      <c r="I222" s="64">
        <f t="shared" si="86"/>
        <v>90.66738062762164</v>
      </c>
      <c r="J222" s="64">
        <f t="shared" si="87"/>
        <v>-0.66738062762163963</v>
      </c>
      <c r="K222" s="65">
        <f t="shared" si="77"/>
        <v>90.744733631283935</v>
      </c>
      <c r="L222" s="64">
        <f t="shared" si="88"/>
        <v>99.365887170213114</v>
      </c>
      <c r="M222" s="64">
        <f t="shared" si="89"/>
        <v>-9.3658871702131137</v>
      </c>
      <c r="N222" s="65">
        <f t="shared" si="78"/>
        <v>82.844645286845619</v>
      </c>
      <c r="O222" s="64">
        <f t="shared" si="90"/>
        <v>107.88081931770343</v>
      </c>
      <c r="P222" s="64">
        <f t="shared" si="91"/>
        <v>-17.880819317703427</v>
      </c>
      <c r="Q222" s="65">
        <f t="shared" si="79"/>
        <v>74.541399351829511</v>
      </c>
      <c r="R222" s="64">
        <f t="shared" si="92"/>
        <v>100.14658903340305</v>
      </c>
      <c r="S222" s="59">
        <f t="shared" si="93"/>
        <v>-10.146589033403046</v>
      </c>
      <c r="T222" s="58">
        <f t="shared" si="80"/>
        <v>82.115774456486207</v>
      </c>
      <c r="U222" s="66"/>
      <c r="V222" s="53">
        <f>H221</f>
        <v>97.886172885403653</v>
      </c>
      <c r="AK222" s="50">
        <f>G221</f>
        <v>8.7042335825356929</v>
      </c>
    </row>
    <row r="223" spans="1:37" x14ac:dyDescent="0.2">
      <c r="A223" s="67">
        <v>92</v>
      </c>
      <c r="B223" s="66">
        <f t="shared" si="81"/>
        <v>1.6057029118347832</v>
      </c>
      <c r="C223" s="64">
        <f t="shared" si="82"/>
        <v>74.038930169898535</v>
      </c>
      <c r="D223" s="64">
        <f t="shared" si="83"/>
        <v>15.961069830101465</v>
      </c>
      <c r="E223" s="65">
        <f t="shared" si="75"/>
        <v>107.5200323588321</v>
      </c>
      <c r="F223" s="64">
        <f t="shared" si="84"/>
        <v>82.615463014998255</v>
      </c>
      <c r="G223" s="64">
        <f t="shared" si="85"/>
        <v>7.3845369850017448</v>
      </c>
      <c r="H223" s="65">
        <f t="shared" si="76"/>
        <v>99.347375468104431</v>
      </c>
      <c r="I223" s="64">
        <f t="shared" si="86"/>
        <v>91.334648482871629</v>
      </c>
      <c r="J223" s="64">
        <f t="shared" si="87"/>
        <v>-1.3346484828716285</v>
      </c>
      <c r="K223" s="65">
        <f t="shared" si="77"/>
        <v>91.489669369946157</v>
      </c>
      <c r="L223" s="64">
        <f t="shared" si="88"/>
        <v>100.0286013553397</v>
      </c>
      <c r="M223" s="64">
        <f t="shared" si="89"/>
        <v>-10.028601355339703</v>
      </c>
      <c r="N223" s="65">
        <f t="shared" si="78"/>
        <v>83.575870181225312</v>
      </c>
      <c r="O223" s="64">
        <f t="shared" si="90"/>
        <v>108.52512611723772</v>
      </c>
      <c r="P223" s="64">
        <f t="shared" si="91"/>
        <v>-18.525126117237718</v>
      </c>
      <c r="Q223" s="65">
        <f t="shared" si="79"/>
        <v>75.228880082111075</v>
      </c>
      <c r="R223" s="64">
        <f t="shared" si="92"/>
        <v>100.80824386696111</v>
      </c>
      <c r="S223" s="59">
        <f t="shared" si="93"/>
        <v>-10.808243866961107</v>
      </c>
      <c r="T223" s="58">
        <f t="shared" si="80"/>
        <v>82.844330209310002</v>
      </c>
      <c r="U223" s="66"/>
      <c r="V223" s="53">
        <f>K221</f>
        <v>90</v>
      </c>
      <c r="AK223" s="50">
        <f>J221</f>
        <v>0</v>
      </c>
    </row>
    <row r="224" spans="1:37" x14ac:dyDescent="0.2">
      <c r="A224" s="67">
        <v>93</v>
      </c>
      <c r="B224" s="66">
        <f t="shared" si="81"/>
        <v>1.6231562043547265</v>
      </c>
      <c r="C224" s="64">
        <f t="shared" si="82"/>
        <v>74.674149760583035</v>
      </c>
      <c r="D224" s="64">
        <f t="shared" si="83"/>
        <v>15.325850239416965</v>
      </c>
      <c r="E224" s="65">
        <f t="shared" si="75"/>
        <v>108.20741211441103</v>
      </c>
      <c r="F224" s="64">
        <f t="shared" si="84"/>
        <v>83.273291461760067</v>
      </c>
      <c r="G224" s="64">
        <f t="shared" si="85"/>
        <v>6.726708538239933</v>
      </c>
      <c r="H224" s="65">
        <f t="shared" si="76"/>
        <v>100.07814772917305</v>
      </c>
      <c r="I224" s="64">
        <f t="shared" si="86"/>
        <v>92.001690690023096</v>
      </c>
      <c r="J224" s="64">
        <f t="shared" si="87"/>
        <v>-2.0016906900230964</v>
      </c>
      <c r="K224" s="65">
        <f t="shared" si="77"/>
        <v>92.235009406043901</v>
      </c>
      <c r="L224" s="64">
        <f t="shared" si="88"/>
        <v>100.69226888405893</v>
      </c>
      <c r="M224" s="64">
        <f t="shared" si="89"/>
        <v>-10.692268884058933</v>
      </c>
      <c r="N224" s="65">
        <f t="shared" si="78"/>
        <v>84.307701235000025</v>
      </c>
      <c r="O224" s="64">
        <f t="shared" si="90"/>
        <v>109.17147522595305</v>
      </c>
      <c r="P224" s="64">
        <f t="shared" si="91"/>
        <v>-19.171475225953046</v>
      </c>
      <c r="Q224" s="65">
        <f t="shared" si="79"/>
        <v>75.916824813475344</v>
      </c>
      <c r="R224" s="64">
        <f t="shared" si="92"/>
        <v>101.47095620341068</v>
      </c>
      <c r="S224" s="59">
        <f t="shared" si="93"/>
        <v>-11.47095620341068</v>
      </c>
      <c r="T224" s="58">
        <f t="shared" si="80"/>
        <v>83.573498443861027</v>
      </c>
      <c r="U224" s="66"/>
      <c r="V224" s="53">
        <f>N221</f>
        <v>82.113827114596333</v>
      </c>
      <c r="AK224" s="50">
        <f>M221</f>
        <v>-8.7042335825356787</v>
      </c>
    </row>
    <row r="225" spans="1:38" x14ac:dyDescent="0.2">
      <c r="A225" s="67">
        <v>94</v>
      </c>
      <c r="B225" s="66">
        <f t="shared" si="81"/>
        <v>1.6406094968746698</v>
      </c>
      <c r="C225" s="64">
        <f t="shared" si="82"/>
        <v>75.30686690521965</v>
      </c>
      <c r="D225" s="64">
        <f t="shared" si="83"/>
        <v>14.69313309478035</v>
      </c>
      <c r="E225" s="65">
        <f t="shared" si="75"/>
        <v>108.89518740092839</v>
      </c>
      <c r="F225" s="64">
        <f t="shared" si="84"/>
        <v>83.929629999129105</v>
      </c>
      <c r="G225" s="64">
        <f t="shared" si="85"/>
        <v>6.070370000870895</v>
      </c>
      <c r="H225" s="65">
        <f t="shared" si="76"/>
        <v>100.80928917062005</v>
      </c>
      <c r="I225" s="64">
        <f t="shared" si="86"/>
        <v>92.668394166581166</v>
      </c>
      <c r="J225" s="64">
        <f t="shared" si="87"/>
        <v>-2.6683941665811659</v>
      </c>
      <c r="K225" s="65">
        <f t="shared" si="77"/>
        <v>92.980956094626336</v>
      </c>
      <c r="L225" s="64">
        <f t="shared" si="88"/>
        <v>101.35678233957577</v>
      </c>
      <c r="M225" s="64">
        <f t="shared" si="89"/>
        <v>-11.356782339575773</v>
      </c>
      <c r="N225" s="65">
        <f t="shared" si="78"/>
        <v>85.040340289719651</v>
      </c>
      <c r="O225" s="64">
        <f t="shared" si="90"/>
        <v>109.8197750646171</v>
      </c>
      <c r="P225" s="64">
        <f t="shared" si="91"/>
        <v>-19.819775064617104</v>
      </c>
      <c r="Q225" s="65">
        <f t="shared" si="79"/>
        <v>76.605416785799704</v>
      </c>
      <c r="R225" s="64">
        <f t="shared" si="92"/>
        <v>102.13461968004287</v>
      </c>
      <c r="S225" s="59">
        <f t="shared" si="93"/>
        <v>-12.134619680042874</v>
      </c>
      <c r="T225" s="58">
        <f t="shared" si="80"/>
        <v>84.303480226150413</v>
      </c>
      <c r="U225" s="66"/>
      <c r="V225" s="53">
        <f>Q221</f>
        <v>73.854203374183783</v>
      </c>
      <c r="AK225" s="50">
        <f>P221</f>
        <v>-17.238646461969282</v>
      </c>
    </row>
    <row r="226" spans="1:38" x14ac:dyDescent="0.2">
      <c r="A226" s="67">
        <v>95</v>
      </c>
      <c r="B226" s="66">
        <f t="shared" si="81"/>
        <v>1.6580627893946132</v>
      </c>
      <c r="C226" s="64">
        <f t="shared" si="82"/>
        <v>75.936988658737974</v>
      </c>
      <c r="D226" s="64">
        <f t="shared" si="83"/>
        <v>14.063011341262026</v>
      </c>
      <c r="E226" s="65">
        <f t="shared" si="75"/>
        <v>109.58351982021017</v>
      </c>
      <c r="F226" s="64">
        <f t="shared" si="84"/>
        <v>84.584370760456849</v>
      </c>
      <c r="G226" s="64">
        <f t="shared" si="85"/>
        <v>5.4156292395431507</v>
      </c>
      <c r="H226" s="65">
        <f t="shared" si="76"/>
        <v>101.54098880926769</v>
      </c>
      <c r="I226" s="64">
        <f t="shared" si="86"/>
        <v>93.334645519754915</v>
      </c>
      <c r="J226" s="64">
        <f t="shared" si="87"/>
        <v>-3.3346455197549147</v>
      </c>
      <c r="K226" s="65">
        <f t="shared" si="77"/>
        <v>93.727712037311349</v>
      </c>
      <c r="L226" s="64">
        <f t="shared" si="88"/>
        <v>102.02203404223259</v>
      </c>
      <c r="M226" s="64">
        <f t="shared" si="89"/>
        <v>-12.02203404223259</v>
      </c>
      <c r="N226" s="65">
        <f t="shared" si="78"/>
        <v>85.773991709780361</v>
      </c>
      <c r="O226" s="64">
        <f t="shared" si="90"/>
        <v>110.46993403378181</v>
      </c>
      <c r="P226" s="64">
        <f t="shared" si="91"/>
        <v>-20.469934033781811</v>
      </c>
      <c r="Q226" s="65">
        <f t="shared" si="79"/>
        <v>77.294843410034005</v>
      </c>
      <c r="R226" s="64">
        <f t="shared" si="92"/>
        <v>102.79912768380272</v>
      </c>
      <c r="S226" s="59">
        <f t="shared" si="93"/>
        <v>-12.799127683802723</v>
      </c>
      <c r="T226" s="58">
        <f t="shared" si="80"/>
        <v>85.034479334563798</v>
      </c>
      <c r="U226" s="66"/>
    </row>
    <row r="227" spans="1:38" x14ac:dyDescent="0.2">
      <c r="A227" s="67">
        <v>96</v>
      </c>
      <c r="B227" s="66">
        <f t="shared" si="81"/>
        <v>1.6755160819145565</v>
      </c>
      <c r="C227" s="64">
        <f t="shared" si="82"/>
        <v>76.564421625862082</v>
      </c>
      <c r="D227" s="64">
        <f t="shared" si="83"/>
        <v>13.435578374137918</v>
      </c>
      <c r="E227" s="65">
        <f t="shared" ref="E227:E251" si="94">DEGREES(ACOS((SIN(RADIANS(D227))*SIN($C$6)-SIN(C$5))/(COS(RADIANS(D227))*COS($C$6))))</f>
        <v>110.27256783449837</v>
      </c>
      <c r="F227" s="64">
        <f t="shared" si="84"/>
        <v>85.237405484179973</v>
      </c>
      <c r="G227" s="64">
        <f t="shared" si="85"/>
        <v>4.7625945158200267</v>
      </c>
      <c r="H227" s="65">
        <f t="shared" ref="H227:H251" si="95">DEGREES(ACOS((SIN(RADIANS(G227))*SIN($C$6)-SIN(G$5))/(COS(RADIANS(G227))*COS($C$6))))</f>
        <v>102.27343386005684</v>
      </c>
      <c r="I227" s="64">
        <f t="shared" si="86"/>
        <v>94.000330942759291</v>
      </c>
      <c r="J227" s="64">
        <f t="shared" si="87"/>
        <v>-4.000330942759291</v>
      </c>
      <c r="K227" s="65">
        <f t="shared" ref="K227:K251" si="96">DEGREES(ACOS((SIN(RADIANS(J227))*SIN($C$6)-SIN(J$5))/(COS(RADIANS(J227))*COS($C$6))))</f>
        <v>94.475480162752646</v>
      </c>
      <c r="L227" s="64">
        <f t="shared" si="88"/>
        <v>102.68791594735561</v>
      </c>
      <c r="M227" s="64">
        <f t="shared" si="89"/>
        <v>-12.687915947355606</v>
      </c>
      <c r="N227" s="65">
        <f t="shared" ref="N227:N251" si="97">DEGREES(ACOS((SIN(RADIANS(M227))*SIN($C$6)-SIN(M$5))/(COS(RADIANS(M227))*COS($C$6))))</f>
        <v>86.508862505683652</v>
      </c>
      <c r="O227" s="64">
        <f t="shared" si="90"/>
        <v>111.12186043504288</v>
      </c>
      <c r="P227" s="64">
        <f t="shared" si="91"/>
        <v>-21.121860435042876</v>
      </c>
      <c r="Q227" s="65">
        <f t="shared" ref="Q227:Q251" si="98">DEGREES(ACOS((SIN(RADIANS(P227))*SIN($C$6)-SIN(P$5))/(COS(RADIANS(P227))*COS($C$6))))</f>
        <v>77.985296459539825</v>
      </c>
      <c r="R227" s="64">
        <f t="shared" si="92"/>
        <v>103.46437325028077</v>
      </c>
      <c r="S227" s="59">
        <f t="shared" si="93"/>
        <v>-13.464373250280772</v>
      </c>
      <c r="T227" s="58">
        <f t="shared" ref="T227:T251" si="99">DEGREES(ACOS((SIN(RADIANS(S227))*SIN($C$6)-SIN(S$5))/(COS(RADIANS(S227))*COS($C$6))))</f>
        <v>85.766702389069025</v>
      </c>
      <c r="U227" s="69"/>
    </row>
    <row r="228" spans="1:38" x14ac:dyDescent="0.2">
      <c r="A228" s="67">
        <v>97</v>
      </c>
      <c r="B228" s="66">
        <f t="shared" si="81"/>
        <v>1.6929693744344996</v>
      </c>
      <c r="C228" s="64">
        <f t="shared" si="82"/>
        <v>77.189071904204539</v>
      </c>
      <c r="D228" s="64">
        <f t="shared" si="83"/>
        <v>12.810928095795461</v>
      </c>
      <c r="E228" s="65">
        <f t="shared" si="94"/>
        <v>110.96248687353535</v>
      </c>
      <c r="F228" s="64">
        <f t="shared" si="84"/>
        <v>85.888625427106263</v>
      </c>
      <c r="G228" s="64">
        <f t="shared" si="85"/>
        <v>4.1113745728937374</v>
      </c>
      <c r="H228" s="65">
        <f t="shared" si="95"/>
        <v>103.00680981661696</v>
      </c>
      <c r="I228" s="64">
        <f t="shared" si="86"/>
        <v>94.665336110892724</v>
      </c>
      <c r="J228" s="64">
        <f t="shared" si="87"/>
        <v>-4.6653361108927243</v>
      </c>
      <c r="K228" s="65">
        <f t="shared" si="96"/>
        <v>95.224463805612999</v>
      </c>
      <c r="L228" s="64">
        <f t="shared" si="88"/>
        <v>103.35431954076385</v>
      </c>
      <c r="M228" s="64">
        <f t="shared" si="89"/>
        <v>-13.354319540763854</v>
      </c>
      <c r="N228" s="65">
        <f t="shared" si="97"/>
        <v>87.245162461794507</v>
      </c>
      <c r="O228" s="64">
        <f t="shared" si="90"/>
        <v>111.7754623890019</v>
      </c>
      <c r="P228" s="64">
        <f t="shared" si="91"/>
        <v>-21.775462389001902</v>
      </c>
      <c r="Q228" s="65">
        <f t="shared" si="98"/>
        <v>78.676972273532584</v>
      </c>
      <c r="R228" s="64">
        <f t="shared" si="92"/>
        <v>104.13024896021136</v>
      </c>
      <c r="S228" s="59">
        <f t="shared" si="93"/>
        <v>-14.130248960211361</v>
      </c>
      <c r="T228" s="58">
        <f t="shared" si="99"/>
        <v>86.500358985572618</v>
      </c>
      <c r="U228" s="69"/>
    </row>
    <row r="229" spans="1:38" x14ac:dyDescent="0.2">
      <c r="A229" s="67">
        <v>98</v>
      </c>
      <c r="B229" s="66">
        <f t="shared" si="81"/>
        <v>1.7104226669544429</v>
      </c>
      <c r="C229" s="64">
        <f t="shared" si="82"/>
        <v>77.81084502971909</v>
      </c>
      <c r="D229" s="64">
        <f t="shared" si="83"/>
        <v>12.18915497028091</v>
      </c>
      <c r="E229" s="65">
        <f t="shared" si="94"/>
        <v>111.65342943234077</v>
      </c>
      <c r="F229" s="64">
        <f t="shared" si="84"/>
        <v>86.537921279345042</v>
      </c>
      <c r="G229" s="64">
        <f t="shared" si="85"/>
        <v>3.4620787206549579</v>
      </c>
      <c r="H229" s="65">
        <f t="shared" si="95"/>
        <v>103.7413005256813</v>
      </c>
      <c r="I229" s="64">
        <f t="shared" si="86"/>
        <v>95.329546077340609</v>
      </c>
      <c r="J229" s="64">
        <f t="shared" si="87"/>
        <v>-5.3295460773406091</v>
      </c>
      <c r="K229" s="65">
        <f t="shared" si="96"/>
        <v>95.974866783650128</v>
      </c>
      <c r="L229" s="64">
        <f t="shared" si="88"/>
        <v>104.02113573182611</v>
      </c>
      <c r="M229" s="64">
        <f t="shared" si="89"/>
        <v>-14.021135731826107</v>
      </c>
      <c r="N229" s="65">
        <f t="shared" si="97"/>
        <v>87.983104268385972</v>
      </c>
      <c r="O229" s="64">
        <f t="shared" si="90"/>
        <v>112.43064774975581</v>
      </c>
      <c r="P229" s="64">
        <f t="shared" si="91"/>
        <v>-22.430647749755806</v>
      </c>
      <c r="Q229" s="65">
        <f t="shared" si="98"/>
        <v>79.370071973058629</v>
      </c>
      <c r="R229" s="64">
        <f t="shared" si="92"/>
        <v>104.79664683335528</v>
      </c>
      <c r="S229" s="59">
        <f t="shared" si="93"/>
        <v>-14.796646833355283</v>
      </c>
      <c r="T229" s="58">
        <f t="shared" si="99"/>
        <v>87.235661835252913</v>
      </c>
      <c r="U229" s="69"/>
    </row>
    <row r="230" spans="1:38" x14ac:dyDescent="0.2">
      <c r="A230" s="67">
        <v>99</v>
      </c>
      <c r="B230" s="66">
        <f t="shared" si="81"/>
        <v>1.7278759594743862</v>
      </c>
      <c r="C230" s="64">
        <f t="shared" si="82"/>
        <v>78.429645924469241</v>
      </c>
      <c r="D230" s="64">
        <f t="shared" si="83"/>
        <v>11.570354075530759</v>
      </c>
      <c r="E230" s="65">
        <f t="shared" si="94"/>
        <v>112.34554515988289</v>
      </c>
      <c r="F230" s="64">
        <f t="shared" si="84"/>
        <v>87.185183080848404</v>
      </c>
      <c r="G230" s="64">
        <f t="shared" si="85"/>
        <v>2.8148169191515962</v>
      </c>
      <c r="H230" s="65">
        <f t="shared" si="95"/>
        <v>104.47708825515134</v>
      </c>
      <c r="I230" s="64">
        <f t="shared" si="86"/>
        <v>95.992845168657254</v>
      </c>
      <c r="J230" s="64">
        <f t="shared" si="87"/>
        <v>-5.9928451686572544</v>
      </c>
      <c r="K230" s="65">
        <f t="shared" si="96"/>
        <v>96.726893472506376</v>
      </c>
      <c r="L230" s="64">
        <f t="shared" si="88"/>
        <v>104.6882547439448</v>
      </c>
      <c r="M230" s="64">
        <f t="shared" si="89"/>
        <v>-14.688254743944796</v>
      </c>
      <c r="N230" s="65">
        <f t="shared" si="97"/>
        <v>88.722903657741711</v>
      </c>
      <c r="O230" s="64">
        <f t="shared" si="90"/>
        <v>113.08732401572179</v>
      </c>
      <c r="P230" s="64">
        <f t="shared" si="91"/>
        <v>-23.087324015721791</v>
      </c>
      <c r="Q230" s="65">
        <f t="shared" si="98"/>
        <v>80.0648016899639</v>
      </c>
      <c r="R230" s="64">
        <f t="shared" si="92"/>
        <v>105.46345821963756</v>
      </c>
      <c r="S230" s="59">
        <f t="shared" si="93"/>
        <v>-15.463458219637559</v>
      </c>
      <c r="T230" s="58">
        <f t="shared" si="99"/>
        <v>87.972826908683302</v>
      </c>
      <c r="U230" s="69"/>
    </row>
    <row r="231" spans="1:38" x14ac:dyDescent="0.2">
      <c r="A231" s="67">
        <v>100</v>
      </c>
      <c r="B231" s="66">
        <f t="shared" si="81"/>
        <v>1.7453292519943295</v>
      </c>
      <c r="C231" s="64">
        <f t="shared" si="82"/>
        <v>79.0453788466817</v>
      </c>
      <c r="D231" s="64">
        <f t="shared" si="83"/>
        <v>10.9546211533183</v>
      </c>
      <c r="E231" s="65">
        <f t="shared" si="94"/>
        <v>113.03898093882904</v>
      </c>
      <c r="F231" s="64">
        <f t="shared" si="84"/>
        <v>87.830300139539972</v>
      </c>
      <c r="G231" s="64">
        <f t="shared" si="85"/>
        <v>2.1696998604600282</v>
      </c>
      <c r="H231" s="65">
        <f t="shared" si="95"/>
        <v>105.21435375560725</v>
      </c>
      <c r="I231" s="64">
        <f t="shared" si="86"/>
        <v>96.655116879884673</v>
      </c>
      <c r="J231" s="64">
        <f t="shared" si="87"/>
        <v>-6.6551168798846732</v>
      </c>
      <c r="K231" s="65">
        <f t="shared" si="96"/>
        <v>97.480748877777614</v>
      </c>
      <c r="L231" s="64">
        <f t="shared" si="88"/>
        <v>105.3555660023402</v>
      </c>
      <c r="M231" s="64">
        <f t="shared" si="89"/>
        <v>-15.355566002340197</v>
      </c>
      <c r="N231" s="65">
        <f t="shared" si="97"/>
        <v>89.464779544067724</v>
      </c>
      <c r="O231" s="64">
        <f t="shared" si="90"/>
        <v>113.74539823658873</v>
      </c>
      <c r="P231" s="64">
        <f t="shared" si="91"/>
        <v>-23.745398236588727</v>
      </c>
      <c r="Q231" s="65">
        <f t="shared" si="98"/>
        <v>80.761372809337246</v>
      </c>
      <c r="R231" s="64">
        <f t="shared" si="92"/>
        <v>106.13057368740415</v>
      </c>
      <c r="S231" s="59">
        <f t="shared" si="93"/>
        <v>-16.130573687404151</v>
      </c>
      <c r="T231" s="58">
        <f t="shared" si="99"/>
        <v>88.712073584540235</v>
      </c>
      <c r="U231" s="69"/>
    </row>
    <row r="232" spans="1:38" x14ac:dyDescent="0.2">
      <c r="A232" s="67">
        <v>101</v>
      </c>
      <c r="B232" s="66">
        <f t="shared" si="81"/>
        <v>1.7627825445142729</v>
      </c>
      <c r="C232" s="64">
        <f t="shared" si="82"/>
        <v>79.657947343063285</v>
      </c>
      <c r="D232" s="64">
        <f t="shared" si="83"/>
        <v>10.342052656936715</v>
      </c>
      <c r="E232" s="65">
        <f t="shared" si="94"/>
        <v>113.73388095654092</v>
      </c>
      <c r="F232" s="64">
        <f t="shared" si="84"/>
        <v>88.473160951018315</v>
      </c>
      <c r="G232" s="64">
        <f t="shared" si="85"/>
        <v>1.5268390489816852</v>
      </c>
      <c r="H232" s="65">
        <f t="shared" si="95"/>
        <v>105.95327631505113</v>
      </c>
      <c r="I232" s="64">
        <f t="shared" si="86"/>
        <v>97.316243769270841</v>
      </c>
      <c r="J232" s="64">
        <f t="shared" si="87"/>
        <v>-7.3162437692708409</v>
      </c>
      <c r="K232" s="65">
        <f t="shared" si="96"/>
        <v>98.23663870391583</v>
      </c>
      <c r="L232" s="64">
        <f t="shared" si="88"/>
        <v>106.02295801900289</v>
      </c>
      <c r="M232" s="64">
        <f t="shared" si="89"/>
        <v>-16.022958019002886</v>
      </c>
      <c r="N232" s="65">
        <f t="shared" si="97"/>
        <v>90.208954166940899</v>
      </c>
      <c r="O232" s="64">
        <f t="shared" si="90"/>
        <v>114.40477691616721</v>
      </c>
      <c r="P232" s="64">
        <f t="shared" si="91"/>
        <v>-24.404776916167208</v>
      </c>
      <c r="Q232" s="65">
        <f t="shared" si="98"/>
        <v>81.46000222593544</v>
      </c>
      <c r="R232" s="64">
        <f t="shared" si="92"/>
        <v>106.79788290865444</v>
      </c>
      <c r="S232" s="59">
        <f t="shared" si="93"/>
        <v>-16.797882908654444</v>
      </c>
      <c r="T232" s="58">
        <f t="shared" si="99"/>
        <v>89.453624802668472</v>
      </c>
      <c r="U232" s="69"/>
    </row>
    <row r="233" spans="1:38" x14ac:dyDescent="0.2">
      <c r="A233" s="67">
        <v>102</v>
      </c>
      <c r="B233" s="66">
        <f t="shared" si="81"/>
        <v>1.7802358370342162</v>
      </c>
      <c r="C233" s="64">
        <f t="shared" si="82"/>
        <v>80.267254203370811</v>
      </c>
      <c r="D233" s="64">
        <f t="shared" si="83"/>
        <v>9.7327457966291888</v>
      </c>
      <c r="E233" s="65">
        <f t="shared" si="94"/>
        <v>114.43038676746509</v>
      </c>
      <c r="F233" s="64">
        <f t="shared" si="84"/>
        <v>89.113653119831937</v>
      </c>
      <c r="G233" s="64">
        <f t="shared" si="85"/>
        <v>0.88634688016806251</v>
      </c>
      <c r="H233" s="65">
        <f t="shared" si="95"/>
        <v>106.69403380665962</v>
      </c>
      <c r="I233" s="64">
        <f t="shared" si="86"/>
        <v>97.976107352557293</v>
      </c>
      <c r="J233" s="64">
        <f t="shared" si="87"/>
        <v>-7.9761073525572925</v>
      </c>
      <c r="K233" s="65">
        <f t="shared" si="96"/>
        <v>98.994769419498553</v>
      </c>
      <c r="L233" s="64">
        <f t="shared" si="88"/>
        <v>106.69031827467752</v>
      </c>
      <c r="M233" s="64">
        <f t="shared" si="89"/>
        <v>-16.690318274677523</v>
      </c>
      <c r="N233" s="65">
        <f t="shared" si="97"/>
        <v>90.955653237993104</v>
      </c>
      <c r="O233" s="64">
        <f t="shared" si="90"/>
        <v>115.06536591089181</v>
      </c>
      <c r="P233" s="64">
        <f t="shared" si="91"/>
        <v>-25.065365910891813</v>
      </c>
      <c r="Q233" s="65">
        <f t="shared" si="98"/>
        <v>82.160912615122101</v>
      </c>
      <c r="R233" s="64">
        <f t="shared" si="92"/>
        <v>107.46527454110046</v>
      </c>
      <c r="S233" s="59">
        <f t="shared" si="93"/>
        <v>-17.465274541100456</v>
      </c>
      <c r="T233" s="58">
        <f t="shared" si="99"/>
        <v>90.19770722124872</v>
      </c>
      <c r="U233" s="69"/>
    </row>
    <row r="234" spans="1:38" x14ac:dyDescent="0.2">
      <c r="A234" s="67">
        <v>103</v>
      </c>
      <c r="B234" s="66">
        <f t="shared" si="81"/>
        <v>1.7976891295541595</v>
      </c>
      <c r="C234" s="64">
        <f t="shared" si="82"/>
        <v>80.873201417233815</v>
      </c>
      <c r="D234" s="64">
        <f t="shared" si="83"/>
        <v>9.1267985827661846</v>
      </c>
      <c r="E234" s="65">
        <f t="shared" si="94"/>
        <v>115.12863734705395</v>
      </c>
      <c r="F234" s="64">
        <f t="shared" si="84"/>
        <v>89.751663282335358</v>
      </c>
      <c r="G234" s="64">
        <f t="shared" si="85"/>
        <v>0.24833671766464249</v>
      </c>
      <c r="H234" s="65">
        <f t="shared" si="95"/>
        <v>107.43680272931215</v>
      </c>
      <c r="I234" s="64">
        <f t="shared" si="86"/>
        <v>98.634587996812485</v>
      </c>
      <c r="J234" s="64">
        <f t="shared" si="87"/>
        <v>-8.6345879968124848</v>
      </c>
      <c r="K234" s="65">
        <f t="shared" si="96"/>
        <v>99.755348318371446</v>
      </c>
      <c r="L234" s="64">
        <f t="shared" si="88"/>
        <v>107.3575330977369</v>
      </c>
      <c r="M234" s="64">
        <f t="shared" si="89"/>
        <v>-17.357533097736905</v>
      </c>
      <c r="N234" s="65">
        <f t="shared" si="97"/>
        <v>91.705106090496116</v>
      </c>
      <c r="O234" s="64">
        <f t="shared" si="90"/>
        <v>115.7270703237086</v>
      </c>
      <c r="P234" s="64">
        <f t="shared" si="91"/>
        <v>-25.727070323708602</v>
      </c>
      <c r="Q234" s="65">
        <f t="shared" si="98"/>
        <v>82.864332718875616</v>
      </c>
      <c r="R234" s="64">
        <f t="shared" si="92"/>
        <v>108.13263610689818</v>
      </c>
      <c r="S234" s="59">
        <f t="shared" si="93"/>
        <v>-18.132636106898175</v>
      </c>
      <c r="T234" s="58">
        <f t="shared" si="99"/>
        <v>90.944551377781494</v>
      </c>
      <c r="U234" s="69"/>
    </row>
    <row r="235" spans="1:38" x14ac:dyDescent="0.2">
      <c r="A235" s="67">
        <v>104</v>
      </c>
      <c r="B235" s="66">
        <f t="shared" si="81"/>
        <v>1.8151424220741028</v>
      </c>
      <c r="C235" s="64">
        <f t="shared" si="82"/>
        <v>81.475690133239496</v>
      </c>
      <c r="D235" s="64">
        <f t="shared" si="83"/>
        <v>8.524309866760504</v>
      </c>
      <c r="E235" s="65">
        <f t="shared" si="94"/>
        <v>115.82876913733779</v>
      </c>
      <c r="F235" s="64">
        <f t="shared" si="84"/>
        <v>90.387077031145964</v>
      </c>
      <c r="G235" s="64">
        <f t="shared" si="85"/>
        <v>-0.3870770311459637</v>
      </c>
      <c r="H235" s="65">
        <f t="shared" si="95"/>
        <v>108.18175824064853</v>
      </c>
      <c r="I235" s="64">
        <f t="shared" si="86"/>
        <v>99.291564813796143</v>
      </c>
      <c r="J235" s="64">
        <f t="shared" si="87"/>
        <v>-9.2915648137961426</v>
      </c>
      <c r="K235" s="65">
        <f t="shared" si="96"/>
        <v>100.51858357614276</v>
      </c>
      <c r="L235" s="64">
        <f t="shared" si="88"/>
        <v>108.02448753980147</v>
      </c>
      <c r="M235" s="64">
        <f t="shared" si="89"/>
        <v>-18.02448753980147</v>
      </c>
      <c r="N235" s="65">
        <f t="shared" si="97"/>
        <v>92.457545831474064</v>
      </c>
      <c r="O235" s="64">
        <f t="shared" si="90"/>
        <v>116.38979439305935</v>
      </c>
      <c r="P235" s="64">
        <f t="shared" si="91"/>
        <v>-26.389794393059347</v>
      </c>
      <c r="Q235" s="65">
        <f t="shared" si="98"/>
        <v>83.570497647442849</v>
      </c>
      <c r="R235" s="64">
        <f t="shared" si="92"/>
        <v>108.79985386789083</v>
      </c>
      <c r="S235" s="59">
        <f t="shared" si="93"/>
        <v>-18.799853867890832</v>
      </c>
      <c r="T235" s="58">
        <f t="shared" si="99"/>
        <v>91.694391853562976</v>
      </c>
      <c r="U235" s="69"/>
    </row>
    <row r="236" spans="1:38" s="54" customFormat="1" x14ac:dyDescent="0.2">
      <c r="A236" s="63">
        <v>105</v>
      </c>
      <c r="B236" s="62">
        <f t="shared" si="81"/>
        <v>1.8325957145940461</v>
      </c>
      <c r="C236" s="60">
        <f t="shared" si="82"/>
        <v>82.074620620299271</v>
      </c>
      <c r="D236" s="60">
        <f t="shared" si="83"/>
        <v>7.925379379700729</v>
      </c>
      <c r="E236" s="61">
        <f t="shared" si="94"/>
        <v>116.53091608425655</v>
      </c>
      <c r="F236" s="60">
        <f t="shared" si="84"/>
        <v>91.019778841234057</v>
      </c>
      <c r="G236" s="60">
        <f t="shared" si="85"/>
        <v>-1.0197788412340572</v>
      </c>
      <c r="H236" s="61">
        <f t="shared" si="95"/>
        <v>108.92907418239781</v>
      </c>
      <c r="I236" s="60">
        <f t="shared" si="86"/>
        <v>99.946915552849006</v>
      </c>
      <c r="J236" s="60">
        <f t="shared" si="87"/>
        <v>-9.9469155528490063</v>
      </c>
      <c r="K236" s="61">
        <f t="shared" si="96"/>
        <v>101.28468430147653</v>
      </c>
      <c r="L236" s="60">
        <f t="shared" si="88"/>
        <v>108.69106524795673</v>
      </c>
      <c r="M236" s="60">
        <f t="shared" si="89"/>
        <v>-18.691065247956729</v>
      </c>
      <c r="N236" s="61">
        <f t="shared" si="97"/>
        <v>93.213209495925128</v>
      </c>
      <c r="O236" s="60">
        <f t="shared" si="90"/>
        <v>117.05344137665232</v>
      </c>
      <c r="P236" s="60">
        <f t="shared" si="91"/>
        <v>-27.053441376652316</v>
      </c>
      <c r="Q236" s="61">
        <f t="shared" si="98"/>
        <v>84.279649197235912</v>
      </c>
      <c r="R236" s="60">
        <f t="shared" si="92"/>
        <v>109.4668126972</v>
      </c>
      <c r="S236" s="59">
        <f t="shared" si="93"/>
        <v>-19.466812697199998</v>
      </c>
      <c r="T236" s="58">
        <f t="shared" si="99"/>
        <v>92.447467441285966</v>
      </c>
      <c r="U236" s="70"/>
      <c r="V236" s="56">
        <f>E236</f>
        <v>116.53091608425655</v>
      </c>
      <c r="W236" s="55"/>
      <c r="AL236" s="55">
        <f>D236</f>
        <v>7.925379379700729</v>
      </c>
    </row>
    <row r="237" spans="1:38" x14ac:dyDescent="0.2">
      <c r="A237" s="67">
        <v>106</v>
      </c>
      <c r="B237" s="66">
        <f t="shared" si="81"/>
        <v>1.8500490071139892</v>
      </c>
      <c r="C237" s="64">
        <f t="shared" si="82"/>
        <v>82.669892231326102</v>
      </c>
      <c r="D237" s="64">
        <f t="shared" si="83"/>
        <v>7.3301077686738978</v>
      </c>
      <c r="E237" s="65">
        <f t="shared" si="94"/>
        <v>117.23520966684802</v>
      </c>
      <c r="F237" s="64">
        <f t="shared" si="84"/>
        <v>91.649651997690938</v>
      </c>
      <c r="G237" s="64">
        <f t="shared" si="85"/>
        <v>-1.6496519976909383</v>
      </c>
      <c r="H237" s="65">
        <f t="shared" si="95"/>
        <v>109.67892309770824</v>
      </c>
      <c r="I237" s="64">
        <f t="shared" si="86"/>
        <v>100.60051649331267</v>
      </c>
      <c r="J237" s="64">
        <f t="shared" si="87"/>
        <v>-10.600516493312668</v>
      </c>
      <c r="K237" s="65">
        <f t="shared" si="96"/>
        <v>102.05386058159665</v>
      </c>
      <c r="L237" s="64">
        <f t="shared" si="88"/>
        <v>109.35714833341922</v>
      </c>
      <c r="M237" s="64">
        <f t="shared" si="89"/>
        <v>-19.357148333419218</v>
      </c>
      <c r="N237" s="65">
        <f t="shared" si="97"/>
        <v>93.972338202682991</v>
      </c>
      <c r="O237" s="64">
        <f t="shared" si="90"/>
        <v>117.71791342968477</v>
      </c>
      <c r="P237" s="64">
        <f t="shared" si="91"/>
        <v>-27.717913429684771</v>
      </c>
      <c r="Q237" s="65">
        <f t="shared" si="98"/>
        <v>84.992036185585349</v>
      </c>
      <c r="R237" s="64">
        <f t="shared" si="92"/>
        <v>110.13339594699603</v>
      </c>
      <c r="S237" s="59">
        <f t="shared" si="93"/>
        <v>-20.133395946996032</v>
      </c>
      <c r="T237" s="58">
        <f t="shared" si="99"/>
        <v>93.204021315348371</v>
      </c>
      <c r="U237" s="69"/>
      <c r="V237" s="53">
        <f>H236</f>
        <v>108.92907418239781</v>
      </c>
      <c r="AL237" s="50">
        <f>G236</f>
        <v>-1.0197788412340572</v>
      </c>
    </row>
    <row r="238" spans="1:38" x14ac:dyDescent="0.2">
      <c r="A238" s="67">
        <v>107</v>
      </c>
      <c r="B238" s="66">
        <f t="shared" si="81"/>
        <v>1.8675022996339325</v>
      </c>
      <c r="C238" s="64">
        <f t="shared" si="82"/>
        <v>83.261403369260535</v>
      </c>
      <c r="D238" s="64">
        <f t="shared" si="83"/>
        <v>6.7385966307394654</v>
      </c>
      <c r="E238" s="65">
        <f t="shared" si="94"/>
        <v>117.94177891837896</v>
      </c>
      <c r="F238" s="64">
        <f t="shared" si="84"/>
        <v>92.276578525232281</v>
      </c>
      <c r="G238" s="64">
        <f t="shared" si="85"/>
        <v>-2.2765785252322814</v>
      </c>
      <c r="H238" s="65">
        <f t="shared" si="95"/>
        <v>110.43147624019461</v>
      </c>
      <c r="I238" s="64">
        <f t="shared" si="86"/>
        <v>101.25224233649661</v>
      </c>
      <c r="J238" s="64">
        <f t="shared" si="87"/>
        <v>-11.252242336496607</v>
      </c>
      <c r="K238" s="65">
        <f t="shared" si="96"/>
        <v>102.8263235213772</v>
      </c>
      <c r="L238" s="64">
        <f t="shared" si="88"/>
        <v>110.02261723650041</v>
      </c>
      <c r="M238" s="64">
        <f t="shared" si="89"/>
        <v>-20.022617236500409</v>
      </c>
      <c r="N238" s="65">
        <f t="shared" si="97"/>
        <v>94.73517731139053</v>
      </c>
      <c r="O238" s="64">
        <f t="shared" si="90"/>
        <v>118.38311147715834</v>
      </c>
      <c r="P238" s="64">
        <f t="shared" si="91"/>
        <v>-28.383111477158337</v>
      </c>
      <c r="Q238" s="65">
        <f t="shared" si="98"/>
        <v>85.707914802978053</v>
      </c>
      <c r="R238" s="64">
        <f t="shared" si="92"/>
        <v>110.79948531227727</v>
      </c>
      <c r="S238" s="59">
        <f t="shared" si="93"/>
        <v>-20.79948531227727</v>
      </c>
      <c r="T238" s="58">
        <f t="shared" si="99"/>
        <v>93.964301204395269</v>
      </c>
      <c r="U238" s="69"/>
      <c r="V238" s="53">
        <f>K236</f>
        <v>101.28468430147653</v>
      </c>
      <c r="AL238" s="50">
        <f>J236</f>
        <v>-9.9469155528490063</v>
      </c>
    </row>
    <row r="239" spans="1:38" x14ac:dyDescent="0.2">
      <c r="A239" s="67">
        <v>108</v>
      </c>
      <c r="B239" s="66">
        <f t="shared" si="81"/>
        <v>1.8849555921538759</v>
      </c>
      <c r="C239" s="64">
        <f t="shared" si="82"/>
        <v>83.849051455493054</v>
      </c>
      <c r="D239" s="64">
        <f t="shared" si="83"/>
        <v>6.1509485445069458</v>
      </c>
      <c r="E239" s="65">
        <f t="shared" si="94"/>
        <v>118.65075043949679</v>
      </c>
      <c r="F239" s="64">
        <f t="shared" si="84"/>
        <v>92.900439119508135</v>
      </c>
      <c r="G239" s="64">
        <f t="shared" si="85"/>
        <v>-2.9004391195081354</v>
      </c>
      <c r="H239" s="65">
        <f t="shared" si="95"/>
        <v>111.18690357440764</v>
      </c>
      <c r="I239" s="64">
        <f t="shared" si="86"/>
        <v>101.90196609722182</v>
      </c>
      <c r="J239" s="64">
        <f t="shared" si="87"/>
        <v>-11.901966097221816</v>
      </c>
      <c r="K239" s="65">
        <f t="shared" si="96"/>
        <v>103.60228527535293</v>
      </c>
      <c r="L239" s="64">
        <f t="shared" si="88"/>
        <v>110.68735058771833</v>
      </c>
      <c r="M239" s="64">
        <f t="shared" si="89"/>
        <v>-20.687350587718328</v>
      </c>
      <c r="N239" s="65">
        <f t="shared" si="97"/>
        <v>95.501976579992075</v>
      </c>
      <c r="O239" s="64">
        <f t="shared" si="90"/>
        <v>119.0489350799016</v>
      </c>
      <c r="P239" s="64">
        <f t="shared" si="91"/>
        <v>-29.048935079901597</v>
      </c>
      <c r="Q239" s="65">
        <f t="shared" si="98"/>
        <v>86.427548983417395</v>
      </c>
      <c r="R239" s="64">
        <f t="shared" si="92"/>
        <v>111.46496069048474</v>
      </c>
      <c r="S239" s="59">
        <f t="shared" si="93"/>
        <v>-21.464960690484745</v>
      </c>
      <c r="T239" s="58">
        <f t="shared" si="99"/>
        <v>94.728559565554448</v>
      </c>
      <c r="U239" s="69"/>
      <c r="V239" s="53">
        <f>N236</f>
        <v>93.213209495925128</v>
      </c>
      <c r="AL239" s="50">
        <f>M236</f>
        <v>-18.691065247956729</v>
      </c>
    </row>
    <row r="240" spans="1:38" x14ac:dyDescent="0.2">
      <c r="A240" s="67">
        <v>109</v>
      </c>
      <c r="B240" s="66">
        <f t="shared" si="81"/>
        <v>1.9024088846738192</v>
      </c>
      <c r="C240" s="64">
        <f t="shared" si="82"/>
        <v>84.432732900739467</v>
      </c>
      <c r="D240" s="64">
        <f t="shared" si="83"/>
        <v>5.5672670992605333</v>
      </c>
      <c r="E240" s="65">
        <f t="shared" si="94"/>
        <v>119.36224840347282</v>
      </c>
      <c r="F240" s="64">
        <f t="shared" si="84"/>
        <v>93.521113080304275</v>
      </c>
      <c r="G240" s="64">
        <f t="shared" si="85"/>
        <v>-3.5211130803042749</v>
      </c>
      <c r="H240" s="65">
        <f t="shared" si="95"/>
        <v>111.9453737674169</v>
      </c>
      <c r="I240" s="64">
        <f t="shared" si="86"/>
        <v>102.54955899498576</v>
      </c>
      <c r="J240" s="64">
        <f t="shared" si="87"/>
        <v>-12.549558994985759</v>
      </c>
      <c r="K240" s="65">
        <f t="shared" si="96"/>
        <v>104.38195907194186</v>
      </c>
      <c r="L240" s="64">
        <f t="shared" si="88"/>
        <v>111.35122506490798</v>
      </c>
      <c r="M240" s="64">
        <f t="shared" si="89"/>
        <v>-21.351225064907979</v>
      </c>
      <c r="N240" s="65">
        <f t="shared" si="97"/>
        <v>96.272990322076168</v>
      </c>
      <c r="O240" s="64">
        <f t="shared" si="90"/>
        <v>119.71528229388691</v>
      </c>
      <c r="P240" s="64">
        <f t="shared" si="91"/>
        <v>-29.715282293886915</v>
      </c>
      <c r="Q240" s="65">
        <f t="shared" si="98"/>
        <v>87.151210793547449</v>
      </c>
      <c r="R240" s="64">
        <f t="shared" si="92"/>
        <v>112.12970003677893</v>
      </c>
      <c r="S240" s="59">
        <f t="shared" si="93"/>
        <v>-22.129700036778928</v>
      </c>
      <c r="T240" s="58">
        <f t="shared" si="99"/>
        <v>95.497053759751864</v>
      </c>
      <c r="U240" s="69"/>
      <c r="V240" s="53">
        <f>Q236</f>
        <v>84.279649197235912</v>
      </c>
      <c r="AL240" s="50">
        <f>P236</f>
        <v>-27.053441376652316</v>
      </c>
    </row>
    <row r="241" spans="1:39" x14ac:dyDescent="0.2">
      <c r="A241" s="67">
        <v>110</v>
      </c>
      <c r="B241" s="66">
        <f t="shared" si="81"/>
        <v>1.9198621771937625</v>
      </c>
      <c r="C241" s="64">
        <f t="shared" si="82"/>
        <v>85.012343078434256</v>
      </c>
      <c r="D241" s="64">
        <f t="shared" si="83"/>
        <v>4.987656921565744</v>
      </c>
      <c r="E241" s="65">
        <f t="shared" si="94"/>
        <v>120.07639455360064</v>
      </c>
      <c r="F241" s="64">
        <f t="shared" si="84"/>
        <v>94.138478246734351</v>
      </c>
      <c r="G241" s="64">
        <f t="shared" si="85"/>
        <v>-4.1384782467343513</v>
      </c>
      <c r="H241" s="65">
        <f t="shared" si="95"/>
        <v>112.70705417118737</v>
      </c>
      <c r="I241" s="64">
        <f t="shared" si="86"/>
        <v>103.19489034480888</v>
      </c>
      <c r="J241" s="64">
        <f t="shared" si="87"/>
        <v>-13.194890344808883</v>
      </c>
      <c r="K241" s="65">
        <f t="shared" si="96"/>
        <v>105.16555922912441</v>
      </c>
      <c r="L241" s="64">
        <f t="shared" si="88"/>
        <v>112.0141152461847</v>
      </c>
      <c r="M241" s="64">
        <f t="shared" si="89"/>
        <v>-22.014115246184701</v>
      </c>
      <c r="N241" s="65">
        <f t="shared" si="97"/>
        <v>97.048477563317519</v>
      </c>
      <c r="O241" s="64">
        <f t="shared" si="90"/>
        <v>120.38204952239953</v>
      </c>
      <c r="P241" s="64">
        <f t="shared" si="91"/>
        <v>-30.382049522399527</v>
      </c>
      <c r="Q241" s="65">
        <f t="shared" si="98"/>
        <v>87.879180841181395</v>
      </c>
      <c r="R241" s="64">
        <f t="shared" si="92"/>
        <v>112.79357921480572</v>
      </c>
      <c r="S241" s="59">
        <f t="shared" si="93"/>
        <v>-22.793579214805717</v>
      </c>
      <c r="T241" s="58">
        <f t="shared" si="99"/>
        <v>96.270046227409921</v>
      </c>
      <c r="U241" s="69"/>
    </row>
    <row r="242" spans="1:39" x14ac:dyDescent="0.2">
      <c r="A242" s="67">
        <v>111</v>
      </c>
      <c r="B242" s="66">
        <f t="shared" si="81"/>
        <v>1.9373154697137058</v>
      </c>
      <c r="C242" s="64">
        <f t="shared" si="82"/>
        <v>85.587776300715973</v>
      </c>
      <c r="D242" s="64">
        <f t="shared" si="83"/>
        <v>4.4122236992840271</v>
      </c>
      <c r="E242" s="65">
        <f t="shared" si="94"/>
        <v>120.79330819281071</v>
      </c>
      <c r="F242" s="64">
        <f t="shared" si="84"/>
        <v>94.752410934536954</v>
      </c>
      <c r="G242" s="64">
        <f t="shared" si="85"/>
        <v>-4.7524109345369538</v>
      </c>
      <c r="H242" s="65">
        <f t="shared" si="95"/>
        <v>113.47211079541812</v>
      </c>
      <c r="I242" s="64">
        <f t="shared" si="86"/>
        <v>103.83782744784091</v>
      </c>
      <c r="J242" s="64">
        <f t="shared" si="87"/>
        <v>-13.837827447840908</v>
      </c>
      <c r="K242" s="65">
        <f t="shared" si="96"/>
        <v>105.95330116077545</v>
      </c>
      <c r="L242" s="64">
        <f t="shared" si="88"/>
        <v>112.67589345861936</v>
      </c>
      <c r="M242" s="64">
        <f t="shared" si="89"/>
        <v>-22.675893458619356</v>
      </c>
      <c r="N242" s="65">
        <f t="shared" si="97"/>
        <v>97.828702196173225</v>
      </c>
      <c r="O242" s="64">
        <f t="shared" si="90"/>
        <v>121.04913136058623</v>
      </c>
      <c r="P242" s="64">
        <f t="shared" si="91"/>
        <v>-31.04913136058623</v>
      </c>
      <c r="Q242" s="65">
        <f t="shared" si="98"/>
        <v>88.611748703864819</v>
      </c>
      <c r="R242" s="64">
        <f t="shared" si="92"/>
        <v>113.45647184278083</v>
      </c>
      <c r="S242" s="59">
        <f t="shared" si="93"/>
        <v>-23.456471842780829</v>
      </c>
      <c r="T242" s="58">
        <f t="shared" si="99"/>
        <v>97.047804663736798</v>
      </c>
      <c r="U242" s="69"/>
    </row>
    <row r="243" spans="1:39" x14ac:dyDescent="0.2">
      <c r="A243" s="67">
        <v>112</v>
      </c>
      <c r="B243" s="66">
        <f t="shared" si="81"/>
        <v>1.9547687622336491</v>
      </c>
      <c r="C243" s="64">
        <f t="shared" si="82"/>
        <v>86.158925797086908</v>
      </c>
      <c r="D243" s="64">
        <f t="shared" si="83"/>
        <v>3.8410742029130915</v>
      </c>
      <c r="E243" s="65">
        <f t="shared" si="94"/>
        <v>121.51310616555779</v>
      </c>
      <c r="F243" s="64">
        <f t="shared" si="84"/>
        <v>95.362785875607614</v>
      </c>
      <c r="G243" s="64">
        <f t="shared" si="85"/>
        <v>-5.3627858756076137</v>
      </c>
      <c r="H243" s="65">
        <f t="shared" si="95"/>
        <v>114.24070827050133</v>
      </c>
      <c r="I243" s="64">
        <f t="shared" si="86"/>
        <v>104.47823548182436</v>
      </c>
      <c r="J243" s="64">
        <f t="shared" si="87"/>
        <v>-14.478235481824356</v>
      </c>
      <c r="K243" s="65">
        <f t="shared" si="96"/>
        <v>106.74540137279354</v>
      </c>
      <c r="L243" s="64">
        <f t="shared" si="88"/>
        <v>113.3364296224903</v>
      </c>
      <c r="M243" s="64">
        <f t="shared" si="89"/>
        <v>-23.3364296224903</v>
      </c>
      <c r="N243" s="65">
        <f t="shared" si="97"/>
        <v>98.61393313188384</v>
      </c>
      <c r="O243" s="64">
        <f t="shared" si="90"/>
        <v>121.71642043187961</v>
      </c>
      <c r="P243" s="64">
        <f t="shared" si="91"/>
        <v>-31.716420431879612</v>
      </c>
      <c r="Q243" s="65">
        <f t="shared" si="98"/>
        <v>89.349213378085096</v>
      </c>
      <c r="R243" s="64">
        <f t="shared" si="92"/>
        <v>114.11824913472584</v>
      </c>
      <c r="S243" s="59">
        <f t="shared" si="93"/>
        <v>-24.118249134725843</v>
      </c>
      <c r="T243" s="58">
        <f t="shared" si="99"/>
        <v>97.830602192709662</v>
      </c>
      <c r="U243" s="69"/>
    </row>
    <row r="244" spans="1:39" x14ac:dyDescent="0.2">
      <c r="A244" s="67">
        <v>113</v>
      </c>
      <c r="B244" s="66">
        <f t="shared" si="81"/>
        <v>1.9722220547535925</v>
      </c>
      <c r="C244" s="64">
        <f t="shared" si="82"/>
        <v>86.725683695837517</v>
      </c>
      <c r="D244" s="64">
        <f t="shared" si="83"/>
        <v>3.2743163041624825</v>
      </c>
      <c r="E244" s="65">
        <f t="shared" si="94"/>
        <v>122.23590283203805</v>
      </c>
      <c r="F244" s="64">
        <f t="shared" si="84"/>
        <v>95.969476159911054</v>
      </c>
      <c r="G244" s="64">
        <f t="shared" si="85"/>
        <v>-5.9694761599110535</v>
      </c>
      <c r="H244" s="65">
        <f t="shared" si="95"/>
        <v>115.0130098002507</v>
      </c>
      <c r="I244" s="64">
        <f t="shared" si="86"/>
        <v>105.11597739153427</v>
      </c>
      <c r="J244" s="64">
        <f t="shared" si="87"/>
        <v>-15.115977391534273</v>
      </c>
      <c r="K244" s="65">
        <f t="shared" si="96"/>
        <v>107.54207744811796</v>
      </c>
      <c r="L244" s="64">
        <f t="shared" si="88"/>
        <v>113.99559109098692</v>
      </c>
      <c r="M244" s="64">
        <f t="shared" si="89"/>
        <v>-23.99559109098692</v>
      </c>
      <c r="N244" s="65">
        <f t="shared" si="97"/>
        <v>99.404444448714656</v>
      </c>
      <c r="O244" s="64">
        <f t="shared" si="90"/>
        <v>122.38380721575999</v>
      </c>
      <c r="P244" s="64">
        <f t="shared" si="91"/>
        <v>-32.383807215759987</v>
      </c>
      <c r="Q244" s="65">
        <f t="shared" si="98"/>
        <v>90.091883749708032</v>
      </c>
      <c r="R244" s="64">
        <f t="shared" si="92"/>
        <v>114.77877973669551</v>
      </c>
      <c r="S244" s="59">
        <f t="shared" si="93"/>
        <v>-24.778779736695512</v>
      </c>
      <c r="T244" s="58">
        <f t="shared" si="99"/>
        <v>98.618717538736391</v>
      </c>
      <c r="U244" s="69"/>
    </row>
    <row r="245" spans="1:39" x14ac:dyDescent="0.2">
      <c r="A245" s="67">
        <v>114</v>
      </c>
      <c r="B245" s="66">
        <f t="shared" si="81"/>
        <v>1.9896753472735358</v>
      </c>
      <c r="C245" s="64">
        <f t="shared" si="82"/>
        <v>87.287941008333704</v>
      </c>
      <c r="D245" s="64">
        <f t="shared" si="83"/>
        <v>2.7120589916662965</v>
      </c>
      <c r="E245" s="65">
        <f t="shared" si="94"/>
        <v>122.96181003479269</v>
      </c>
      <c r="F245" s="64">
        <f t="shared" si="84"/>
        <v>96.572353179936187</v>
      </c>
      <c r="G245" s="64">
        <f t="shared" si="85"/>
        <v>-6.5723531799361865</v>
      </c>
      <c r="H245" s="65">
        <f t="shared" si="95"/>
        <v>115.78917710404004</v>
      </c>
      <c r="I245" s="64">
        <f t="shared" si="86"/>
        <v>105.7509137793361</v>
      </c>
      <c r="J245" s="64">
        <f t="shared" si="87"/>
        <v>-15.750913779336102</v>
      </c>
      <c r="K245" s="65">
        <f t="shared" si="96"/>
        <v>108.34354801966731</v>
      </c>
      <c r="L245" s="64">
        <f t="shared" si="88"/>
        <v>114.65324248524945</v>
      </c>
      <c r="M245" s="64">
        <f t="shared" si="89"/>
        <v>-24.65324248524945</v>
      </c>
      <c r="N245" s="65">
        <f t="shared" si="97"/>
        <v>100.2005155352429</v>
      </c>
      <c r="O245" s="64">
        <f t="shared" si="90"/>
        <v>123.0511798662824</v>
      </c>
      <c r="P245" s="64">
        <f t="shared" si="91"/>
        <v>-33.051179866282396</v>
      </c>
      <c r="Q245" s="65">
        <f t="shared" si="98"/>
        <v>90.84007908617842</v>
      </c>
      <c r="R245" s="64">
        <f t="shared" si="92"/>
        <v>115.43792955784416</v>
      </c>
      <c r="S245" s="59">
        <f t="shared" si="93"/>
        <v>-25.437929557844157</v>
      </c>
      <c r="T245" s="58">
        <f t="shared" si="99"/>
        <v>99.412435194848371</v>
      </c>
      <c r="U245" s="69"/>
    </row>
    <row r="246" spans="1:39" x14ac:dyDescent="0.2">
      <c r="A246" s="67">
        <v>115</v>
      </c>
      <c r="B246" s="66">
        <f t="shared" si="81"/>
        <v>2.0071286397934789</v>
      </c>
      <c r="C246" s="64">
        <f t="shared" si="82"/>
        <v>87.845587616273235</v>
      </c>
      <c r="D246" s="64">
        <f t="shared" si="83"/>
        <v>2.1544123837267648</v>
      </c>
      <c r="E246" s="65">
        <f t="shared" si="94"/>
        <v>123.69093705775794</v>
      </c>
      <c r="F246" s="64">
        <f t="shared" si="84"/>
        <v>97.171286577872777</v>
      </c>
      <c r="G246" s="64">
        <f t="shared" si="85"/>
        <v>-7.1712865778727775</v>
      </c>
      <c r="H246" s="65">
        <f t="shared" si="95"/>
        <v>116.56937034798774</v>
      </c>
      <c r="I246" s="64">
        <f t="shared" si="86"/>
        <v>106.3829027960293</v>
      </c>
      <c r="J246" s="64">
        <f t="shared" si="87"/>
        <v>-16.382902796029299</v>
      </c>
      <c r="K246" s="65">
        <f t="shared" si="96"/>
        <v>109.15003273017567</v>
      </c>
      <c r="L246" s="64">
        <f t="shared" si="88"/>
        <v>115.30924552464539</v>
      </c>
      <c r="M246" s="64">
        <f t="shared" si="89"/>
        <v>-25.309245524645391</v>
      </c>
      <c r="N246" s="65">
        <f t="shared" si="97"/>
        <v>101.00243122735525</v>
      </c>
      <c r="O246" s="64">
        <f t="shared" si="90"/>
        <v>123.71842402076064</v>
      </c>
      <c r="P246" s="64">
        <f t="shared" si="91"/>
        <v>-33.718424020760636</v>
      </c>
      <c r="Q246" s="65">
        <f t="shared" si="98"/>
        <v>91.594129550962265</v>
      </c>
      <c r="R246" s="64">
        <f t="shared" si="92"/>
        <v>116.09556159619045</v>
      </c>
      <c r="S246" s="59">
        <f t="shared" si="93"/>
        <v>-26.09556159619045</v>
      </c>
      <c r="T246" s="58">
        <f t="shared" si="99"/>
        <v>100.21204558613024</v>
      </c>
      <c r="U246" s="69"/>
    </row>
    <row r="247" spans="1:39" x14ac:dyDescent="0.2">
      <c r="A247" s="67">
        <v>116</v>
      </c>
      <c r="B247" s="66">
        <f t="shared" si="81"/>
        <v>2.0245819323134224</v>
      </c>
      <c r="C247" s="64">
        <f t="shared" si="82"/>
        <v>88.398512262024056</v>
      </c>
      <c r="D247" s="64">
        <f t="shared" si="83"/>
        <v>1.601487737975944</v>
      </c>
      <c r="E247" s="65">
        <f t="shared" si="94"/>
        <v>124.42339057782527</v>
      </c>
      <c r="F247" s="64">
        <f t="shared" si="84"/>
        <v>97.766144195706374</v>
      </c>
      <c r="G247" s="64">
        <f t="shared" si="85"/>
        <v>-7.7661441957063744</v>
      </c>
      <c r="H247" s="65">
        <f t="shared" si="95"/>
        <v>117.35374806481784</v>
      </c>
      <c r="I247" s="64">
        <f t="shared" si="86"/>
        <v>107.01180003217156</v>
      </c>
      <c r="J247" s="64">
        <f t="shared" si="87"/>
        <v>-17.011800032171564</v>
      </c>
      <c r="K247" s="65">
        <f t="shared" si="96"/>
        <v>109.96175217784196</v>
      </c>
      <c r="L247" s="64">
        <f t="shared" si="88"/>
        <v>115.96345885219942</v>
      </c>
      <c r="M247" s="64">
        <f t="shared" si="89"/>
        <v>-25.963458852199423</v>
      </c>
      <c r="N247" s="65">
        <f t="shared" si="97"/>
        <v>101.81048193746304</v>
      </c>
      <c r="O247" s="64">
        <f t="shared" si="90"/>
        <v>124.3854225979622</v>
      </c>
      <c r="P247" s="64">
        <f t="shared" si="91"/>
        <v>-34.385422597962204</v>
      </c>
      <c r="Q247" s="65">
        <f t="shared" si="98"/>
        <v>92.354376740627856</v>
      </c>
      <c r="R247" s="64">
        <f t="shared" si="92"/>
        <v>116.75153575895409</v>
      </c>
      <c r="S247" s="59">
        <f t="shared" si="93"/>
        <v>-26.751535758954091</v>
      </c>
      <c r="T247" s="58">
        <f t="shared" si="99"/>
        <v>101.01784522692914</v>
      </c>
      <c r="U247" s="69"/>
    </row>
    <row r="248" spans="1:39" x14ac:dyDescent="0.2">
      <c r="A248" s="67">
        <v>117</v>
      </c>
      <c r="B248" s="66">
        <f t="shared" si="81"/>
        <v>2.0420352248333655</v>
      </c>
      <c r="C248" s="64">
        <f t="shared" si="82"/>
        <v>88.946602542164896</v>
      </c>
      <c r="D248" s="64">
        <f t="shared" si="83"/>
        <v>1.0533974578351035</v>
      </c>
      <c r="E248" s="65">
        <f t="shared" si="94"/>
        <v>125.15927460898261</v>
      </c>
      <c r="F248" s="64">
        <f t="shared" si="84"/>
        <v>98.356792028445597</v>
      </c>
      <c r="G248" s="64">
        <f t="shared" si="85"/>
        <v>-8.3567920284455965</v>
      </c>
      <c r="H248" s="65">
        <f t="shared" si="95"/>
        <v>118.14246706202684</v>
      </c>
      <c r="I248" s="64">
        <f t="shared" si="86"/>
        <v>107.63745841010851</v>
      </c>
      <c r="J248" s="64">
        <f t="shared" si="87"/>
        <v>-17.637458410108508</v>
      </c>
      <c r="K248" s="65">
        <f t="shared" si="96"/>
        <v>110.77892784664718</v>
      </c>
      <c r="L248" s="64">
        <f t="shared" si="88"/>
        <v>116.61573785511489</v>
      </c>
      <c r="M248" s="64">
        <f t="shared" si="89"/>
        <v>-26.615737855114887</v>
      </c>
      <c r="N248" s="65">
        <f t="shared" si="97"/>
        <v>102.62496377426923</v>
      </c>
      <c r="O248" s="64">
        <f t="shared" si="90"/>
        <v>125.05205558513008</v>
      </c>
      <c r="P248" s="64">
        <f t="shared" si="91"/>
        <v>-35.052055585130077</v>
      </c>
      <c r="Q248" s="65">
        <f t="shared" si="98"/>
        <v>93.121174244862218</v>
      </c>
      <c r="R248" s="64">
        <f t="shared" si="92"/>
        <v>117.40570867735609</v>
      </c>
      <c r="S248" s="59">
        <f t="shared" si="93"/>
        <v>-27.405708677356088</v>
      </c>
      <c r="T248" s="58">
        <f t="shared" si="99"/>
        <v>101.8301368702065</v>
      </c>
      <c r="U248" s="69"/>
    </row>
    <row r="249" spans="1:39" x14ac:dyDescent="0.2">
      <c r="A249" s="67">
        <v>118</v>
      </c>
      <c r="B249" s="66">
        <f t="shared" si="81"/>
        <v>2.0594885173533091</v>
      </c>
      <c r="C249" s="64">
        <f t="shared" si="82"/>
        <v>89.489744904354694</v>
      </c>
      <c r="D249" s="64">
        <f t="shared" si="83"/>
        <v>0.5102550956453058</v>
      </c>
      <c r="E249" s="65">
        <f t="shared" si="94"/>
        <v>125.8986904391157</v>
      </c>
      <c r="F249" s="64">
        <f t="shared" si="84"/>
        <v>98.943094180714695</v>
      </c>
      <c r="G249" s="64">
        <f t="shared" si="85"/>
        <v>-8.9430941807146951</v>
      </c>
      <c r="H249" s="65">
        <f t="shared" si="95"/>
        <v>118.9356823179883</v>
      </c>
      <c r="I249" s="64">
        <f t="shared" si="86"/>
        <v>108.25972807696607</v>
      </c>
      <c r="J249" s="64">
        <f t="shared" si="87"/>
        <v>-18.25972807696607</v>
      </c>
      <c r="K249" s="65">
        <f t="shared" si="96"/>
        <v>111.60178202013229</v>
      </c>
      <c r="L249" s="64">
        <f t="shared" si="88"/>
        <v>117.26593448035086</v>
      </c>
      <c r="M249" s="64">
        <f t="shared" si="89"/>
        <v>-27.265934480350865</v>
      </c>
      <c r="N249" s="65">
        <f t="shared" si="97"/>
        <v>103.44617865123361</v>
      </c>
      <c r="O249" s="64">
        <f t="shared" si="90"/>
        <v>125.7181998131078</v>
      </c>
      <c r="P249" s="64">
        <f t="shared" si="91"/>
        <v>-35.718199813107802</v>
      </c>
      <c r="Q249" s="65">
        <f t="shared" si="98"/>
        <v>93.894888229590194</v>
      </c>
      <c r="R249" s="64">
        <f t="shared" si="92"/>
        <v>118.05793351579653</v>
      </c>
      <c r="S249" s="59">
        <f t="shared" si="93"/>
        <v>-28.057933515796535</v>
      </c>
      <c r="T249" s="58">
        <f t="shared" si="99"/>
        <v>102.64922964719592</v>
      </c>
      <c r="U249" s="68"/>
    </row>
    <row r="250" spans="1:39" x14ac:dyDescent="0.2">
      <c r="A250" s="67">
        <v>119</v>
      </c>
      <c r="B250" s="66">
        <f t="shared" si="81"/>
        <v>2.0769418098732522</v>
      </c>
      <c r="C250" s="64">
        <f t="shared" si="82"/>
        <v>90.02782464766338</v>
      </c>
      <c r="D250" s="64">
        <f t="shared" si="83"/>
        <v>-2.7824647663379665E-2</v>
      </c>
      <c r="E250" s="65">
        <f t="shared" si="94"/>
        <v>126.64173655955932</v>
      </c>
      <c r="F250" s="64">
        <f t="shared" si="84"/>
        <v>99.524912826961852</v>
      </c>
      <c r="G250" s="64">
        <f t="shared" si="85"/>
        <v>-9.5249128269618524</v>
      </c>
      <c r="H250" s="65">
        <f t="shared" si="95"/>
        <v>119.73354686562868</v>
      </c>
      <c r="I250" s="64">
        <f t="shared" si="86"/>
        <v>108.8784562988975</v>
      </c>
      <c r="J250" s="64">
        <f t="shared" si="87"/>
        <v>-18.878456298897504</v>
      </c>
      <c r="K250" s="65">
        <f t="shared" si="96"/>
        <v>112.43053767736758</v>
      </c>
      <c r="L250" s="64">
        <f t="shared" si="88"/>
        <v>117.91389704524778</v>
      </c>
      <c r="M250" s="64">
        <f t="shared" si="89"/>
        <v>-27.913897045247779</v>
      </c>
      <c r="N250" s="65">
        <f t="shared" si="97"/>
        <v>104.27443438167397</v>
      </c>
      <c r="O250" s="64">
        <f t="shared" si="90"/>
        <v>126.38372871880466</v>
      </c>
      <c r="P250" s="64">
        <f t="shared" si="91"/>
        <v>-36.383728718804662</v>
      </c>
      <c r="Q250" s="65">
        <f t="shared" si="98"/>
        <v>94.675898043203972</v>
      </c>
      <c r="R250" s="64">
        <f t="shared" si="92"/>
        <v>118.70805977535002</v>
      </c>
      <c r="S250" s="59">
        <f t="shared" si="93"/>
        <v>-28.708059775350023</v>
      </c>
      <c r="T250" s="58">
        <f t="shared" si="99"/>
        <v>103.47543919531185</v>
      </c>
    </row>
    <row r="251" spans="1:39" s="54" customFormat="1" x14ac:dyDescent="0.2">
      <c r="A251" s="63">
        <v>120</v>
      </c>
      <c r="B251" s="62">
        <f t="shared" si="81"/>
        <v>2.0943951023931953</v>
      </c>
      <c r="C251" s="60">
        <f t="shared" si="82"/>
        <v>90.560725926502386</v>
      </c>
      <c r="D251" s="60">
        <f t="shared" si="83"/>
        <v>-0.56072592650238562</v>
      </c>
      <c r="E251" s="61">
        <f t="shared" si="94"/>
        <v>127.38850858750132</v>
      </c>
      <c r="F251" s="60">
        <f t="shared" si="84"/>
        <v>100.10210817555337</v>
      </c>
      <c r="G251" s="60">
        <f t="shared" si="85"/>
        <v>-10.102108175553369</v>
      </c>
      <c r="H251" s="61">
        <f t="shared" si="95"/>
        <v>120.53621166331894</v>
      </c>
      <c r="I251" s="60">
        <f t="shared" si="86"/>
        <v>109.4934873569146</v>
      </c>
      <c r="J251" s="60">
        <f t="shared" si="87"/>
        <v>-19.493487356914599</v>
      </c>
      <c r="K251" s="61">
        <f t="shared" si="96"/>
        <v>113.26541836978299</v>
      </c>
      <c r="L251" s="60">
        <f t="shared" si="88"/>
        <v>118.5594700432308</v>
      </c>
      <c r="M251" s="60">
        <f t="shared" si="89"/>
        <v>-28.559470043230803</v>
      </c>
      <c r="N251" s="61">
        <f t="shared" si="97"/>
        <v>105.1100447582172</v>
      </c>
      <c r="O251" s="60">
        <f t="shared" si="90"/>
        <v>127.0485120941976</v>
      </c>
      <c r="P251" s="60">
        <f t="shared" si="91"/>
        <v>-37.048512094197605</v>
      </c>
      <c r="Q251" s="61">
        <f t="shared" si="98"/>
        <v>95.464596845714027</v>
      </c>
      <c r="R251" s="60">
        <f t="shared" si="92"/>
        <v>119.35593309155176</v>
      </c>
      <c r="S251" s="59">
        <f t="shared" si="93"/>
        <v>-29.355933091551762</v>
      </c>
      <c r="T251" s="58">
        <f t="shared" si="99"/>
        <v>104.30908777201385</v>
      </c>
      <c r="U251" s="57"/>
      <c r="V251" s="56">
        <f>E251</f>
        <v>127.38850858750132</v>
      </c>
      <c r="W251" s="55"/>
      <c r="AM251" s="55">
        <f>D251</f>
        <v>-0.56072592650238562</v>
      </c>
    </row>
    <row r="252" spans="1:39" x14ac:dyDescent="0.2">
      <c r="V252" s="53">
        <f>H251</f>
        <v>120.53621166331894</v>
      </c>
      <c r="AM252" s="50">
        <f>G251</f>
        <v>-10.102108175553369</v>
      </c>
    </row>
    <row r="253" spans="1:39" x14ac:dyDescent="0.2">
      <c r="V253" s="53">
        <f>K251</f>
        <v>113.26541836978299</v>
      </c>
      <c r="AM253" s="50">
        <f>J251</f>
        <v>-19.493487356914599</v>
      </c>
    </row>
    <row r="254" spans="1:39" x14ac:dyDescent="0.2">
      <c r="V254" s="53">
        <f>N251</f>
        <v>105.1100447582172</v>
      </c>
      <c r="AM254" s="50">
        <f>M251</f>
        <v>-28.559470043230803</v>
      </c>
    </row>
    <row r="255" spans="1:39" x14ac:dyDescent="0.2">
      <c r="V255" s="53">
        <f>Q251</f>
        <v>95.464596845714027</v>
      </c>
      <c r="AM255" s="50">
        <f>P251</f>
        <v>-37.048512094197605</v>
      </c>
    </row>
  </sheetData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5"/>
  <sheetViews>
    <sheetView zoomScale="70" zoomScaleNormal="70" workbookViewId="0">
      <selection activeCell="M53" sqref="M53"/>
    </sheetView>
  </sheetViews>
  <sheetFormatPr baseColWidth="10" defaultColWidth="11.42578125" defaultRowHeight="12.75" x14ac:dyDescent="0.2"/>
  <cols>
    <col min="1" max="1" width="20" style="52" customWidth="1"/>
    <col min="2" max="2" width="9" style="51" customWidth="1"/>
    <col min="3" max="3" width="9.5703125" style="49" customWidth="1"/>
    <col min="4" max="4" width="10.7109375" style="49" customWidth="1"/>
    <col min="5" max="5" width="11" style="52" customWidth="1"/>
    <col min="6" max="6" width="10.140625" style="49" customWidth="1"/>
    <col min="7" max="7" width="9.140625" style="49" customWidth="1"/>
    <col min="8" max="8" width="11" style="52" customWidth="1"/>
    <col min="9" max="10" width="11.42578125" style="49"/>
    <col min="11" max="11" width="11.42578125" style="52"/>
    <col min="12" max="13" width="11.42578125" style="49"/>
    <col min="14" max="14" width="11.42578125" style="52"/>
    <col min="15" max="16" width="11.42578125" style="49"/>
    <col min="17" max="17" width="11.42578125" style="52"/>
    <col min="18" max="19" width="11.42578125" style="49"/>
    <col min="20" max="20" width="11.42578125" style="52"/>
    <col min="21" max="21" width="4" style="51" customWidth="1"/>
    <col min="22" max="22" width="11.42578125" style="51"/>
    <col min="23" max="23" width="8.7109375" style="50" customWidth="1"/>
    <col min="24" max="39" width="8.7109375" style="49" customWidth="1"/>
    <col min="40" max="16384" width="11.42578125" style="49"/>
  </cols>
  <sheetData>
    <row r="1" spans="1:39" x14ac:dyDescent="0.2">
      <c r="A1" s="97"/>
      <c r="B1" s="49"/>
      <c r="E1" s="49"/>
      <c r="H1" s="49"/>
      <c r="K1" s="49"/>
      <c r="N1" s="49"/>
      <c r="Q1" s="49"/>
      <c r="T1" s="49"/>
      <c r="U1" s="49"/>
      <c r="V1" s="49"/>
    </row>
    <row r="2" spans="1:39" x14ac:dyDescent="0.2">
      <c r="A2" s="97"/>
      <c r="B2" s="49"/>
      <c r="E2" s="100"/>
      <c r="F2" s="101"/>
      <c r="H2" s="49"/>
      <c r="K2" s="49"/>
      <c r="N2" s="49"/>
      <c r="Q2" s="49"/>
      <c r="T2" s="49"/>
      <c r="U2" s="49"/>
      <c r="V2" s="49"/>
    </row>
    <row r="3" spans="1:39" x14ac:dyDescent="0.2">
      <c r="A3" s="49"/>
      <c r="C3" s="99" t="s">
        <v>34</v>
      </c>
      <c r="I3" s="102" t="s">
        <v>63</v>
      </c>
      <c r="O3" s="99" t="s">
        <v>35</v>
      </c>
      <c r="R3" s="96" t="s">
        <v>61</v>
      </c>
      <c r="S3" s="122">
        <f>'Ej-2a_TraySol_Mad'!S3</f>
        <v>297</v>
      </c>
      <c r="T3" s="49"/>
    </row>
    <row r="4" spans="1:39" x14ac:dyDescent="0.2">
      <c r="A4" s="49"/>
      <c r="C4" s="98" t="s">
        <v>1</v>
      </c>
      <c r="F4" s="95" t="s">
        <v>19</v>
      </c>
      <c r="G4" s="95" t="s">
        <v>1</v>
      </c>
      <c r="L4" s="95" t="s">
        <v>19</v>
      </c>
      <c r="M4" s="95" t="s">
        <v>1</v>
      </c>
      <c r="O4" s="95" t="s">
        <v>19</v>
      </c>
      <c r="P4" s="95" t="s">
        <v>1</v>
      </c>
      <c r="R4" s="95" t="s">
        <v>19</v>
      </c>
      <c r="S4" s="95" t="s">
        <v>1</v>
      </c>
      <c r="T4" s="49"/>
    </row>
    <row r="5" spans="1:39" x14ac:dyDescent="0.2">
      <c r="A5" s="7" t="s">
        <v>62</v>
      </c>
      <c r="B5" s="51">
        <v>23.45</v>
      </c>
      <c r="C5" s="49">
        <f>RADIANS(B5)</f>
        <v>0.40927970959267029</v>
      </c>
      <c r="F5" s="50">
        <f>B5/2</f>
        <v>11.725</v>
      </c>
      <c r="G5" s="49">
        <f>RADIANS(F5)</f>
        <v>0.20463985479633515</v>
      </c>
      <c r="I5" s="49">
        <v>0</v>
      </c>
      <c r="J5" s="49">
        <f>RADIANS(I5)</f>
        <v>0</v>
      </c>
      <c r="L5" s="50">
        <f>-F5</f>
        <v>-11.725</v>
      </c>
      <c r="M5" s="49">
        <f>RADIANS(L5)</f>
        <v>-0.20463985479633515</v>
      </c>
      <c r="O5" s="49">
        <f>-B5</f>
        <v>-23.45</v>
      </c>
      <c r="P5" s="49">
        <f>RADIANS(O5)</f>
        <v>-0.40927970959267029</v>
      </c>
      <c r="R5" s="50">
        <f>IF(S3&lt;&gt;"",23.45*SIN(RADIANS(360*(S3+284)/365)),"")</f>
        <v>-12.785888283778254</v>
      </c>
      <c r="S5" s="49">
        <f>RADIANS(R5)</f>
        <v>-0.22315584834409763</v>
      </c>
      <c r="U5" s="94"/>
      <c r="V5" s="94"/>
      <c r="W5" s="49">
        <v>1</v>
      </c>
      <c r="X5" s="49">
        <v>17</v>
      </c>
      <c r="Y5" s="92"/>
      <c r="Z5" s="49">
        <v>7</v>
      </c>
      <c r="AA5" s="49">
        <v>198</v>
      </c>
    </row>
    <row r="6" spans="1:39" x14ac:dyDescent="0.2">
      <c r="A6" s="7" t="s">
        <v>6</v>
      </c>
      <c r="B6" s="103">
        <v>19.47</v>
      </c>
      <c r="C6" s="49">
        <f>RADIANS(B6)</f>
        <v>0.33981560536329597</v>
      </c>
      <c r="U6" s="93"/>
      <c r="W6" s="49">
        <v>2</v>
      </c>
      <c r="X6" s="49">
        <v>46</v>
      </c>
      <c r="Y6" s="92"/>
      <c r="Z6" s="49">
        <v>8</v>
      </c>
      <c r="AA6" s="49">
        <v>228</v>
      </c>
    </row>
    <row r="7" spans="1:39" x14ac:dyDescent="0.2">
      <c r="A7" s="91"/>
      <c r="B7" s="88"/>
      <c r="C7" s="87"/>
      <c r="D7" s="89" t="s">
        <v>0</v>
      </c>
      <c r="E7" s="90"/>
      <c r="F7" s="87"/>
      <c r="G7" s="87"/>
      <c r="J7" s="89" t="s">
        <v>3</v>
      </c>
      <c r="P7" s="89" t="s">
        <v>2</v>
      </c>
      <c r="R7" s="86"/>
      <c r="U7" s="88"/>
    </row>
    <row r="8" spans="1:39" x14ac:dyDescent="0.2">
      <c r="D8" s="100" t="s">
        <v>4</v>
      </c>
      <c r="E8" s="101" t="s">
        <v>5</v>
      </c>
      <c r="I8" s="87"/>
      <c r="R8" s="86"/>
      <c r="W8" s="74">
        <f>A10</f>
        <v>-120</v>
      </c>
      <c r="X8" s="49">
        <f>A25</f>
        <v>-105</v>
      </c>
      <c r="Y8" s="49">
        <f>A40</f>
        <v>-90</v>
      </c>
      <c r="Z8" s="49">
        <f>A55</f>
        <v>-75</v>
      </c>
      <c r="AA8" s="49">
        <f>A70</f>
        <v>-60</v>
      </c>
      <c r="AB8" s="49">
        <f>A85</f>
        <v>-45</v>
      </c>
      <c r="AC8" s="49">
        <f>A100</f>
        <v>-30</v>
      </c>
      <c r="AD8" s="49">
        <f>A115</f>
        <v>-15</v>
      </c>
      <c r="AE8" s="49">
        <f>A131</f>
        <v>1E-3</v>
      </c>
      <c r="AF8" s="49">
        <f>A146</f>
        <v>15</v>
      </c>
      <c r="AG8" s="49">
        <f>A161</f>
        <v>30</v>
      </c>
      <c r="AH8" s="49">
        <f>A176</f>
        <v>45</v>
      </c>
      <c r="AI8" s="49">
        <f>A191</f>
        <v>60</v>
      </c>
      <c r="AJ8" s="49">
        <f>A206</f>
        <v>75</v>
      </c>
      <c r="AK8" s="49">
        <f>A221</f>
        <v>90</v>
      </c>
      <c r="AL8" s="49">
        <f>A236</f>
        <v>105</v>
      </c>
      <c r="AM8" s="49">
        <f>A251</f>
        <v>120</v>
      </c>
    </row>
    <row r="9" spans="1:39" s="80" customFormat="1" ht="16.5" x14ac:dyDescent="0.3">
      <c r="A9" s="82" t="s">
        <v>60</v>
      </c>
      <c r="B9" s="82" t="s">
        <v>59</v>
      </c>
      <c r="C9" s="85" t="s">
        <v>58</v>
      </c>
      <c r="D9" s="85" t="s">
        <v>57</v>
      </c>
      <c r="E9" s="82" t="s">
        <v>56</v>
      </c>
      <c r="F9" s="85" t="s">
        <v>58</v>
      </c>
      <c r="G9" s="85" t="s">
        <v>57</v>
      </c>
      <c r="H9" s="82" t="s">
        <v>56</v>
      </c>
      <c r="I9" s="85" t="s">
        <v>58</v>
      </c>
      <c r="J9" s="85" t="s">
        <v>57</v>
      </c>
      <c r="K9" s="82" t="s">
        <v>56</v>
      </c>
      <c r="L9" s="85" t="s">
        <v>58</v>
      </c>
      <c r="M9" s="85" t="s">
        <v>57</v>
      </c>
      <c r="N9" s="82" t="s">
        <v>56</v>
      </c>
      <c r="O9" s="85" t="s">
        <v>58</v>
      </c>
      <c r="P9" s="85" t="s">
        <v>57</v>
      </c>
      <c r="Q9" s="82" t="s">
        <v>56</v>
      </c>
      <c r="R9" s="85" t="s">
        <v>58</v>
      </c>
      <c r="S9" s="84" t="s">
        <v>57</v>
      </c>
      <c r="T9" s="84" t="s">
        <v>56</v>
      </c>
      <c r="U9" s="83"/>
      <c r="V9" s="82" t="s">
        <v>55</v>
      </c>
      <c r="W9" s="81" t="s">
        <v>54</v>
      </c>
      <c r="X9" s="81" t="s">
        <v>53</v>
      </c>
      <c r="Y9" s="81" t="s">
        <v>52</v>
      </c>
      <c r="Z9" s="81" t="s">
        <v>51</v>
      </c>
      <c r="AA9" s="81" t="s">
        <v>50</v>
      </c>
      <c r="AB9" s="81" t="s">
        <v>49</v>
      </c>
      <c r="AC9" s="81" t="s">
        <v>48</v>
      </c>
      <c r="AD9" s="81" t="s">
        <v>47</v>
      </c>
      <c r="AE9" s="81" t="s">
        <v>46</v>
      </c>
      <c r="AF9" s="81" t="s">
        <v>45</v>
      </c>
      <c r="AG9" s="81" t="s">
        <v>44</v>
      </c>
      <c r="AH9" s="81" t="s">
        <v>43</v>
      </c>
      <c r="AI9" s="81" t="s">
        <v>42</v>
      </c>
      <c r="AJ9" s="81" t="s">
        <v>41</v>
      </c>
      <c r="AK9" s="81" t="s">
        <v>40</v>
      </c>
      <c r="AL9" s="81" t="s">
        <v>39</v>
      </c>
      <c r="AM9" s="81" t="s">
        <v>38</v>
      </c>
    </row>
    <row r="10" spans="1:39" s="54" customFormat="1" x14ac:dyDescent="0.2">
      <c r="A10" s="63">
        <v>-120</v>
      </c>
      <c r="B10" s="62">
        <f t="shared" ref="B10:B73" si="0">RADIANS(A10)</f>
        <v>-2.0943951023931953</v>
      </c>
      <c r="C10" s="60">
        <f t="shared" ref="C10:C73" si="1">DEGREES(ACOS(SIN(C$5)*SIN($C$6)+COS(C$5)*COS($C$6)*COS($B10)))</f>
        <v>107.44750354061178</v>
      </c>
      <c r="D10" s="60">
        <f t="shared" ref="D10:D73" si="2">90-C10</f>
        <v>-17.447503540611777</v>
      </c>
      <c r="E10" s="61">
        <f t="shared" ref="E10:E41" si="3">DEGREES(-ACOS((SIN(RADIANS(D10))*SIN($C$6)-SIN(C$5))/(COS(RADIANS(D10))*COS($C$6))))</f>
        <v>-123.61105570213815</v>
      </c>
      <c r="F10" s="60">
        <f t="shared" ref="F10:F73" si="4">DEGREES(ACOS(SIN(G$5)*SIN($C$6)+COS(G$5)*COS($C$6)*COS($B10)))</f>
        <v>113.19350296783607</v>
      </c>
      <c r="G10" s="60">
        <f t="shared" ref="G10:G73" si="5">90-F10</f>
        <v>-23.193502967836068</v>
      </c>
      <c r="H10" s="61">
        <f t="shared" ref="H10:H41" si="6">DEGREES(-ACOS((SIN(RADIANS(G10))*SIN($C$6)-SIN(G$5))/(COS(RADIANS(G10))*COS($C$6))))</f>
        <v>-112.70378649194338</v>
      </c>
      <c r="I10" s="60">
        <f t="shared" ref="I10:I73" si="7">DEGREES(ACOS(SIN(J$5)*SIN($C$6)+COS(J$5)*COS($C$6)*COS($B10)))</f>
        <v>118.12573637358987</v>
      </c>
      <c r="J10" s="60">
        <f t="shared" ref="J10:J73" si="8">90-I10</f>
        <v>-28.125736373589874</v>
      </c>
      <c r="K10" s="61">
        <f t="shared" ref="K10:K41" si="9">DEGREES(-ACOS((SIN(RADIANS(J10))*SIN($C$6)-SIN(J$5))/(COS(RADIANS(J10))*COS($C$6))))</f>
        <v>-100.89275394569681</v>
      </c>
      <c r="L10" s="60">
        <f t="shared" ref="L10:L73" si="10">DEGREES(ACOS(SIN(M$5)*SIN($C$6)+COS(M$5)*COS($C$6)*COS($B10)))</f>
        <v>121.95856794919253</v>
      </c>
      <c r="M10" s="60">
        <f t="shared" ref="M10:M73" si="11">90-L10</f>
        <v>-31.958567949192528</v>
      </c>
      <c r="N10" s="61">
        <f t="shared" ref="N10:N41" si="12">DEGREES(-ACOS((SIN(RADIANS(M10))*SIN($C$6)-SIN(M$5))/(COS(RADIANS(M10))*COS($C$6))))</f>
        <v>-88.080752177931615</v>
      </c>
      <c r="O10" s="60">
        <f t="shared" ref="O10:O73" si="13">DEGREES(ACOS(SIN(P$5)*SIN($C$6)+COS(P$5)*COS($C$6)*COS($B10)))</f>
        <v>124.41027366689497</v>
      </c>
      <c r="P10" s="60">
        <f t="shared" ref="P10:P73" si="14">90-O10</f>
        <v>-34.410273666894966</v>
      </c>
      <c r="Q10" s="61">
        <f t="shared" ref="Q10:Q41" si="15">DEGREES(-ACOS((SIN(RADIANS(P10))*SIN($C$6)-SIN(P$5))/(COS(RADIANS(P10))*COS($C$6))))</f>
        <v>-74.368401639785873</v>
      </c>
      <c r="R10" s="60">
        <f t="shared" ref="R10:R73" si="16">DEGREES(ACOS(SIN(S$5)*SIN($C$6)+COS(S$5)*COS($C$6)*COS($B10)))</f>
        <v>122.24115690206627</v>
      </c>
      <c r="S10" s="59">
        <f t="shared" ref="S10:S73" si="17">90-R10</f>
        <v>-32.241156902066265</v>
      </c>
      <c r="T10" s="58">
        <f t="shared" ref="T10:T41" si="18">DEGREES(-ACOS((SIN(RADIANS(S10))*SIN($C$6)-SIN(S$5))/(COS(RADIANS(S10))*COS($C$6))))</f>
        <v>-86.873646929503394</v>
      </c>
      <c r="U10" s="79"/>
      <c r="V10" s="78">
        <f>E10</f>
        <v>-123.61105570213815</v>
      </c>
      <c r="W10" s="55">
        <f>D10</f>
        <v>-17.447503540611777</v>
      </c>
    </row>
    <row r="11" spans="1:39" x14ac:dyDescent="0.2">
      <c r="A11" s="67">
        <v>-119</v>
      </c>
      <c r="B11" s="66">
        <f t="shared" si="0"/>
        <v>-2.0769418098732522</v>
      </c>
      <c r="C11" s="64">
        <f t="shared" si="1"/>
        <v>106.66007234960091</v>
      </c>
      <c r="D11" s="64">
        <f t="shared" si="2"/>
        <v>-16.66007234960091</v>
      </c>
      <c r="E11" s="65">
        <f t="shared" si="3"/>
        <v>-123.11867181933408</v>
      </c>
      <c r="F11" s="64">
        <f t="shared" si="4"/>
        <v>112.32221022796961</v>
      </c>
      <c r="G11" s="64">
        <f t="shared" si="5"/>
        <v>-22.322210227969606</v>
      </c>
      <c r="H11" s="65">
        <f t="shared" si="6"/>
        <v>-112.2193533798139</v>
      </c>
      <c r="I11" s="64">
        <f t="shared" si="7"/>
        <v>117.19925331973793</v>
      </c>
      <c r="J11" s="64">
        <f t="shared" si="8"/>
        <v>-27.199253319737934</v>
      </c>
      <c r="K11" s="65">
        <f t="shared" si="9"/>
        <v>-100.46784130860644</v>
      </c>
      <c r="L11" s="64">
        <f t="shared" si="10"/>
        <v>121.01637157671503</v>
      </c>
      <c r="M11" s="64">
        <f t="shared" si="11"/>
        <v>-31.016371576715031</v>
      </c>
      <c r="N11" s="65">
        <f t="shared" si="12"/>
        <v>-87.768345414416785</v>
      </c>
      <c r="O11" s="64">
        <f t="shared" si="13"/>
        <v>123.50268584894214</v>
      </c>
      <c r="P11" s="64">
        <f t="shared" si="14"/>
        <v>-33.502685848942136</v>
      </c>
      <c r="Q11" s="65">
        <f t="shared" si="15"/>
        <v>-74.20701883914883</v>
      </c>
      <c r="R11" s="64">
        <f t="shared" si="16"/>
        <v>121.29988299667794</v>
      </c>
      <c r="S11" s="59">
        <f t="shared" si="17"/>
        <v>-31.299882996677937</v>
      </c>
      <c r="T11" s="58">
        <f t="shared" si="18"/>
        <v>-86.573697621635588</v>
      </c>
      <c r="U11" s="76"/>
      <c r="V11" s="77">
        <f>H10</f>
        <v>-112.70378649194338</v>
      </c>
      <c r="W11" s="50">
        <f>G11</f>
        <v>-22.322210227969606</v>
      </c>
    </row>
    <row r="12" spans="1:39" x14ac:dyDescent="0.2">
      <c r="A12" s="67">
        <v>-118</v>
      </c>
      <c r="B12" s="66">
        <f t="shared" si="0"/>
        <v>-2.0594885173533091</v>
      </c>
      <c r="C12" s="64">
        <f t="shared" si="1"/>
        <v>105.86825800871483</v>
      </c>
      <c r="D12" s="64">
        <f t="shared" si="2"/>
        <v>-15.868258008714832</v>
      </c>
      <c r="E12" s="65">
        <f t="shared" si="3"/>
        <v>-122.63603425600152</v>
      </c>
      <c r="F12" s="64">
        <f t="shared" si="4"/>
        <v>111.44793204446356</v>
      </c>
      <c r="G12" s="64">
        <f t="shared" si="5"/>
        <v>-21.447932044463556</v>
      </c>
      <c r="H12" s="65">
        <f t="shared" si="6"/>
        <v>-111.74426842610298</v>
      </c>
      <c r="I12" s="64">
        <f t="shared" si="7"/>
        <v>116.27151029721745</v>
      </c>
      <c r="J12" s="64">
        <f t="shared" si="8"/>
        <v>-26.271510297217446</v>
      </c>
      <c r="K12" s="65">
        <f t="shared" si="9"/>
        <v>-100.04993784934554</v>
      </c>
      <c r="L12" s="64">
        <f t="shared" si="10"/>
        <v>120.07437459738543</v>
      </c>
      <c r="M12" s="64">
        <f t="shared" si="11"/>
        <v>-30.074374597385429</v>
      </c>
      <c r="N12" s="65">
        <f t="shared" si="12"/>
        <v>-87.458194635096618</v>
      </c>
      <c r="O12" s="64">
        <f t="shared" si="13"/>
        <v>122.59583009874679</v>
      </c>
      <c r="P12" s="64">
        <f t="shared" si="14"/>
        <v>-32.595830098746788</v>
      </c>
      <c r="Q12" s="65">
        <f t="shared" si="15"/>
        <v>-74.041505278186477</v>
      </c>
      <c r="R12" s="64">
        <f t="shared" si="16"/>
        <v>120.35890317325249</v>
      </c>
      <c r="S12" s="59">
        <f t="shared" si="17"/>
        <v>-30.358903173252486</v>
      </c>
      <c r="T12" s="58">
        <f t="shared" si="18"/>
        <v>-86.2754680541845</v>
      </c>
      <c r="U12" s="76"/>
      <c r="V12" s="77">
        <f>K10</f>
        <v>-100.89275394569681</v>
      </c>
      <c r="W12" s="50">
        <f>J10</f>
        <v>-28.125736373589874</v>
      </c>
    </row>
    <row r="13" spans="1:39" x14ac:dyDescent="0.2">
      <c r="A13" s="67">
        <v>-117</v>
      </c>
      <c r="B13" s="66">
        <f t="shared" si="0"/>
        <v>-2.0420352248333655</v>
      </c>
      <c r="C13" s="64">
        <f t="shared" si="1"/>
        <v>105.07220266182374</v>
      </c>
      <c r="D13" s="64">
        <f t="shared" si="2"/>
        <v>-15.072202661823738</v>
      </c>
      <c r="E13" s="65">
        <f t="shared" si="3"/>
        <v>-122.16289466529831</v>
      </c>
      <c r="F13" s="64">
        <f t="shared" si="4"/>
        <v>110.57078501460775</v>
      </c>
      <c r="G13" s="64">
        <f t="shared" si="5"/>
        <v>-20.57078501460775</v>
      </c>
      <c r="H13" s="65">
        <f t="shared" si="6"/>
        <v>-111.27817245032739</v>
      </c>
      <c r="I13" s="64">
        <f t="shared" si="7"/>
        <v>115.34257666659221</v>
      </c>
      <c r="J13" s="64">
        <f t="shared" si="8"/>
        <v>-25.342576666592208</v>
      </c>
      <c r="K13" s="65">
        <f t="shared" si="9"/>
        <v>-99.638666472247749</v>
      </c>
      <c r="L13" s="64">
        <f t="shared" si="10"/>
        <v>119.13260315626249</v>
      </c>
      <c r="M13" s="64">
        <f t="shared" si="11"/>
        <v>-29.132603156262491</v>
      </c>
      <c r="N13" s="65">
        <f t="shared" si="12"/>
        <v>-87.15006932648339</v>
      </c>
      <c r="O13" s="64">
        <f t="shared" si="13"/>
        <v>121.68973246867947</v>
      </c>
      <c r="P13" s="64">
        <f t="shared" si="14"/>
        <v>-31.689732468679466</v>
      </c>
      <c r="Q13" s="65">
        <f t="shared" si="15"/>
        <v>-73.871908295268796</v>
      </c>
      <c r="R13" s="64">
        <f t="shared" si="16"/>
        <v>119.41824127650104</v>
      </c>
      <c r="S13" s="59">
        <f t="shared" si="17"/>
        <v>-29.418241276501035</v>
      </c>
      <c r="T13" s="58">
        <f t="shared" si="18"/>
        <v>-85.978749279800127</v>
      </c>
      <c r="U13" s="76"/>
      <c r="V13" s="77">
        <f>N10</f>
        <v>-88.080752177931615</v>
      </c>
      <c r="W13" s="50">
        <f>M10</f>
        <v>-31.958567949192528</v>
      </c>
    </row>
    <row r="14" spans="1:39" x14ac:dyDescent="0.2">
      <c r="A14" s="67">
        <v>-116</v>
      </c>
      <c r="B14" s="66">
        <f t="shared" si="0"/>
        <v>-2.0245819323134224</v>
      </c>
      <c r="C14" s="64">
        <f t="shared" si="1"/>
        <v>104.27204327960735</v>
      </c>
      <c r="D14" s="64">
        <f t="shared" si="2"/>
        <v>-14.272043279607345</v>
      </c>
      <c r="E14" s="65">
        <f t="shared" si="3"/>
        <v>-121.69901134519577</v>
      </c>
      <c r="F14" s="64">
        <f t="shared" si="4"/>
        <v>109.69088039404504</v>
      </c>
      <c r="G14" s="64">
        <f t="shared" si="5"/>
        <v>-19.690880394045038</v>
      </c>
      <c r="H14" s="65">
        <f t="shared" si="6"/>
        <v>-110.82071970262659</v>
      </c>
      <c r="I14" s="64">
        <f t="shared" si="7"/>
        <v>114.41251845827612</v>
      </c>
      <c r="J14" s="64">
        <f t="shared" si="8"/>
        <v>-24.412518458276125</v>
      </c>
      <c r="K14" s="65">
        <f t="shared" si="9"/>
        <v>-99.233667179093544</v>
      </c>
      <c r="L14" s="64">
        <f t="shared" si="10"/>
        <v>118.19108301680049</v>
      </c>
      <c r="M14" s="64">
        <f t="shared" si="11"/>
        <v>-28.191083016800491</v>
      </c>
      <c r="N14" s="65">
        <f t="shared" si="12"/>
        <v>-86.843748802617398</v>
      </c>
      <c r="O14" s="64">
        <f t="shared" si="13"/>
        <v>120.78441937467203</v>
      </c>
      <c r="P14" s="64">
        <f t="shared" si="14"/>
        <v>-30.784419374672026</v>
      </c>
      <c r="Q14" s="65">
        <f t="shared" si="15"/>
        <v>-73.698267660235743</v>
      </c>
      <c r="R14" s="64">
        <f t="shared" si="16"/>
        <v>118.47792097435497</v>
      </c>
      <c r="S14" s="59">
        <f t="shared" si="17"/>
        <v>-28.477920974354973</v>
      </c>
      <c r="T14" s="58">
        <f t="shared" si="18"/>
        <v>-85.683340871882336</v>
      </c>
      <c r="U14" s="76"/>
      <c r="V14" s="77">
        <f>Q10</f>
        <v>-74.368401639785873</v>
      </c>
      <c r="W14" s="50">
        <f>P10</f>
        <v>-34.410273666894966</v>
      </c>
    </row>
    <row r="15" spans="1:39" x14ac:dyDescent="0.2">
      <c r="A15" s="67">
        <v>-115</v>
      </c>
      <c r="B15" s="66">
        <f t="shared" si="0"/>
        <v>-2.0071286397934789</v>
      </c>
      <c r="C15" s="64">
        <f t="shared" si="1"/>
        <v>103.46791185538177</v>
      </c>
      <c r="D15" s="64">
        <f t="shared" si="2"/>
        <v>-13.467911855381772</v>
      </c>
      <c r="E15" s="65">
        <f t="shared" si="3"/>
        <v>-121.2441492102131</v>
      </c>
      <c r="F15" s="64">
        <f t="shared" si="4"/>
        <v>108.80832438566092</v>
      </c>
      <c r="G15" s="64">
        <f t="shared" si="5"/>
        <v>-18.808324385660924</v>
      </c>
      <c r="H15" s="65">
        <f t="shared" si="6"/>
        <v>-110.37157726039101</v>
      </c>
      <c r="I15" s="64">
        <f t="shared" si="7"/>
        <v>113.48139861400023</v>
      </c>
      <c r="J15" s="64">
        <f t="shared" si="8"/>
        <v>-23.481398614000227</v>
      </c>
      <c r="K15" s="65">
        <f t="shared" si="9"/>
        <v>-98.834595891152787</v>
      </c>
      <c r="L15" s="64">
        <f t="shared" si="10"/>
        <v>117.24983963433655</v>
      </c>
      <c r="M15" s="64">
        <f t="shared" si="11"/>
        <v>-27.249839634336553</v>
      </c>
      <c r="N15" s="65">
        <f t="shared" si="12"/>
        <v>-86.539021325636753</v>
      </c>
      <c r="O15" s="64">
        <f t="shared" si="13"/>
        <v>119.87991763481574</v>
      </c>
      <c r="P15" s="64">
        <f t="shared" si="14"/>
        <v>-29.87991763481574</v>
      </c>
      <c r="Q15" s="65">
        <f t="shared" si="15"/>
        <v>-73.520616008623833</v>
      </c>
      <c r="R15" s="64">
        <f t="shared" si="16"/>
        <v>117.53796581846606</v>
      </c>
      <c r="S15" s="59">
        <f t="shared" si="17"/>
        <v>-27.537965818466063</v>
      </c>
      <c r="T15" s="58">
        <f t="shared" si="18"/>
        <v>-85.389050135754772</v>
      </c>
      <c r="U15" s="76"/>
      <c r="V15" s="66"/>
    </row>
    <row r="16" spans="1:39" x14ac:dyDescent="0.2">
      <c r="A16" s="67">
        <v>-114</v>
      </c>
      <c r="B16" s="66">
        <f t="shared" si="0"/>
        <v>-1.9896753472735358</v>
      </c>
      <c r="C16" s="64">
        <f t="shared" si="1"/>
        <v>102.65993559516924</v>
      </c>
      <c r="D16" s="64">
        <f t="shared" si="2"/>
        <v>-12.659935595169244</v>
      </c>
      <c r="E16" s="65">
        <f t="shared" si="3"/>
        <v>-120.79807974718948</v>
      </c>
      <c r="F16" s="64">
        <f t="shared" si="4"/>
        <v>107.92321841208316</v>
      </c>
      <c r="G16" s="64">
        <f t="shared" si="5"/>
        <v>-17.923218412083159</v>
      </c>
      <c r="H16" s="65">
        <f t="shared" si="6"/>
        <v>-109.93042444280839</v>
      </c>
      <c r="I16" s="64">
        <f t="shared" si="7"/>
        <v>112.54927721073227</v>
      </c>
      <c r="J16" s="64">
        <f t="shared" si="8"/>
        <v>-22.549277210732271</v>
      </c>
      <c r="K16" s="65">
        <f t="shared" si="9"/>
        <v>-98.441123349246951</v>
      </c>
      <c r="L16" s="64">
        <f t="shared" si="10"/>
        <v>116.30889822518735</v>
      </c>
      <c r="M16" s="64">
        <f t="shared" si="11"/>
        <v>-26.308898225187349</v>
      </c>
      <c r="N16" s="65">
        <f t="shared" si="12"/>
        <v>-86.23568329677768</v>
      </c>
      <c r="O16" s="64">
        <f t="shared" si="13"/>
        <v>118.97625450730293</v>
      </c>
      <c r="P16" s="64">
        <f t="shared" si="14"/>
        <v>-28.976254507302926</v>
      </c>
      <c r="Q16" s="65">
        <f t="shared" si="15"/>
        <v>-73.338979231359914</v>
      </c>
      <c r="R16" s="64">
        <f t="shared" si="16"/>
        <v>116.59839930152121</v>
      </c>
      <c r="S16" s="59">
        <f t="shared" si="17"/>
        <v>-26.598399301521212</v>
      </c>
      <c r="T16" s="58">
        <f t="shared" si="18"/>
        <v>-85.095691382986701</v>
      </c>
      <c r="U16" s="76"/>
      <c r="V16" s="66"/>
    </row>
    <row r="17" spans="1:27" x14ac:dyDescent="0.2">
      <c r="A17" s="67">
        <v>-113</v>
      </c>
      <c r="B17" s="66">
        <f t="shared" si="0"/>
        <v>-1.9722220547535925</v>
      </c>
      <c r="C17" s="64">
        <f t="shared" si="1"/>
        <v>101.84823710193049</v>
      </c>
      <c r="D17" s="64">
        <f t="shared" si="2"/>
        <v>-11.848237101930494</v>
      </c>
      <c r="E17" s="65">
        <f t="shared" si="3"/>
        <v>-120.36058095737408</v>
      </c>
      <c r="F17" s="64">
        <f t="shared" si="4"/>
        <v>107.03565937272204</v>
      </c>
      <c r="G17" s="64">
        <f t="shared" si="5"/>
        <v>-17.035659372722037</v>
      </c>
      <c r="H17" s="65">
        <f t="shared" si="6"/>
        <v>-109.49695224371361</v>
      </c>
      <c r="I17" s="64">
        <f t="shared" si="7"/>
        <v>111.61621166860483</v>
      </c>
      <c r="J17" s="64">
        <f t="shared" si="8"/>
        <v>-21.616211668604834</v>
      </c>
      <c r="K17" s="65">
        <f t="shared" si="9"/>
        <v>-98.052934085608555</v>
      </c>
      <c r="L17" s="64">
        <f t="shared" si="10"/>
        <v>115.36828383190914</v>
      </c>
      <c r="M17" s="64">
        <f t="shared" si="11"/>
        <v>-25.368283831909139</v>
      </c>
      <c r="N17" s="65">
        <f t="shared" si="12"/>
        <v>-85.933538510426445</v>
      </c>
      <c r="O17" s="64">
        <f t="shared" si="13"/>
        <v>118.07345772790642</v>
      </c>
      <c r="P17" s="64">
        <f t="shared" si="14"/>
        <v>-28.073457727906415</v>
      </c>
      <c r="Q17" s="65">
        <f t="shared" si="15"/>
        <v>-73.153376824316865</v>
      </c>
      <c r="R17" s="64">
        <f t="shared" si="16"/>
        <v>115.65924491180994</v>
      </c>
      <c r="S17" s="59">
        <f t="shared" si="17"/>
        <v>-25.659244911809935</v>
      </c>
      <c r="T17" s="58">
        <f t="shared" si="18"/>
        <v>-84.80308526215012</v>
      </c>
      <c r="U17" s="76"/>
      <c r="V17" s="66"/>
    </row>
    <row r="18" spans="1:27" x14ac:dyDescent="0.2">
      <c r="A18" s="67">
        <v>-112</v>
      </c>
      <c r="B18" s="66">
        <f t="shared" si="0"/>
        <v>-1.9547687622336491</v>
      </c>
      <c r="C18" s="64">
        <f t="shared" si="1"/>
        <v>101.03293455392328</v>
      </c>
      <c r="D18" s="64">
        <f t="shared" si="2"/>
        <v>-11.032934553923283</v>
      </c>
      <c r="E18" s="65">
        <f t="shared" si="3"/>
        <v>-119.93143728689896</v>
      </c>
      <c r="F18" s="64">
        <f t="shared" si="4"/>
        <v>106.14573988624228</v>
      </c>
      <c r="G18" s="64">
        <f t="shared" si="5"/>
        <v>-16.145739886242282</v>
      </c>
      <c r="H18" s="65">
        <f t="shared" si="6"/>
        <v>-109.07086278290384</v>
      </c>
      <c r="I18" s="64">
        <f t="shared" si="7"/>
        <v>110.68225694426886</v>
      </c>
      <c r="J18" s="64">
        <f t="shared" si="8"/>
        <v>-20.682256944268858</v>
      </c>
      <c r="K18" s="65">
        <f t="shared" si="9"/>
        <v>-97.669725461785248</v>
      </c>
      <c r="L18" s="64">
        <f t="shared" si="10"/>
        <v>114.42802138521969</v>
      </c>
      <c r="M18" s="64">
        <f t="shared" si="11"/>
        <v>-24.428021385219694</v>
      </c>
      <c r="N18" s="65">
        <f t="shared" si="12"/>
        <v>-85.632397464655341</v>
      </c>
      <c r="O18" s="64">
        <f t="shared" si="13"/>
        <v>117.17155554717733</v>
      </c>
      <c r="P18" s="64">
        <f t="shared" si="14"/>
        <v>-27.171555547177334</v>
      </c>
      <c r="Q18" s="65">
        <f t="shared" si="15"/>
        <v>-72.963822201608835</v>
      </c>
      <c r="R18" s="64">
        <f t="shared" si="16"/>
        <v>114.72052618544042</v>
      </c>
      <c r="S18" s="59">
        <f t="shared" si="17"/>
        <v>-24.72052618544042</v>
      </c>
      <c r="T18" s="58">
        <f t="shared" si="18"/>
        <v>-84.511058140046174</v>
      </c>
      <c r="U18" s="76"/>
      <c r="V18" s="66"/>
    </row>
    <row r="19" spans="1:27" x14ac:dyDescent="0.2">
      <c r="A19" s="67">
        <v>-111</v>
      </c>
      <c r="B19" s="66">
        <f t="shared" si="0"/>
        <v>-1.9373154697137058</v>
      </c>
      <c r="C19" s="64">
        <f t="shared" si="1"/>
        <v>100.21414187718567</v>
      </c>
      <c r="D19" s="64">
        <f t="shared" si="2"/>
        <v>-10.214141877185668</v>
      </c>
      <c r="E19" s="65">
        <f t="shared" si="3"/>
        <v>-119.51043954750223</v>
      </c>
      <c r="F19" s="64">
        <f t="shared" si="4"/>
        <v>105.25354851931544</v>
      </c>
      <c r="G19" s="64">
        <f t="shared" si="5"/>
        <v>-15.253548519315444</v>
      </c>
      <c r="H19" s="65">
        <f t="shared" si="6"/>
        <v>-108.65186877589365</v>
      </c>
      <c r="I19" s="64">
        <f t="shared" si="7"/>
        <v>109.74746571095999</v>
      </c>
      <c r="J19" s="64">
        <f t="shared" si="8"/>
        <v>-19.747465710959986</v>
      </c>
      <c r="K19" s="65">
        <f t="shared" si="9"/>
        <v>-97.291206767268747</v>
      </c>
      <c r="L19" s="64">
        <f t="shared" si="10"/>
        <v>113.48813576303159</v>
      </c>
      <c r="M19" s="64">
        <f t="shared" si="11"/>
        <v>-23.488135763031593</v>
      </c>
      <c r="N19" s="65">
        <f t="shared" si="12"/>
        <v>-85.332076722384528</v>
      </c>
      <c r="O19" s="64">
        <f t="shared" si="13"/>
        <v>116.27057676752551</v>
      </c>
      <c r="P19" s="64">
        <f t="shared" si="14"/>
        <v>-26.270576767525512</v>
      </c>
      <c r="Q19" s="65">
        <f t="shared" si="15"/>
        <v>-72.770322976051844</v>
      </c>
      <c r="R19" s="64">
        <f t="shared" si="16"/>
        <v>113.7822667565615</v>
      </c>
      <c r="S19" s="59">
        <f t="shared" si="17"/>
        <v>-23.782266756561498</v>
      </c>
      <c r="T19" s="58">
        <f t="shared" si="18"/>
        <v>-84.219441528085611</v>
      </c>
      <c r="U19" s="76"/>
      <c r="V19" s="66"/>
    </row>
    <row r="20" spans="1:27" x14ac:dyDescent="0.2">
      <c r="A20" s="67">
        <v>-110</v>
      </c>
      <c r="B20" s="66">
        <f t="shared" si="0"/>
        <v>-1.9198621771937625</v>
      </c>
      <c r="C20" s="64">
        <f t="shared" si="1"/>
        <v>99.391968912174519</v>
      </c>
      <c r="D20" s="64">
        <f t="shared" si="2"/>
        <v>-9.3919689121745193</v>
      </c>
      <c r="E20" s="65">
        <f t="shared" si="3"/>
        <v>-119.09738482918705</v>
      </c>
      <c r="F20" s="64">
        <f t="shared" si="4"/>
        <v>104.35917000246086</v>
      </c>
      <c r="G20" s="64">
        <f t="shared" si="5"/>
        <v>-14.359170002460857</v>
      </c>
      <c r="H20" s="65">
        <f t="shared" si="6"/>
        <v>-108.23969302192953</v>
      </c>
      <c r="I20" s="64">
        <f t="shared" si="7"/>
        <v>108.81188852645219</v>
      </c>
      <c r="J20" s="64">
        <f t="shared" si="8"/>
        <v>-18.811888526452194</v>
      </c>
      <c r="K20" s="65">
        <f t="shared" si="9"/>
        <v>-96.917098373930088</v>
      </c>
      <c r="L20" s="64">
        <f t="shared" si="10"/>
        <v>112.54865184700323</v>
      </c>
      <c r="M20" s="64">
        <f t="shared" si="11"/>
        <v>-22.548651847003228</v>
      </c>
      <c r="N20" s="65">
        <f t="shared" si="12"/>
        <v>-85.032398317933129</v>
      </c>
      <c r="O20" s="64">
        <f t="shared" si="13"/>
        <v>115.3705507803362</v>
      </c>
      <c r="P20" s="64">
        <f t="shared" si="14"/>
        <v>-25.370550780336202</v>
      </c>
      <c r="Q20" s="65">
        <f t="shared" si="15"/>
        <v>-72.572881209821915</v>
      </c>
      <c r="R20" s="64">
        <f t="shared" si="16"/>
        <v>112.84449040591572</v>
      </c>
      <c r="S20" s="59">
        <f t="shared" si="17"/>
        <v>-22.844490405915721</v>
      </c>
      <c r="T20" s="58">
        <f t="shared" si="18"/>
        <v>-83.928071549077984</v>
      </c>
      <c r="U20" s="66"/>
      <c r="V20" s="53"/>
    </row>
    <row r="21" spans="1:27" x14ac:dyDescent="0.2">
      <c r="A21" s="67">
        <v>-109</v>
      </c>
      <c r="B21" s="66">
        <f t="shared" si="0"/>
        <v>-1.9024088846738192</v>
      </c>
      <c r="C21" s="64">
        <f t="shared" si="1"/>
        <v>98.566521574615862</v>
      </c>
      <c r="D21" s="64">
        <f t="shared" si="2"/>
        <v>-8.5665215746158623</v>
      </c>
      <c r="E21" s="65">
        <f t="shared" si="3"/>
        <v>-118.6920764063358</v>
      </c>
      <c r="F21" s="64">
        <f t="shared" si="4"/>
        <v>103.46268543374279</v>
      </c>
      <c r="G21" s="64">
        <f t="shared" si="5"/>
        <v>-13.462685433742791</v>
      </c>
      <c r="H21" s="65">
        <f t="shared" si="6"/>
        <v>-107.83406790995605</v>
      </c>
      <c r="I21" s="64">
        <f t="shared" si="7"/>
        <v>107.87557398996934</v>
      </c>
      <c r="J21" s="64">
        <f t="shared" si="8"/>
        <v>-17.87557398996934</v>
      </c>
      <c r="K21" s="65">
        <f t="shared" si="9"/>
        <v>-96.547130941709852</v>
      </c>
      <c r="L21" s="64">
        <f t="shared" si="10"/>
        <v>111.60959457697794</v>
      </c>
      <c r="M21" s="64">
        <f t="shared" si="11"/>
        <v>-21.609594576977941</v>
      </c>
      <c r="N21" s="65">
        <f t="shared" si="12"/>
        <v>-84.73318920426847</v>
      </c>
      <c r="O21" s="64">
        <f t="shared" si="13"/>
        <v>114.47150760326618</v>
      </c>
      <c r="P21" s="64">
        <f t="shared" si="14"/>
        <v>-24.471507603266176</v>
      </c>
      <c r="Q21" s="65">
        <f t="shared" si="15"/>
        <v>-72.371493637997744</v>
      </c>
      <c r="R21" s="64">
        <f t="shared" si="16"/>
        <v>111.90722110802078</v>
      </c>
      <c r="S21" s="59">
        <f t="shared" si="17"/>
        <v>-21.907221108020778</v>
      </c>
      <c r="T21" s="58">
        <f t="shared" si="18"/>
        <v>-83.636788440183523</v>
      </c>
      <c r="U21" s="66"/>
      <c r="V21" s="53"/>
    </row>
    <row r="22" spans="1:27" x14ac:dyDescent="0.2">
      <c r="A22" s="67">
        <v>-108</v>
      </c>
      <c r="B22" s="66">
        <f t="shared" si="0"/>
        <v>-1.8849555921538759</v>
      </c>
      <c r="C22" s="64">
        <f t="shared" si="1"/>
        <v>97.73790201064601</v>
      </c>
      <c r="D22" s="64">
        <f t="shared" si="2"/>
        <v>-7.7379020106460104</v>
      </c>
      <c r="E22" s="65">
        <f t="shared" si="3"/>
        <v>-118.29432363864726</v>
      </c>
      <c r="F22" s="64">
        <f t="shared" si="4"/>
        <v>102.56417247105105</v>
      </c>
      <c r="G22" s="64">
        <f t="shared" si="5"/>
        <v>-12.564172471051052</v>
      </c>
      <c r="H22" s="65">
        <f t="shared" si="6"/>
        <v>-107.4347349421204</v>
      </c>
      <c r="I22" s="64">
        <f t="shared" si="7"/>
        <v>106.93856888903325</v>
      </c>
      <c r="J22" s="64">
        <f t="shared" si="8"/>
        <v>-16.938568889033249</v>
      </c>
      <c r="K22" s="65">
        <f t="shared" si="9"/>
        <v>-96.181044671350733</v>
      </c>
      <c r="L22" s="64">
        <f t="shared" si="10"/>
        <v>110.6709890036491</v>
      </c>
      <c r="M22" s="64">
        <f t="shared" si="11"/>
        <v>-20.670989003649098</v>
      </c>
      <c r="N22" s="65">
        <f t="shared" si="12"/>
        <v>-84.434280736741727</v>
      </c>
      <c r="O22" s="64">
        <f t="shared" si="13"/>
        <v>113.57347791785419</v>
      </c>
      <c r="P22" s="64">
        <f t="shared" si="14"/>
        <v>-23.573477917854191</v>
      </c>
      <c r="Q22" s="65">
        <f t="shared" si="15"/>
        <v>-72.16615186737279</v>
      </c>
      <c r="R22" s="64">
        <f t="shared" si="16"/>
        <v>110.9704830772518</v>
      </c>
      <c r="S22" s="59">
        <f t="shared" si="17"/>
        <v>-20.970483077251799</v>
      </c>
      <c r="T22" s="58">
        <f t="shared" si="18"/>
        <v>-83.345436088218619</v>
      </c>
      <c r="U22" s="66"/>
      <c r="V22" s="53"/>
    </row>
    <row r="23" spans="1:27" x14ac:dyDescent="0.2">
      <c r="A23" s="67">
        <v>-107</v>
      </c>
      <c r="B23" s="66">
        <f t="shared" si="0"/>
        <v>-1.8675022996339325</v>
      </c>
      <c r="C23" s="64">
        <f t="shared" si="1"/>
        <v>96.906208746340866</v>
      </c>
      <c r="D23" s="64">
        <f t="shared" si="2"/>
        <v>-6.9062087463408659</v>
      </c>
      <c r="E23" s="65">
        <f t="shared" si="3"/>
        <v>-117.90394186812632</v>
      </c>
      <c r="F23" s="64">
        <f t="shared" si="4"/>
        <v>101.66370551365407</v>
      </c>
      <c r="G23" s="64">
        <f t="shared" si="5"/>
        <v>-11.663705513654065</v>
      </c>
      <c r="H23" s="65">
        <f t="shared" si="6"/>
        <v>-107.04144427431726</v>
      </c>
      <c r="I23" s="64">
        <f t="shared" si="7"/>
        <v>106.00091833714333</v>
      </c>
      <c r="J23" s="64">
        <f t="shared" si="8"/>
        <v>-16.000918337143332</v>
      </c>
      <c r="K23" s="65">
        <f t="shared" si="9"/>
        <v>-95.818588600269749</v>
      </c>
      <c r="L23" s="64">
        <f t="shared" si="10"/>
        <v>109.73286033976203</v>
      </c>
      <c r="M23" s="64">
        <f t="shared" si="11"/>
        <v>-19.732860339762027</v>
      </c>
      <c r="N23" s="65">
        <f t="shared" si="12"/>
        <v>-84.135508189519783</v>
      </c>
      <c r="O23" s="64">
        <f t="shared" si="13"/>
        <v>112.67649310757334</v>
      </c>
      <c r="P23" s="64">
        <f t="shared" si="14"/>
        <v>-22.676493107573336</v>
      </c>
      <c r="Q23" s="65">
        <f t="shared" si="15"/>
        <v>-71.956842552655885</v>
      </c>
      <c r="R23" s="64">
        <f t="shared" si="16"/>
        <v>110.03430081307734</v>
      </c>
      <c r="S23" s="59">
        <f t="shared" si="17"/>
        <v>-20.034300813077337</v>
      </c>
      <c r="T23" s="58">
        <f t="shared" si="18"/>
        <v>-83.053861593891114</v>
      </c>
      <c r="U23" s="66"/>
      <c r="V23" s="53"/>
    </row>
    <row r="24" spans="1:27" x14ac:dyDescent="0.2">
      <c r="A24" s="67">
        <v>-106</v>
      </c>
      <c r="B24" s="66">
        <f t="shared" si="0"/>
        <v>-1.8500490071139892</v>
      </c>
      <c r="C24" s="64">
        <f t="shared" si="1"/>
        <v>96.071536831746386</v>
      </c>
      <c r="D24" s="64">
        <f t="shared" si="2"/>
        <v>-6.0715368317463856</v>
      </c>
      <c r="E24" s="65">
        <f t="shared" si="3"/>
        <v>-117.52075231323059</v>
      </c>
      <c r="F24" s="64">
        <f t="shared" si="4"/>
        <v>100.76135587367605</v>
      </c>
      <c r="G24" s="64">
        <f t="shared" si="5"/>
        <v>-10.761355873676052</v>
      </c>
      <c r="H24" s="65">
        <f t="shared" si="6"/>
        <v>-106.65395427320779</v>
      </c>
      <c r="I24" s="64">
        <f t="shared" si="7"/>
        <v>105.06266590310835</v>
      </c>
      <c r="J24" s="64">
        <f t="shared" si="8"/>
        <v>-15.062665903108353</v>
      </c>
      <c r="K24" s="65">
        <f t="shared" si="9"/>
        <v>-95.459519937950645</v>
      </c>
      <c r="L24" s="64">
        <f t="shared" si="10"/>
        <v>108.79523401013942</v>
      </c>
      <c r="M24" s="64">
        <f t="shared" si="11"/>
        <v>-18.795234010139424</v>
      </c>
      <c r="N24" s="65">
        <f t="shared" si="12"/>
        <v>-83.836710301294417</v>
      </c>
      <c r="O24" s="64">
        <f t="shared" si="13"/>
        <v>111.78058529644721</v>
      </c>
      <c r="P24" s="64">
        <f t="shared" si="14"/>
        <v>-21.780585296447214</v>
      </c>
      <c r="Q24" s="65">
        <f t="shared" si="15"/>
        <v>-71.743547551946179</v>
      </c>
      <c r="R24" s="64">
        <f t="shared" si="16"/>
        <v>109.09869914468328</v>
      </c>
      <c r="S24" s="59">
        <f t="shared" si="17"/>
        <v>-19.09869914468328</v>
      </c>
      <c r="T24" s="58">
        <f t="shared" si="18"/>
        <v>-82.761914861879134</v>
      </c>
      <c r="U24" s="66"/>
      <c r="V24" s="53"/>
    </row>
    <row r="25" spans="1:27" s="54" customFormat="1" x14ac:dyDescent="0.2">
      <c r="A25" s="63">
        <v>-105</v>
      </c>
      <c r="B25" s="62">
        <f t="shared" si="0"/>
        <v>-1.8325957145940461</v>
      </c>
      <c r="C25" s="60">
        <f t="shared" si="1"/>
        <v>95.233977979535183</v>
      </c>
      <c r="D25" s="60">
        <f t="shared" si="2"/>
        <v>-5.2339779795351831</v>
      </c>
      <c r="E25" s="61">
        <f t="shared" si="3"/>
        <v>-117.14458196116506</v>
      </c>
      <c r="F25" s="60">
        <f t="shared" si="4"/>
        <v>99.85719193811363</v>
      </c>
      <c r="G25" s="60">
        <f t="shared" si="5"/>
        <v>-9.8571919381136297</v>
      </c>
      <c r="H25" s="61">
        <f t="shared" si="6"/>
        <v>-106.27203108909072</v>
      </c>
      <c r="I25" s="60">
        <f t="shared" si="7"/>
        <v>104.1238537327834</v>
      </c>
      <c r="J25" s="60">
        <f t="shared" si="8"/>
        <v>-14.123853732783402</v>
      </c>
      <c r="K25" s="61">
        <f t="shared" si="9"/>
        <v>-95.103603437496659</v>
      </c>
      <c r="L25" s="60">
        <f t="shared" si="10"/>
        <v>107.85813570079685</v>
      </c>
      <c r="M25" s="60">
        <f t="shared" si="11"/>
        <v>-17.858135700796851</v>
      </c>
      <c r="N25" s="61">
        <f t="shared" si="12"/>
        <v>-83.537728847177519</v>
      </c>
      <c r="O25" s="60">
        <f t="shared" si="13"/>
        <v>110.88578738834737</v>
      </c>
      <c r="P25" s="60">
        <f t="shared" si="14"/>
        <v>-20.885787388347367</v>
      </c>
      <c r="Q25" s="61">
        <f t="shared" si="15"/>
        <v>-71.526244063162238</v>
      </c>
      <c r="R25" s="60">
        <f t="shared" si="16"/>
        <v>108.16370327520457</v>
      </c>
      <c r="S25" s="59">
        <f t="shared" si="17"/>
        <v>-18.163703275204568</v>
      </c>
      <c r="T25" s="58">
        <f t="shared" si="18"/>
        <v>-82.469448213964725</v>
      </c>
      <c r="U25" s="62"/>
      <c r="V25" s="56">
        <f>E25</f>
        <v>-117.14458196116506</v>
      </c>
      <c r="W25" s="55"/>
      <c r="X25" s="55">
        <f>D25</f>
        <v>-5.2339779795351831</v>
      </c>
      <c r="Y25" s="55"/>
      <c r="Z25" s="55"/>
      <c r="AA25" s="55"/>
    </row>
    <row r="26" spans="1:27" x14ac:dyDescent="0.2">
      <c r="A26" s="67">
        <v>-104</v>
      </c>
      <c r="B26" s="66">
        <f t="shared" si="0"/>
        <v>-1.8151424220741028</v>
      </c>
      <c r="C26" s="64">
        <f t="shared" si="1"/>
        <v>94.393620698424783</v>
      </c>
      <c r="D26" s="64">
        <f t="shared" si="2"/>
        <v>-4.3936206984247832</v>
      </c>
      <c r="E26" s="65">
        <f t="shared" si="3"/>
        <v>-116.77526345921453</v>
      </c>
      <c r="F26" s="64">
        <f t="shared" si="4"/>
        <v>98.951279321973203</v>
      </c>
      <c r="G26" s="64">
        <f t="shared" si="5"/>
        <v>-8.9512793219732032</v>
      </c>
      <c r="H26" s="65">
        <f t="shared" si="6"/>
        <v>-105.89544824396191</v>
      </c>
      <c r="I26" s="64">
        <f t="shared" si="7"/>
        <v>103.18452266390516</v>
      </c>
      <c r="J26" s="64">
        <f t="shared" si="8"/>
        <v>-13.184522663905156</v>
      </c>
      <c r="K26" s="65">
        <f t="shared" si="9"/>
        <v>-94.750610800219121</v>
      </c>
      <c r="L26" s="64">
        <f t="shared" si="10"/>
        <v>106.92159140739753</v>
      </c>
      <c r="M26" s="64">
        <f t="shared" si="11"/>
        <v>-16.921591407397528</v>
      </c>
      <c r="N26" s="65">
        <f t="shared" si="12"/>
        <v>-83.238408233979868</v>
      </c>
      <c r="O26" s="64">
        <f t="shared" si="13"/>
        <v>109.99213310708477</v>
      </c>
      <c r="P26" s="64">
        <f t="shared" si="14"/>
        <v>-19.992133107084769</v>
      </c>
      <c r="Q26" s="65">
        <f t="shared" si="15"/>
        <v>-71.304904742923469</v>
      </c>
      <c r="R26" s="64">
        <f t="shared" si="16"/>
        <v>107.22933882577145</v>
      </c>
      <c r="S26" s="59">
        <f t="shared" si="17"/>
        <v>-17.22933882577145</v>
      </c>
      <c r="T26" s="58">
        <f t="shared" si="18"/>
        <v>-82.176316022696398</v>
      </c>
      <c r="U26" s="66"/>
      <c r="V26" s="53">
        <f>H25</f>
        <v>-106.27203108909072</v>
      </c>
      <c r="X26" s="50">
        <f>G25</f>
        <v>-9.8571919381136297</v>
      </c>
    </row>
    <row r="27" spans="1:27" x14ac:dyDescent="0.2">
      <c r="A27" s="67">
        <v>-103</v>
      </c>
      <c r="B27" s="66">
        <f t="shared" si="0"/>
        <v>-1.7976891295541595</v>
      </c>
      <c r="C27" s="64">
        <f t="shared" si="1"/>
        <v>93.550550421500233</v>
      </c>
      <c r="D27" s="64">
        <f t="shared" si="2"/>
        <v>-3.5505504215002333</v>
      </c>
      <c r="E27" s="65">
        <f t="shared" si="3"/>
        <v>-116.41263500591079</v>
      </c>
      <c r="F27" s="64">
        <f t="shared" si="4"/>
        <v>98.043681013077489</v>
      </c>
      <c r="G27" s="64">
        <f t="shared" si="5"/>
        <v>-8.0436810130774887</v>
      </c>
      <c r="H27" s="65">
        <f t="shared" si="6"/>
        <v>-105.52398623406364</v>
      </c>
      <c r="I27" s="64">
        <f t="shared" si="7"/>
        <v>102.24471233466419</v>
      </c>
      <c r="J27" s="64">
        <f t="shared" si="8"/>
        <v>-12.244712334664186</v>
      </c>
      <c r="K27" s="65">
        <f t="shared" si="9"/>
        <v>-94.400320110353235</v>
      </c>
      <c r="L27" s="64">
        <f t="shared" si="10"/>
        <v>105.98562748328081</v>
      </c>
      <c r="M27" s="64">
        <f t="shared" si="11"/>
        <v>-15.985627483280808</v>
      </c>
      <c r="N27" s="65">
        <f t="shared" si="12"/>
        <v>-82.938595116325516</v>
      </c>
      <c r="O27" s="64">
        <f t="shared" si="13"/>
        <v>109.09965703740635</v>
      </c>
      <c r="P27" s="64">
        <f t="shared" si="14"/>
        <v>-19.099657037406345</v>
      </c>
      <c r="Q27" s="65">
        <f t="shared" si="15"/>
        <v>-71.079497809221706</v>
      </c>
      <c r="R27" s="64">
        <f t="shared" si="16"/>
        <v>106.29563187956708</v>
      </c>
      <c r="S27" s="59">
        <f t="shared" si="17"/>
        <v>-16.295631879567082</v>
      </c>
      <c r="T27" s="58">
        <f t="shared" si="18"/>
        <v>-81.88237436328501</v>
      </c>
      <c r="U27" s="66"/>
      <c r="V27" s="53">
        <f>K25</f>
        <v>-95.103603437496659</v>
      </c>
      <c r="X27" s="50">
        <f>J25</f>
        <v>-14.123853732783402</v>
      </c>
    </row>
    <row r="28" spans="1:27" x14ac:dyDescent="0.2">
      <c r="A28" s="67">
        <v>-102</v>
      </c>
      <c r="B28" s="66">
        <f t="shared" si="0"/>
        <v>-1.7802358370342162</v>
      </c>
      <c r="C28" s="64">
        <f t="shared" si="1"/>
        <v>92.704849629590257</v>
      </c>
      <c r="D28" s="64">
        <f t="shared" si="2"/>
        <v>-2.7048496295902567</v>
      </c>
      <c r="E28" s="65">
        <f t="shared" si="3"/>
        <v>-116.05654024275111</v>
      </c>
      <c r="F28" s="64">
        <f t="shared" si="4"/>
        <v>97.13445750905835</v>
      </c>
      <c r="G28" s="64">
        <f t="shared" si="5"/>
        <v>-7.1344575090583504</v>
      </c>
      <c r="H28" s="65">
        <f t="shared" si="6"/>
        <v>-105.15743214620014</v>
      </c>
      <c r="I28" s="64">
        <f t="shared" si="7"/>
        <v>101.30446128660462</v>
      </c>
      <c r="J28" s="64">
        <f t="shared" si="8"/>
        <v>-11.304461286604621</v>
      </c>
      <c r="K28" s="65">
        <f t="shared" si="9"/>
        <v>-94.052515297186304</v>
      </c>
      <c r="L28" s="64">
        <f t="shared" si="10"/>
        <v>105.05027068728614</v>
      </c>
      <c r="M28" s="64">
        <f t="shared" si="11"/>
        <v>-15.050270687286144</v>
      </c>
      <c r="N28" s="65">
        <f t="shared" si="12"/>
        <v>-82.638138031280221</v>
      </c>
      <c r="O28" s="64">
        <f t="shared" si="13"/>
        <v>108.20839466700423</v>
      </c>
      <c r="P28" s="64">
        <f t="shared" si="14"/>
        <v>-18.208394667004228</v>
      </c>
      <c r="Q28" s="65">
        <f t="shared" si="15"/>
        <v>-70.849987129078926</v>
      </c>
      <c r="R28" s="64">
        <f t="shared" si="16"/>
        <v>105.36260902608419</v>
      </c>
      <c r="S28" s="59">
        <f t="shared" si="17"/>
        <v>-15.362609026084186</v>
      </c>
      <c r="T28" s="58">
        <f t="shared" si="18"/>
        <v>-81.587480681642262</v>
      </c>
      <c r="U28" s="75"/>
      <c r="V28" s="53">
        <f>N25</f>
        <v>-83.537728847177519</v>
      </c>
      <c r="X28" s="50">
        <f>M25</f>
        <v>-17.858135700796851</v>
      </c>
      <c r="Y28" s="50"/>
      <c r="Z28" s="50"/>
      <c r="AA28" s="50"/>
    </row>
    <row r="29" spans="1:27" x14ac:dyDescent="0.2">
      <c r="A29" s="67">
        <v>-101</v>
      </c>
      <c r="B29" s="66">
        <f t="shared" si="0"/>
        <v>-1.7627825445142729</v>
      </c>
      <c r="C29" s="64">
        <f t="shared" si="1"/>
        <v>91.856597969849744</v>
      </c>
      <c r="D29" s="64">
        <f t="shared" si="2"/>
        <v>-1.8565979698497443</v>
      </c>
      <c r="E29" s="65">
        <f t="shared" si="3"/>
        <v>-115.70682814711058</v>
      </c>
      <c r="F29" s="64">
        <f t="shared" si="4"/>
        <v>96.223666947023659</v>
      </c>
      <c r="G29" s="64">
        <f t="shared" si="5"/>
        <v>-6.2236669470236592</v>
      </c>
      <c r="H29" s="65">
        <f t="shared" si="6"/>
        <v>-104.79557928707584</v>
      </c>
      <c r="I29" s="64">
        <f t="shared" si="7"/>
        <v>100.36380706239783</v>
      </c>
      <c r="J29" s="64">
        <f t="shared" si="8"/>
        <v>-10.363807062397825</v>
      </c>
      <c r="K29" s="65">
        <f t="shared" si="9"/>
        <v>-93.706985622061026</v>
      </c>
      <c r="L29" s="64">
        <f t="shared" si="10"/>
        <v>104.1155482315844</v>
      </c>
      <c r="M29" s="64">
        <f t="shared" si="11"/>
        <v>-14.115548231584398</v>
      </c>
      <c r="N29" s="65">
        <f t="shared" si="12"/>
        <v>-82.336887049370091</v>
      </c>
      <c r="O29" s="64">
        <f t="shared" si="13"/>
        <v>107.31838242964474</v>
      </c>
      <c r="P29" s="64">
        <f t="shared" si="14"/>
        <v>-17.318382429644743</v>
      </c>
      <c r="Q29" s="65">
        <f t="shared" si="15"/>
        <v>-70.616332292261177</v>
      </c>
      <c r="R29" s="64">
        <f t="shared" si="16"/>
        <v>104.43029740576132</v>
      </c>
      <c r="S29" s="59">
        <f t="shared" si="17"/>
        <v>-14.430297405761323</v>
      </c>
      <c r="T29" s="58">
        <f t="shared" si="18"/>
        <v>-81.291493476650444</v>
      </c>
      <c r="U29" s="66"/>
      <c r="V29" s="53">
        <f>Q25</f>
        <v>-71.526244063162238</v>
      </c>
      <c r="X29" s="50">
        <f>P25</f>
        <v>-20.885787388347367</v>
      </c>
    </row>
    <row r="30" spans="1:27" x14ac:dyDescent="0.2">
      <c r="A30" s="67">
        <v>-100</v>
      </c>
      <c r="B30" s="66">
        <f t="shared" si="0"/>
        <v>-1.7453292519943295</v>
      </c>
      <c r="C30" s="64">
        <f t="shared" si="1"/>
        <v>91.005872369704932</v>
      </c>
      <c r="D30" s="64">
        <f t="shared" si="2"/>
        <v>-1.0058723697049317</v>
      </c>
      <c r="E30" s="65">
        <f t="shared" si="3"/>
        <v>-115.36335292692665</v>
      </c>
      <c r="F30" s="64">
        <f t="shared" si="4"/>
        <v>95.311365226357921</v>
      </c>
      <c r="G30" s="64">
        <f t="shared" si="5"/>
        <v>-5.3113652263579212</v>
      </c>
      <c r="H30" s="65">
        <f t="shared" si="6"/>
        <v>-104.43822682489852</v>
      </c>
      <c r="I30" s="64">
        <f t="shared" si="7"/>
        <v>99.422786298998631</v>
      </c>
      <c r="J30" s="64">
        <f t="shared" si="8"/>
        <v>-9.4227862989986306</v>
      </c>
      <c r="K30" s="65">
        <f t="shared" si="9"/>
        <v>-93.363525187875567</v>
      </c>
      <c r="L30" s="64">
        <f t="shared" si="10"/>
        <v>103.18148782972006</v>
      </c>
      <c r="M30" s="64">
        <f t="shared" si="11"/>
        <v>-13.181487829720055</v>
      </c>
      <c r="N30" s="65">
        <f t="shared" si="12"/>
        <v>-82.034693440043867</v>
      </c>
      <c r="O30" s="64">
        <f t="shared" si="13"/>
        <v>106.4296577495227</v>
      </c>
      <c r="P30" s="64">
        <f t="shared" si="14"/>
        <v>-16.429657749522704</v>
      </c>
      <c r="Q30" s="65">
        <f t="shared" si="15"/>
        <v>-70.378488672008004</v>
      </c>
      <c r="R30" s="64">
        <f t="shared" si="16"/>
        <v>103.49872475517503</v>
      </c>
      <c r="S30" s="59">
        <f t="shared" si="17"/>
        <v>-13.498724755175033</v>
      </c>
      <c r="T30" s="58">
        <f t="shared" si="18"/>
        <v>-80.994271994911713</v>
      </c>
      <c r="U30" s="66"/>
      <c r="V30" s="53"/>
      <c r="X30" s="50"/>
    </row>
    <row r="31" spans="1:27" x14ac:dyDescent="0.2">
      <c r="A31" s="67">
        <v>-99</v>
      </c>
      <c r="B31" s="66">
        <f t="shared" si="0"/>
        <v>-1.7278759594743862</v>
      </c>
      <c r="C31" s="64">
        <f t="shared" si="1"/>
        <v>90.152747146318333</v>
      </c>
      <c r="D31" s="64">
        <f t="shared" si="2"/>
        <v>-0.15274714631833319</v>
      </c>
      <c r="E31" s="65">
        <f t="shared" si="3"/>
        <v>-115.02597391767792</v>
      </c>
      <c r="F31" s="64">
        <f t="shared" si="4"/>
        <v>94.397606125090334</v>
      </c>
      <c r="G31" s="64">
        <f t="shared" si="5"/>
        <v>-4.3976061250903342</v>
      </c>
      <c r="H31" s="65">
        <f t="shared" si="6"/>
        <v>-104.08517944247845</v>
      </c>
      <c r="I31" s="64">
        <f t="shared" si="7"/>
        <v>98.481434816657284</v>
      </c>
      <c r="J31" s="64">
        <f t="shared" si="8"/>
        <v>-8.4814348166572842</v>
      </c>
      <c r="K31" s="65">
        <f t="shared" si="9"/>
        <v>-93.021932468845847</v>
      </c>
      <c r="L31" s="64">
        <f t="shared" si="10"/>
        <v>102.24811774506072</v>
      </c>
      <c r="M31" s="64">
        <f t="shared" si="11"/>
        <v>-12.248117745060725</v>
      </c>
      <c r="N31" s="65">
        <f t="shared" si="12"/>
        <v>-81.731409349786603</v>
      </c>
      <c r="O31" s="64">
        <f t="shared" si="13"/>
        <v>105.54225908694647</v>
      </c>
      <c r="P31" s="64">
        <f t="shared" si="14"/>
        <v>-15.542259086946473</v>
      </c>
      <c r="Q31" s="65">
        <f t="shared" si="15"/>
        <v>-70.136407473637334</v>
      </c>
      <c r="R31" s="64">
        <f t="shared" si="16"/>
        <v>102.5679194529588</v>
      </c>
      <c r="S31" s="59">
        <f t="shared" si="17"/>
        <v>-12.567919452958805</v>
      </c>
      <c r="T31" s="58">
        <f t="shared" si="18"/>
        <v>-80.695675936365092</v>
      </c>
      <c r="U31" s="66"/>
      <c r="V31" s="53"/>
      <c r="X31" s="50"/>
      <c r="Y31" s="50"/>
      <c r="Z31" s="50"/>
      <c r="AA31" s="50"/>
    </row>
    <row r="32" spans="1:27" x14ac:dyDescent="0.2">
      <c r="A32" s="67">
        <v>-98</v>
      </c>
      <c r="B32" s="66">
        <f t="shared" si="0"/>
        <v>-1.7104226669544429</v>
      </c>
      <c r="C32" s="64">
        <f t="shared" si="1"/>
        <v>89.297294111732114</v>
      </c>
      <c r="D32" s="64">
        <f t="shared" si="2"/>
        <v>0.70270588826788583</v>
      </c>
      <c r="E32" s="65">
        <f t="shared" si="3"/>
        <v>-114.69455548212888</v>
      </c>
      <c r="F32" s="64">
        <f t="shared" si="4"/>
        <v>93.482441410238948</v>
      </c>
      <c r="G32" s="64">
        <f t="shared" si="5"/>
        <v>-3.4824414102389483</v>
      </c>
      <c r="H32" s="65">
        <f t="shared" si="6"/>
        <v>-103.736247001047</v>
      </c>
      <c r="I32" s="64">
        <f t="shared" si="7"/>
        <v>97.539787704230122</v>
      </c>
      <c r="J32" s="64">
        <f t="shared" si="8"/>
        <v>-7.5397877042301218</v>
      </c>
      <c r="K32" s="65">
        <f t="shared" si="9"/>
        <v>-92.68200985842347</v>
      </c>
      <c r="L32" s="64">
        <f t="shared" si="10"/>
        <v>101.31546683984607</v>
      </c>
      <c r="M32" s="64">
        <f t="shared" si="11"/>
        <v>-11.315466839846067</v>
      </c>
      <c r="N32" s="65">
        <f t="shared" si="12"/>
        <v>-81.426887491230758</v>
      </c>
      <c r="O32" s="64">
        <f t="shared" si="13"/>
        <v>104.65622598545906</v>
      </c>
      <c r="P32" s="64">
        <f t="shared" si="14"/>
        <v>-14.656225985459059</v>
      </c>
      <c r="Q32" s="65">
        <f t="shared" si="15"/>
        <v>-69.890035771799461</v>
      </c>
      <c r="R32" s="64">
        <f t="shared" si="16"/>
        <v>101.63791056661799</v>
      </c>
      <c r="S32" s="59">
        <f t="shared" si="17"/>
        <v>-11.63791056661799</v>
      </c>
      <c r="T32" s="58">
        <f t="shared" si="18"/>
        <v>-80.395565169283344</v>
      </c>
      <c r="U32" s="66"/>
      <c r="V32" s="53"/>
      <c r="X32" s="50"/>
    </row>
    <row r="33" spans="1:27" x14ac:dyDescent="0.2">
      <c r="A33" s="67">
        <v>-97</v>
      </c>
      <c r="B33" s="66">
        <f t="shared" si="0"/>
        <v>-1.6929693744344996</v>
      </c>
      <c r="C33" s="64">
        <f t="shared" si="1"/>
        <v>88.439582673847525</v>
      </c>
      <c r="D33" s="64">
        <f t="shared" si="2"/>
        <v>1.560417326152475</v>
      </c>
      <c r="E33" s="65">
        <f t="shared" si="3"/>
        <v>-114.36896691327001</v>
      </c>
      <c r="F33" s="64">
        <f t="shared" si="4"/>
        <v>92.565920942516556</v>
      </c>
      <c r="G33" s="64">
        <f t="shared" si="5"/>
        <v>-2.5659209425165557</v>
      </c>
      <c r="H33" s="65">
        <f t="shared" si="6"/>
        <v>-103.39124421401189</v>
      </c>
      <c r="I33" s="64">
        <f t="shared" si="7"/>
        <v>96.597879401204622</v>
      </c>
      <c r="J33" s="64">
        <f t="shared" si="8"/>
        <v>-6.5978794012046222</v>
      </c>
      <c r="K33" s="65">
        <f t="shared" si="9"/>
        <v>-92.343563233378447</v>
      </c>
      <c r="L33" s="64">
        <f t="shared" si="10"/>
        <v>100.38356462502441</v>
      </c>
      <c r="M33" s="64">
        <f t="shared" si="11"/>
        <v>-10.383564625024405</v>
      </c>
      <c r="N33" s="65">
        <f t="shared" si="12"/>
        <v>-81.120980841731296</v>
      </c>
      <c r="O33" s="64">
        <f t="shared" si="13"/>
        <v>103.77159912050185</v>
      </c>
      <c r="P33" s="64">
        <f t="shared" si="14"/>
        <v>-13.771599120501847</v>
      </c>
      <c r="Q33" s="65">
        <f t="shared" si="15"/>
        <v>-69.639316537075359</v>
      </c>
      <c r="R33" s="64">
        <f t="shared" si="16"/>
        <v>100.70872790040823</v>
      </c>
      <c r="S33" s="59">
        <f t="shared" si="17"/>
        <v>-10.708727900408235</v>
      </c>
      <c r="T33" s="58">
        <f t="shared" si="18"/>
        <v>-80.093799453271686</v>
      </c>
      <c r="U33" s="66"/>
      <c r="V33" s="53"/>
      <c r="X33" s="50"/>
    </row>
    <row r="34" spans="1:27" x14ac:dyDescent="0.2">
      <c r="A34" s="67">
        <v>-96</v>
      </c>
      <c r="B34" s="66">
        <f t="shared" si="0"/>
        <v>-1.6755160819145565</v>
      </c>
      <c r="C34" s="64">
        <f t="shared" si="1"/>
        <v>87.57967993339723</v>
      </c>
      <c r="D34" s="64">
        <f t="shared" si="2"/>
        <v>2.4203200666027698</v>
      </c>
      <c r="E34" s="65">
        <f t="shared" si="3"/>
        <v>-114.04908234084556</v>
      </c>
      <c r="F34" s="64">
        <f t="shared" si="4"/>
        <v>91.648092775762379</v>
      </c>
      <c r="G34" s="64">
        <f t="shared" si="5"/>
        <v>-1.6480927757623789</v>
      </c>
      <c r="H34" s="65">
        <f t="shared" si="6"/>
        <v>-103.04999032986127</v>
      </c>
      <c r="I34" s="64">
        <f t="shared" si="7"/>
        <v>95.65574377683086</v>
      </c>
      <c r="J34" s="64">
        <f t="shared" si="8"/>
        <v>-5.6557437768308603</v>
      </c>
      <c r="K34" s="65">
        <f t="shared" si="9"/>
        <v>-92.006401532156161</v>
      </c>
      <c r="L34" s="64">
        <f t="shared" si="10"/>
        <v>99.45244131106287</v>
      </c>
      <c r="M34" s="64">
        <f t="shared" si="11"/>
        <v>-9.45244131106287</v>
      </c>
      <c r="N34" s="65">
        <f t="shared" si="12"/>
        <v>-80.813542349978405</v>
      </c>
      <c r="O34" s="64">
        <f t="shared" si="13"/>
        <v>102.8884203497274</v>
      </c>
      <c r="P34" s="64">
        <f t="shared" si="14"/>
        <v>-12.888420349727397</v>
      </c>
      <c r="Q34" s="65">
        <f t="shared" si="15"/>
        <v>-69.38418865254711</v>
      </c>
      <c r="R34" s="64">
        <f t="shared" si="16"/>
        <v>99.780402044444585</v>
      </c>
      <c r="S34" s="59">
        <f t="shared" si="17"/>
        <v>-9.7804020444445854</v>
      </c>
      <c r="T34" s="58">
        <f t="shared" si="18"/>
        <v>-79.790238168985638</v>
      </c>
      <c r="U34" s="66"/>
      <c r="V34" s="53"/>
      <c r="X34" s="50"/>
      <c r="Y34" s="50"/>
      <c r="Z34" s="50"/>
      <c r="AA34" s="50"/>
    </row>
    <row r="35" spans="1:27" x14ac:dyDescent="0.2">
      <c r="A35" s="67">
        <v>-95</v>
      </c>
      <c r="B35" s="66">
        <f t="shared" si="0"/>
        <v>-1.6580627893946132</v>
      </c>
      <c r="C35" s="64">
        <f t="shared" si="1"/>
        <v>86.717650777066112</v>
      </c>
      <c r="D35" s="64">
        <f t="shared" si="2"/>
        <v>3.2823492229338882</v>
      </c>
      <c r="E35" s="65">
        <f t="shared" si="3"/>
        <v>-113.73478064183088</v>
      </c>
      <c r="F35" s="64">
        <f t="shared" si="4"/>
        <v>90.729003251443288</v>
      </c>
      <c r="G35" s="64">
        <f t="shared" si="5"/>
        <v>-0.72900325144328804</v>
      </c>
      <c r="H35" s="65">
        <f t="shared" si="6"/>
        <v>-102.71230882342448</v>
      </c>
      <c r="I35" s="64">
        <f t="shared" si="7"/>
        <v>94.713414206729993</v>
      </c>
      <c r="J35" s="64">
        <f t="shared" si="8"/>
        <v>-4.7134142067299933</v>
      </c>
      <c r="K35" s="65">
        <f t="shared" si="9"/>
        <v>-91.670336345708478</v>
      </c>
      <c r="L35" s="64">
        <f t="shared" si="10"/>
        <v>98.522127859916878</v>
      </c>
      <c r="M35" s="64">
        <f t="shared" si="11"/>
        <v>-8.5221278599168784</v>
      </c>
      <c r="N35" s="65">
        <f t="shared" si="12"/>
        <v>-80.504424649315638</v>
      </c>
      <c r="O35" s="64">
        <f t="shared" si="13"/>
        <v>102.0067327650701</v>
      </c>
      <c r="P35" s="64">
        <f t="shared" si="14"/>
        <v>-12.006732765070097</v>
      </c>
      <c r="Q35" s="65">
        <f t="shared" si="15"/>
        <v>-69.124586920907305</v>
      </c>
      <c r="R35" s="64">
        <f t="shared" si="16"/>
        <v>98.852964425209038</v>
      </c>
      <c r="S35" s="59">
        <f t="shared" si="17"/>
        <v>-8.8529644252090378</v>
      </c>
      <c r="T35" s="58">
        <f t="shared" si="18"/>
        <v>-79.484740053371624</v>
      </c>
      <c r="U35" s="66"/>
      <c r="V35" s="53"/>
      <c r="Y35" s="50"/>
    </row>
    <row r="36" spans="1:27" x14ac:dyDescent="0.2">
      <c r="A36" s="67">
        <v>-94</v>
      </c>
      <c r="B36" s="66">
        <f t="shared" si="0"/>
        <v>-1.6406094968746698</v>
      </c>
      <c r="C36" s="64">
        <f t="shared" si="1"/>
        <v>85.853557966913527</v>
      </c>
      <c r="D36" s="64">
        <f t="shared" si="2"/>
        <v>4.1464420330864726</v>
      </c>
      <c r="E36" s="65">
        <f t="shared" si="3"/>
        <v>-113.42594535519554</v>
      </c>
      <c r="F36" s="64">
        <f t="shared" si="4"/>
        <v>89.808697088549522</v>
      </c>
      <c r="G36" s="64">
        <f t="shared" si="5"/>
        <v>0.19130291145047806</v>
      </c>
      <c r="H36" s="65">
        <f t="shared" si="6"/>
        <v>-102.37802709469256</v>
      </c>
      <c r="I36" s="64">
        <f t="shared" si="7"/>
        <v>93.770923647333078</v>
      </c>
      <c r="J36" s="64">
        <f t="shared" si="8"/>
        <v>-3.7709236473330776</v>
      </c>
      <c r="K36" s="65">
        <f t="shared" si="9"/>
        <v>-91.335181519075803</v>
      </c>
      <c r="L36" s="64">
        <f t="shared" si="10"/>
        <v>97.592656038344217</v>
      </c>
      <c r="M36" s="64">
        <f t="shared" si="11"/>
        <v>-7.5926560383442165</v>
      </c>
      <c r="N36" s="65">
        <f t="shared" si="12"/>
        <v>-80.193479776513797</v>
      </c>
      <c r="O36" s="64">
        <f t="shared" si="13"/>
        <v>101.12658074668477</v>
      </c>
      <c r="P36" s="64">
        <f t="shared" si="14"/>
        <v>-11.126580746684766</v>
      </c>
      <c r="Q36" s="65">
        <f t="shared" si="15"/>
        <v>-68.860442062621672</v>
      </c>
      <c r="R36" s="64">
        <f t="shared" si="16"/>
        <v>97.926447357626571</v>
      </c>
      <c r="S36" s="59">
        <f t="shared" si="17"/>
        <v>-7.9264473576265715</v>
      </c>
      <c r="T36" s="58">
        <f t="shared" si="18"/>
        <v>-79.177162939306896</v>
      </c>
      <c r="U36" s="66"/>
      <c r="V36" s="53"/>
      <c r="Y36" s="50"/>
    </row>
    <row r="37" spans="1:27" x14ac:dyDescent="0.2">
      <c r="A37" s="67">
        <v>-93</v>
      </c>
      <c r="B37" s="66">
        <f t="shared" si="0"/>
        <v>-1.6231562043547265</v>
      </c>
      <c r="C37" s="64">
        <f t="shared" si="1"/>
        <v>84.987462226247843</v>
      </c>
      <c r="D37" s="64">
        <f t="shared" si="2"/>
        <v>5.0125377737521575</v>
      </c>
      <c r="E37" s="65">
        <f t="shared" si="3"/>
        <v>-113.12246460126836</v>
      </c>
      <c r="F37" s="64">
        <f t="shared" si="4"/>
        <v>88.887217469192123</v>
      </c>
      <c r="G37" s="64">
        <f t="shared" si="5"/>
        <v>1.1127825308078769</v>
      </c>
      <c r="H37" s="65">
        <f t="shared" si="6"/>
        <v>-102.0469761743956</v>
      </c>
      <c r="I37" s="64">
        <f t="shared" si="7"/>
        <v>92.82830470848748</v>
      </c>
      <c r="J37" s="64">
        <f t="shared" si="8"/>
        <v>-2.8283047084874795</v>
      </c>
      <c r="K37" s="65">
        <f t="shared" si="9"/>
        <v>-91.000752762064366</v>
      </c>
      <c r="L37" s="64">
        <f t="shared" si="10"/>
        <v>96.664058472751179</v>
      </c>
      <c r="M37" s="64">
        <f t="shared" si="11"/>
        <v>-6.6640584727511794</v>
      </c>
      <c r="N37" s="65">
        <f t="shared" si="12"/>
        <v>-79.88055889482321</v>
      </c>
      <c r="O37" s="64">
        <f t="shared" si="13"/>
        <v>100.24801001886497</v>
      </c>
      <c r="P37" s="64">
        <f t="shared" si="14"/>
        <v>-10.248010018864974</v>
      </c>
      <c r="Q37" s="65">
        <f t="shared" si="15"/>
        <v>-68.591680705612447</v>
      </c>
      <c r="R37" s="64">
        <f t="shared" si="16"/>
        <v>97.000884098881968</v>
      </c>
      <c r="S37" s="59">
        <f t="shared" si="17"/>
        <v>-7.0008840988819685</v>
      </c>
      <c r="T37" s="58">
        <f t="shared" si="18"/>
        <v>-78.867363498582392</v>
      </c>
      <c r="U37" s="66"/>
      <c r="V37" s="53"/>
      <c r="W37" s="49"/>
      <c r="X37" s="50"/>
      <c r="Y37" s="50"/>
      <c r="Z37" s="50"/>
      <c r="AA37" s="50"/>
    </row>
    <row r="38" spans="1:27" x14ac:dyDescent="0.2">
      <c r="A38" s="67">
        <v>-92</v>
      </c>
      <c r="B38" s="66">
        <f t="shared" si="0"/>
        <v>-1.6057029118347832</v>
      </c>
      <c r="C38" s="64">
        <f t="shared" si="1"/>
        <v>84.119422322101201</v>
      </c>
      <c r="D38" s="64">
        <f t="shared" si="2"/>
        <v>5.880577677898799</v>
      </c>
      <c r="E38" s="65">
        <f t="shared" si="3"/>
        <v>-112.82423100600548</v>
      </c>
      <c r="F38" s="64">
        <f t="shared" si="4"/>
        <v>87.96460612019392</v>
      </c>
      <c r="G38" s="64">
        <f t="shared" si="5"/>
        <v>2.0353938798060796</v>
      </c>
      <c r="H38" s="65">
        <f t="shared" si="6"/>
        <v>-101.718990435528</v>
      </c>
      <c r="I38" s="64">
        <f t="shared" si="7"/>
        <v>91.885589724555658</v>
      </c>
      <c r="J38" s="64">
        <f t="shared" si="8"/>
        <v>-1.8855897245556577</v>
      </c>
      <c r="K38" s="65">
        <f t="shared" si="9"/>
        <v>-90.666867267418525</v>
      </c>
      <c r="L38" s="64">
        <f t="shared" si="10"/>
        <v>95.736368705760768</v>
      </c>
      <c r="M38" s="64">
        <f t="shared" si="11"/>
        <v>-5.7363687057607677</v>
      </c>
      <c r="N38" s="65">
        <f t="shared" si="12"/>
        <v>-79.565512020190369</v>
      </c>
      <c r="O38" s="64">
        <f t="shared" si="13"/>
        <v>99.371067708055804</v>
      </c>
      <c r="P38" s="64">
        <f t="shared" si="14"/>
        <v>-9.3710677080558042</v>
      </c>
      <c r="Q38" s="65">
        <f t="shared" si="15"/>
        <v>-68.318225366889934</v>
      </c>
      <c r="R38" s="64">
        <f t="shared" si="16"/>
        <v>96.076308904154047</v>
      </c>
      <c r="S38" s="59">
        <f t="shared" si="17"/>
        <v>-6.0763089041540468</v>
      </c>
      <c r="T38" s="58">
        <f t="shared" si="18"/>
        <v>-78.555196987228143</v>
      </c>
      <c r="U38" s="66"/>
      <c r="V38" s="53"/>
      <c r="Y38" s="50"/>
    </row>
    <row r="39" spans="1:27" x14ac:dyDescent="0.2">
      <c r="A39" s="67">
        <v>-91</v>
      </c>
      <c r="B39" s="66">
        <f t="shared" si="0"/>
        <v>-1.5882496193148399</v>
      </c>
      <c r="C39" s="64">
        <f t="shared" si="1"/>
        <v>83.249495144449639</v>
      </c>
      <c r="D39" s="64">
        <f t="shared" si="2"/>
        <v>6.7505048555503606</v>
      </c>
      <c r="E39" s="65">
        <f t="shared" si="3"/>
        <v>-112.53114163045117</v>
      </c>
      <c r="F39" s="64">
        <f t="shared" si="4"/>
        <v>87.040903390949779</v>
      </c>
      <c r="G39" s="64">
        <f t="shared" si="5"/>
        <v>2.9590966090502206</v>
      </c>
      <c r="H39" s="65">
        <f t="shared" si="6"/>
        <v>-101.39390731000316</v>
      </c>
      <c r="I39" s="64">
        <f t="shared" si="7"/>
        <v>90.942810824320048</v>
      </c>
      <c r="J39" s="64">
        <f t="shared" si="8"/>
        <v>-0.94281082432004837</v>
      </c>
      <c r="K39" s="65">
        <f t="shared" si="9"/>
        <v>-90.333343334934725</v>
      </c>
      <c r="L39" s="64">
        <f t="shared" si="10"/>
        <v>94.809621254696481</v>
      </c>
      <c r="M39" s="64">
        <f t="shared" si="11"/>
        <v>-4.8096212546964807</v>
      </c>
      <c r="N39" s="65">
        <f t="shared" si="12"/>
        <v>-79.248187749579998</v>
      </c>
      <c r="O39" s="64">
        <f t="shared" si="13"/>
        <v>98.495802403077519</v>
      </c>
      <c r="P39" s="64">
        <f t="shared" si="14"/>
        <v>-8.4958024030775192</v>
      </c>
      <c r="Q39" s="65">
        <f t="shared" si="15"/>
        <v>-68.039994426524757</v>
      </c>
      <c r="R39" s="64">
        <f t="shared" si="16"/>
        <v>95.152757084447742</v>
      </c>
      <c r="S39" s="59">
        <f t="shared" si="17"/>
        <v>-5.1527570844477424</v>
      </c>
      <c r="T39" s="58">
        <f t="shared" si="18"/>
        <v>-78.240516992231846</v>
      </c>
      <c r="U39" s="66"/>
      <c r="V39" s="53"/>
      <c r="Z39" s="50"/>
    </row>
    <row r="40" spans="1:27" s="54" customFormat="1" x14ac:dyDescent="0.2">
      <c r="A40" s="63">
        <v>-90</v>
      </c>
      <c r="B40" s="62">
        <f t="shared" si="0"/>
        <v>-1.5707963267948966</v>
      </c>
      <c r="C40" s="60">
        <f t="shared" si="1"/>
        <v>82.377735782319988</v>
      </c>
      <c r="D40" s="60">
        <f t="shared" si="2"/>
        <v>7.6222642176800122</v>
      </c>
      <c r="E40" s="61">
        <f t="shared" si="3"/>
        <v>-112.24309790567612</v>
      </c>
      <c r="F40" s="60">
        <f t="shared" si="4"/>
        <v>86.116148327819545</v>
      </c>
      <c r="G40" s="60">
        <f t="shared" si="5"/>
        <v>3.8838516721804552</v>
      </c>
      <c r="H40" s="61">
        <f t="shared" si="6"/>
        <v>-101.07156700960884</v>
      </c>
      <c r="I40" s="60">
        <f t="shared" si="7"/>
        <v>90</v>
      </c>
      <c r="J40" s="60">
        <f t="shared" si="8"/>
        <v>0</v>
      </c>
      <c r="K40" s="61">
        <f t="shared" si="9"/>
        <v>-90</v>
      </c>
      <c r="L40" s="60">
        <f t="shared" si="10"/>
        <v>93.883851672180441</v>
      </c>
      <c r="M40" s="60">
        <f t="shared" si="11"/>
        <v>-3.883851672180441</v>
      </c>
      <c r="N40" s="61">
        <f t="shared" si="12"/>
        <v>-78.928432990391158</v>
      </c>
      <c r="O40" s="60">
        <f t="shared" si="13"/>
        <v>97.622264217680012</v>
      </c>
      <c r="P40" s="60">
        <f t="shared" si="14"/>
        <v>-7.6222642176800122</v>
      </c>
      <c r="Q40" s="61">
        <f t="shared" si="15"/>
        <v>-67.756902094323877</v>
      </c>
      <c r="R40" s="60">
        <f t="shared" si="16"/>
        <v>94.230265066711368</v>
      </c>
      <c r="S40" s="59">
        <f t="shared" si="17"/>
        <v>-4.2302650667113681</v>
      </c>
      <c r="T40" s="58">
        <f t="shared" si="18"/>
        <v>-77.923175178744316</v>
      </c>
      <c r="U40" s="62"/>
      <c r="V40" s="56">
        <f>E40</f>
        <v>-112.24309790567612</v>
      </c>
      <c r="X40" s="55"/>
      <c r="Y40" s="55">
        <f>D40</f>
        <v>7.6222642176800122</v>
      </c>
      <c r="Z40" s="55"/>
      <c r="AA40" s="55"/>
    </row>
    <row r="41" spans="1:27" x14ac:dyDescent="0.2">
      <c r="A41" s="67">
        <v>-89</v>
      </c>
      <c r="B41" s="66">
        <f t="shared" si="0"/>
        <v>-1.5533430342749532</v>
      </c>
      <c r="C41" s="64">
        <f t="shared" si="1"/>
        <v>81.504197596922481</v>
      </c>
      <c r="D41" s="64">
        <f t="shared" si="2"/>
        <v>8.4958024030775192</v>
      </c>
      <c r="E41" s="65">
        <f t="shared" si="3"/>
        <v>-111.96000557347524</v>
      </c>
      <c r="F41" s="64">
        <f t="shared" si="4"/>
        <v>85.190378745303505</v>
      </c>
      <c r="G41" s="64">
        <f t="shared" si="5"/>
        <v>4.8096212546964949</v>
      </c>
      <c r="H41" s="65">
        <f t="shared" si="6"/>
        <v>-100.75181225042</v>
      </c>
      <c r="I41" s="64">
        <f t="shared" si="7"/>
        <v>89.057189175679952</v>
      </c>
      <c r="J41" s="64">
        <f t="shared" si="8"/>
        <v>0.94281082432004837</v>
      </c>
      <c r="K41" s="65">
        <f t="shared" si="9"/>
        <v>-89.666656665065275</v>
      </c>
      <c r="L41" s="64">
        <f t="shared" si="10"/>
        <v>92.959096609050221</v>
      </c>
      <c r="M41" s="64">
        <f t="shared" si="11"/>
        <v>-2.9590966090502206</v>
      </c>
      <c r="N41" s="65">
        <f t="shared" si="12"/>
        <v>-78.606092689996842</v>
      </c>
      <c r="O41" s="64">
        <f t="shared" si="13"/>
        <v>96.750504855550346</v>
      </c>
      <c r="P41" s="64">
        <f t="shared" si="14"/>
        <v>-6.7505048555503464</v>
      </c>
      <c r="Q41" s="65">
        <f t="shared" si="15"/>
        <v>-67.468858369548826</v>
      </c>
      <c r="R41" s="64">
        <f t="shared" si="16"/>
        <v>93.308870456431535</v>
      </c>
      <c r="S41" s="59">
        <f t="shared" si="17"/>
        <v>-3.308870456431535</v>
      </c>
      <c r="T41" s="58">
        <f t="shared" si="18"/>
        <v>-77.603021036903371</v>
      </c>
      <c r="U41" s="66"/>
      <c r="V41" s="53">
        <f>H40</f>
        <v>-101.07156700960884</v>
      </c>
      <c r="Y41" s="50">
        <f>G40</f>
        <v>3.8838516721804552</v>
      </c>
      <c r="Z41" s="50"/>
    </row>
    <row r="42" spans="1:27" x14ac:dyDescent="0.2">
      <c r="A42" s="67">
        <v>-88</v>
      </c>
      <c r="B42" s="66">
        <f t="shared" si="0"/>
        <v>-1.5358897417550099</v>
      </c>
      <c r="C42" s="64">
        <f t="shared" si="1"/>
        <v>80.628932291944182</v>
      </c>
      <c r="D42" s="64">
        <f t="shared" si="2"/>
        <v>9.3710677080558185</v>
      </c>
      <c r="E42" s="65">
        <f t="shared" ref="E42:E73" si="19">DEGREES(-ACOS((SIN(RADIANS(D42))*SIN($C$6)-SIN(C$5))/(COS(RADIANS(D42))*COS($C$6))))</f>
        <v>-111.68177463311007</v>
      </c>
      <c r="F42" s="64">
        <f t="shared" si="4"/>
        <v>84.263631294239218</v>
      </c>
      <c r="G42" s="64">
        <f t="shared" si="5"/>
        <v>5.7363687057607819</v>
      </c>
      <c r="H42" s="65">
        <f t="shared" ref="H42:H73" si="20">DEGREES(-ACOS((SIN(RADIANS(G42))*SIN($C$6)-SIN(G$5))/(COS(RADIANS(G42))*COS($C$6))))</f>
        <v>-100.43448797980963</v>
      </c>
      <c r="I42" s="64">
        <f t="shared" si="7"/>
        <v>88.114410275444342</v>
      </c>
      <c r="J42" s="64">
        <f t="shared" si="8"/>
        <v>1.8855897245556577</v>
      </c>
      <c r="K42" s="65">
        <f t="shared" ref="K42:K73" si="21">DEGREES(-ACOS((SIN(RADIANS(J42))*SIN($C$6)-SIN(J$5))/(COS(RADIANS(J42))*COS($C$6))))</f>
        <v>-89.333132732581461</v>
      </c>
      <c r="L42" s="64">
        <f t="shared" si="10"/>
        <v>92.03539387980608</v>
      </c>
      <c r="M42" s="64">
        <f t="shared" si="11"/>
        <v>-2.0353938798060796</v>
      </c>
      <c r="N42" s="65">
        <f t="shared" ref="N42:N73" si="22">DEGREES(-ACOS((SIN(RADIANS(M42))*SIN($C$6)-SIN(M$5))/(COS(RADIANS(M42))*COS($C$6))))</f>
        <v>-78.281009564472001</v>
      </c>
      <c r="O42" s="64">
        <f t="shared" si="13"/>
        <v>95.880577677898785</v>
      </c>
      <c r="P42" s="64">
        <f t="shared" si="14"/>
        <v>-5.8805776778987848</v>
      </c>
      <c r="Q42" s="65">
        <f t="shared" ref="Q42:Q73" si="23">DEGREES(-ACOS((SIN(RADIANS(P42))*SIN($C$6)-SIN(P$5))/(COS(RADIANS(P42))*COS($C$6))))</f>
        <v>-67.17576899399451</v>
      </c>
      <c r="R42" s="64">
        <f t="shared" si="16"/>
        <v>92.388612102906862</v>
      </c>
      <c r="S42" s="59">
        <f t="shared" si="17"/>
        <v>-2.3886121029068619</v>
      </c>
      <c r="T42" s="58">
        <f t="shared" ref="T42:T73" si="24">DEGREES(-ACOS((SIN(RADIANS(S42))*SIN($C$6)-SIN(S$5))/(COS(RADIANS(S42))*COS($C$6))))</f>
        <v>-77.279901627440481</v>
      </c>
      <c r="U42" s="66"/>
      <c r="V42" s="53">
        <f>K40</f>
        <v>-90</v>
      </c>
      <c r="Y42" s="50">
        <f>J40</f>
        <v>0</v>
      </c>
      <c r="Z42" s="50"/>
    </row>
    <row r="43" spans="1:27" x14ac:dyDescent="0.2">
      <c r="A43" s="67">
        <v>-87</v>
      </c>
      <c r="B43" s="66">
        <f t="shared" si="0"/>
        <v>-1.5184364492350666</v>
      </c>
      <c r="C43" s="64">
        <f t="shared" si="1"/>
        <v>79.751989981135011</v>
      </c>
      <c r="D43" s="64">
        <f t="shared" si="2"/>
        <v>10.248010018864989</v>
      </c>
      <c r="E43" s="65">
        <f t="shared" si="19"/>
        <v>-111.40831929438755</v>
      </c>
      <c r="F43" s="64">
        <f t="shared" si="4"/>
        <v>83.335941527248821</v>
      </c>
      <c r="G43" s="64">
        <f t="shared" si="5"/>
        <v>6.6640584727511794</v>
      </c>
      <c r="H43" s="65">
        <f t="shared" si="20"/>
        <v>-100.11944110517679</v>
      </c>
      <c r="I43" s="64">
        <f t="shared" si="7"/>
        <v>87.171695291512506</v>
      </c>
      <c r="J43" s="64">
        <f t="shared" si="8"/>
        <v>2.8283047084874937</v>
      </c>
      <c r="K43" s="65">
        <f t="shared" si="21"/>
        <v>-88.99924723793562</v>
      </c>
      <c r="L43" s="64">
        <f t="shared" si="10"/>
        <v>91.112782530807863</v>
      </c>
      <c r="M43" s="64">
        <f t="shared" si="11"/>
        <v>-1.1127825308078627</v>
      </c>
      <c r="N43" s="65">
        <f t="shared" si="22"/>
        <v>-77.953023825604404</v>
      </c>
      <c r="O43" s="64">
        <f t="shared" si="13"/>
        <v>95.012537773752157</v>
      </c>
      <c r="P43" s="64">
        <f t="shared" si="14"/>
        <v>-5.0125377737521575</v>
      </c>
      <c r="Q43" s="65">
        <f t="shared" si="23"/>
        <v>-66.877535398731638</v>
      </c>
      <c r="R43" s="64">
        <f t="shared" si="16"/>
        <v>91.469530167409062</v>
      </c>
      <c r="S43" s="59">
        <f t="shared" si="17"/>
        <v>-1.4695301674090615</v>
      </c>
      <c r="T43" s="58">
        <f t="shared" si="24"/>
        <v>-76.953661325262743</v>
      </c>
      <c r="U43" s="66"/>
      <c r="V43" s="53">
        <f>N40</f>
        <v>-78.928432990391158</v>
      </c>
      <c r="W43" s="49"/>
      <c r="X43" s="50"/>
      <c r="Y43" s="50">
        <f>M40</f>
        <v>-3.883851672180441</v>
      </c>
      <c r="Z43" s="50"/>
      <c r="AA43" s="50"/>
    </row>
    <row r="44" spans="1:27" x14ac:dyDescent="0.2">
      <c r="A44" s="67">
        <v>-86</v>
      </c>
      <c r="B44" s="66">
        <f t="shared" si="0"/>
        <v>-1.5009831567151235</v>
      </c>
      <c r="C44" s="64">
        <f t="shared" si="1"/>
        <v>78.873419253315234</v>
      </c>
      <c r="D44" s="64">
        <f t="shared" si="2"/>
        <v>11.126580746684766</v>
      </c>
      <c r="E44" s="65">
        <f t="shared" si="19"/>
        <v>-111.13955793737833</v>
      </c>
      <c r="F44" s="64">
        <f t="shared" si="4"/>
        <v>82.407343961655798</v>
      </c>
      <c r="G44" s="64">
        <f t="shared" si="5"/>
        <v>7.5926560383442023</v>
      </c>
      <c r="H44" s="65">
        <f t="shared" si="20"/>
        <v>-99.806520223486203</v>
      </c>
      <c r="I44" s="64">
        <f t="shared" si="7"/>
        <v>86.229076352666937</v>
      </c>
      <c r="J44" s="64">
        <f t="shared" si="8"/>
        <v>3.7709236473330634</v>
      </c>
      <c r="K44" s="65">
        <f t="shared" si="21"/>
        <v>-88.664818480924211</v>
      </c>
      <c r="L44" s="64">
        <f t="shared" si="10"/>
        <v>90.191302911450492</v>
      </c>
      <c r="M44" s="64">
        <f t="shared" si="11"/>
        <v>-0.19130291145049227</v>
      </c>
      <c r="N44" s="65">
        <f t="shared" si="22"/>
        <v>-77.621972905307445</v>
      </c>
      <c r="O44" s="64">
        <f t="shared" si="13"/>
        <v>94.146442033086487</v>
      </c>
      <c r="P44" s="64">
        <f t="shared" si="14"/>
        <v>-4.1464420330864868</v>
      </c>
      <c r="Q44" s="65">
        <f t="shared" si="23"/>
        <v>-66.574054644804477</v>
      </c>
      <c r="R44" s="64">
        <f t="shared" si="16"/>
        <v>90.551666194450149</v>
      </c>
      <c r="S44" s="59">
        <f t="shared" si="17"/>
        <v>-0.55166619445014931</v>
      </c>
      <c r="T44" s="58">
        <f t="shared" si="24"/>
        <v>-76.624141560226406</v>
      </c>
      <c r="U44" s="66"/>
      <c r="V44" s="53">
        <f>Q40</f>
        <v>-67.756902094323877</v>
      </c>
      <c r="Y44" s="50">
        <f>P40</f>
        <v>-7.6222642176800122</v>
      </c>
      <c r="AA44" s="50"/>
    </row>
    <row r="45" spans="1:27" x14ac:dyDescent="0.2">
      <c r="A45" s="67">
        <v>-85</v>
      </c>
      <c r="B45" s="66">
        <f t="shared" si="0"/>
        <v>-1.4835298641951802</v>
      </c>
      <c r="C45" s="64">
        <f t="shared" si="1"/>
        <v>77.993267234929903</v>
      </c>
      <c r="D45" s="64">
        <f t="shared" si="2"/>
        <v>12.006732765070097</v>
      </c>
      <c r="E45" s="65">
        <f t="shared" si="19"/>
        <v>-110.8754130790927</v>
      </c>
      <c r="F45" s="64">
        <f t="shared" si="4"/>
        <v>81.477872140083136</v>
      </c>
      <c r="G45" s="64">
        <f t="shared" si="5"/>
        <v>8.5221278599168642</v>
      </c>
      <c r="H45" s="65">
        <f t="shared" si="20"/>
        <v>-99.495575350684376</v>
      </c>
      <c r="I45" s="64">
        <f t="shared" si="7"/>
        <v>85.286585793270007</v>
      </c>
      <c r="J45" s="64">
        <f t="shared" si="8"/>
        <v>4.7134142067299933</v>
      </c>
      <c r="K45" s="65">
        <f t="shared" si="21"/>
        <v>-88.329663654291522</v>
      </c>
      <c r="L45" s="64">
        <f t="shared" si="10"/>
        <v>89.270996748556712</v>
      </c>
      <c r="M45" s="64">
        <f t="shared" si="11"/>
        <v>0.72900325144328804</v>
      </c>
      <c r="N45" s="65">
        <f t="shared" si="22"/>
        <v>-77.287691176575507</v>
      </c>
      <c r="O45" s="64">
        <f t="shared" si="13"/>
        <v>93.282349222933888</v>
      </c>
      <c r="P45" s="64">
        <f t="shared" si="14"/>
        <v>-3.2823492229338882</v>
      </c>
      <c r="Q45" s="65">
        <f t="shared" si="23"/>
        <v>-66.265219358169119</v>
      </c>
      <c r="R45" s="64">
        <f t="shared" si="16"/>
        <v>89.635063186383917</v>
      </c>
      <c r="S45" s="59">
        <f t="shared" si="17"/>
        <v>0.3649368136160831</v>
      </c>
      <c r="T45" s="58">
        <f t="shared" si="24"/>
        <v>-76.291180554339519</v>
      </c>
      <c r="U45" s="66"/>
      <c r="V45" s="53"/>
      <c r="AA45" s="50"/>
    </row>
    <row r="46" spans="1:27" x14ac:dyDescent="0.2">
      <c r="A46" s="67">
        <v>-84</v>
      </c>
      <c r="B46" s="66">
        <f t="shared" si="0"/>
        <v>-1.4660765716752369</v>
      </c>
      <c r="C46" s="64">
        <f t="shared" si="1"/>
        <v>77.111579650272617</v>
      </c>
      <c r="D46" s="64">
        <f t="shared" si="2"/>
        <v>12.888420349727383</v>
      </c>
      <c r="E46" s="65">
        <f t="shared" si="19"/>
        <v>-110.61581134745289</v>
      </c>
      <c r="F46" s="64">
        <f t="shared" si="4"/>
        <v>80.547558688937144</v>
      </c>
      <c r="G46" s="64">
        <f t="shared" si="5"/>
        <v>9.4524413110628558</v>
      </c>
      <c r="H46" s="65">
        <f t="shared" si="20"/>
        <v>-99.186457650021595</v>
      </c>
      <c r="I46" s="64">
        <f t="shared" si="7"/>
        <v>84.34425622316914</v>
      </c>
      <c r="J46" s="64">
        <f t="shared" si="8"/>
        <v>5.6557437768308603</v>
      </c>
      <c r="K46" s="65">
        <f t="shared" si="21"/>
        <v>-87.993598467843825</v>
      </c>
      <c r="L46" s="64">
        <f t="shared" si="10"/>
        <v>88.351907224237621</v>
      </c>
      <c r="M46" s="64">
        <f t="shared" si="11"/>
        <v>1.6480927757623789</v>
      </c>
      <c r="N46" s="65">
        <f t="shared" si="22"/>
        <v>-76.950009670138726</v>
      </c>
      <c r="O46" s="64">
        <f t="shared" si="13"/>
        <v>92.42032006660277</v>
      </c>
      <c r="P46" s="64">
        <f t="shared" si="14"/>
        <v>-2.4203200666027698</v>
      </c>
      <c r="Q46" s="65">
        <f t="shared" si="23"/>
        <v>-65.950917659154442</v>
      </c>
      <c r="R46" s="64">
        <f t="shared" si="16"/>
        <v>88.71976568158226</v>
      </c>
      <c r="S46" s="59">
        <f t="shared" si="17"/>
        <v>1.2802343184177403</v>
      </c>
      <c r="T46" s="58">
        <f t="shared" si="24"/>
        <v>-75.954613054648263</v>
      </c>
      <c r="U46" s="69"/>
      <c r="V46" s="53"/>
      <c r="X46" s="50"/>
      <c r="Y46" s="50"/>
      <c r="Z46" s="50"/>
      <c r="AA46" s="50"/>
    </row>
    <row r="47" spans="1:27" x14ac:dyDescent="0.2">
      <c r="A47" s="67">
        <v>-83</v>
      </c>
      <c r="B47" s="66">
        <f t="shared" si="0"/>
        <v>-1.4486232791552935</v>
      </c>
      <c r="C47" s="64">
        <f t="shared" si="1"/>
        <v>76.228400879498153</v>
      </c>
      <c r="D47" s="64">
        <f t="shared" si="2"/>
        <v>13.771599120501847</v>
      </c>
      <c r="E47" s="65">
        <f t="shared" si="19"/>
        <v>-110.36068346292464</v>
      </c>
      <c r="F47" s="64">
        <f t="shared" si="4"/>
        <v>79.616435374975595</v>
      </c>
      <c r="G47" s="64">
        <f t="shared" si="5"/>
        <v>10.383564625024405</v>
      </c>
      <c r="H47" s="65">
        <f t="shared" si="20"/>
        <v>-98.87901915826869</v>
      </c>
      <c r="I47" s="64">
        <f t="shared" si="7"/>
        <v>83.402120598795364</v>
      </c>
      <c r="J47" s="64">
        <f t="shared" si="8"/>
        <v>6.5978794012046365</v>
      </c>
      <c r="K47" s="65">
        <f t="shared" si="21"/>
        <v>-87.656436766621553</v>
      </c>
      <c r="L47" s="64">
        <f t="shared" si="10"/>
        <v>87.434079057483444</v>
      </c>
      <c r="M47" s="64">
        <f t="shared" si="11"/>
        <v>2.5659209425165557</v>
      </c>
      <c r="N47" s="65">
        <f t="shared" si="22"/>
        <v>-76.608755785988109</v>
      </c>
      <c r="O47" s="64">
        <f t="shared" si="13"/>
        <v>91.560417326152475</v>
      </c>
      <c r="P47" s="64">
        <f t="shared" si="14"/>
        <v>-1.560417326152475</v>
      </c>
      <c r="Q47" s="65">
        <f t="shared" si="23"/>
        <v>-65.631033086729985</v>
      </c>
      <c r="R47" s="64">
        <f t="shared" si="16"/>
        <v>87.80581983643782</v>
      </c>
      <c r="S47" s="59">
        <f t="shared" si="17"/>
        <v>2.19418016356218</v>
      </c>
      <c r="T47" s="58">
        <f t="shared" si="24"/>
        <v>-75.614270061077264</v>
      </c>
      <c r="U47" s="69"/>
      <c r="V47" s="53"/>
      <c r="AA47" s="50"/>
    </row>
    <row r="48" spans="1:27" x14ac:dyDescent="0.2">
      <c r="A48" s="67">
        <v>-82</v>
      </c>
      <c r="B48" s="66">
        <f t="shared" si="0"/>
        <v>-1.4311699866353502</v>
      </c>
      <c r="C48" s="64">
        <f t="shared" si="1"/>
        <v>75.343774014540926</v>
      </c>
      <c r="D48" s="64">
        <f t="shared" si="2"/>
        <v>14.656225985459074</v>
      </c>
      <c r="E48" s="65">
        <f t="shared" si="19"/>
        <v>-110.10996422820054</v>
      </c>
      <c r="F48" s="64">
        <f t="shared" si="4"/>
        <v>78.684533160153933</v>
      </c>
      <c r="G48" s="64">
        <f t="shared" si="5"/>
        <v>11.315466839846067</v>
      </c>
      <c r="H48" s="65">
        <f t="shared" si="20"/>
        <v>-98.573112508769242</v>
      </c>
      <c r="I48" s="64">
        <f t="shared" si="7"/>
        <v>82.460212295769878</v>
      </c>
      <c r="J48" s="64">
        <f t="shared" si="8"/>
        <v>7.5397877042301218</v>
      </c>
      <c r="K48" s="65">
        <f t="shared" si="21"/>
        <v>-87.31799014157653</v>
      </c>
      <c r="L48" s="64">
        <f t="shared" si="10"/>
        <v>86.517558589761038</v>
      </c>
      <c r="M48" s="64">
        <f t="shared" si="11"/>
        <v>3.4824414102389625</v>
      </c>
      <c r="N48" s="65">
        <f t="shared" si="22"/>
        <v>-76.263752998952995</v>
      </c>
      <c r="O48" s="64">
        <f t="shared" si="13"/>
        <v>90.702705888267872</v>
      </c>
      <c r="P48" s="64">
        <f t="shared" si="14"/>
        <v>-0.70270588826787161</v>
      </c>
      <c r="Q48" s="65">
        <f t="shared" si="23"/>
        <v>-65.305444517871109</v>
      </c>
      <c r="R48" s="64">
        <f t="shared" si="16"/>
        <v>86.893273511459043</v>
      </c>
      <c r="S48" s="59">
        <f t="shared" si="17"/>
        <v>3.1067264885409571</v>
      </c>
      <c r="T48" s="58">
        <f t="shared" si="24"/>
        <v>-75.269978548507055</v>
      </c>
      <c r="U48" s="69"/>
      <c r="V48" s="53"/>
      <c r="AA48" s="50"/>
    </row>
    <row r="49" spans="1:29" x14ac:dyDescent="0.2">
      <c r="A49" s="67">
        <v>-81</v>
      </c>
      <c r="B49" s="66">
        <f t="shared" si="0"/>
        <v>-1.4137166941154069</v>
      </c>
      <c r="C49" s="64">
        <f t="shared" si="1"/>
        <v>74.457740913053513</v>
      </c>
      <c r="D49" s="64">
        <f t="shared" si="2"/>
        <v>15.542259086946487</v>
      </c>
      <c r="E49" s="65">
        <f t="shared" si="19"/>
        <v>-109.86359252636267</v>
      </c>
      <c r="F49" s="64">
        <f t="shared" si="4"/>
        <v>77.751882254939275</v>
      </c>
      <c r="G49" s="64">
        <f t="shared" si="5"/>
        <v>12.248117745060725</v>
      </c>
      <c r="H49" s="65">
        <f t="shared" si="20"/>
        <v>-98.268590650213397</v>
      </c>
      <c r="I49" s="64">
        <f t="shared" si="7"/>
        <v>81.518565183342702</v>
      </c>
      <c r="J49" s="64">
        <f t="shared" si="8"/>
        <v>8.4814348166572984</v>
      </c>
      <c r="K49" s="65">
        <f t="shared" si="21"/>
        <v>-86.978067531154153</v>
      </c>
      <c r="L49" s="64">
        <f t="shared" si="10"/>
        <v>85.602393874909652</v>
      </c>
      <c r="M49" s="64">
        <f t="shared" si="11"/>
        <v>4.3976061250903484</v>
      </c>
      <c r="N49" s="65">
        <f t="shared" si="22"/>
        <v>-75.914820557521551</v>
      </c>
      <c r="O49" s="64">
        <f t="shared" si="13"/>
        <v>89.847252853681667</v>
      </c>
      <c r="P49" s="64">
        <f t="shared" si="14"/>
        <v>0.15274714631833319</v>
      </c>
      <c r="Q49" s="65">
        <f t="shared" si="23"/>
        <v>-64.974026082322069</v>
      </c>
      <c r="R49" s="64">
        <f t="shared" si="16"/>
        <v>85.982176361737217</v>
      </c>
      <c r="S49" s="59">
        <f t="shared" si="17"/>
        <v>4.017823638262783</v>
      </c>
      <c r="T49" s="58">
        <f t="shared" si="24"/>
        <v>-74.921561182383485</v>
      </c>
      <c r="U49" s="69"/>
      <c r="V49" s="53"/>
      <c r="X49" s="50"/>
      <c r="Y49" s="50"/>
      <c r="Z49" s="50"/>
      <c r="AA49" s="50"/>
      <c r="AB49" s="50"/>
    </row>
    <row r="50" spans="1:29" x14ac:dyDescent="0.2">
      <c r="A50" s="67">
        <v>-80</v>
      </c>
      <c r="B50" s="66">
        <f t="shared" si="0"/>
        <v>-1.3962634015954636</v>
      </c>
      <c r="C50" s="64">
        <f t="shared" si="1"/>
        <v>73.570342250477282</v>
      </c>
      <c r="D50" s="64">
        <f t="shared" si="2"/>
        <v>16.429657749522718</v>
      </c>
      <c r="E50" s="65">
        <f t="shared" si="19"/>
        <v>-109.621511327992</v>
      </c>
      <c r="F50" s="64">
        <f t="shared" si="4"/>
        <v>76.818512170279945</v>
      </c>
      <c r="G50" s="64">
        <f t="shared" si="5"/>
        <v>13.181487829720055</v>
      </c>
      <c r="H50" s="65">
        <f t="shared" si="20"/>
        <v>-97.965306559956133</v>
      </c>
      <c r="I50" s="64">
        <f t="shared" si="7"/>
        <v>80.577213701001355</v>
      </c>
      <c r="J50" s="64">
        <f t="shared" si="8"/>
        <v>9.4227862989986448</v>
      </c>
      <c r="K50" s="65">
        <f t="shared" si="21"/>
        <v>-86.636474812124419</v>
      </c>
      <c r="L50" s="64">
        <f t="shared" si="10"/>
        <v>84.688634773642079</v>
      </c>
      <c r="M50" s="64">
        <f t="shared" si="11"/>
        <v>5.3113652263579212</v>
      </c>
      <c r="N50" s="65">
        <f t="shared" si="22"/>
        <v>-75.561773175101479</v>
      </c>
      <c r="O50" s="64">
        <f t="shared" si="13"/>
        <v>88.994127630295054</v>
      </c>
      <c r="P50" s="64">
        <f t="shared" si="14"/>
        <v>1.0058723697049459</v>
      </c>
      <c r="Q50" s="65">
        <f t="shared" si="23"/>
        <v>-64.636647073073348</v>
      </c>
      <c r="R50" s="64">
        <f t="shared" si="16"/>
        <v>85.072579932081041</v>
      </c>
      <c r="S50" s="59">
        <f t="shared" si="17"/>
        <v>4.927420067918959</v>
      </c>
      <c r="T50" s="58">
        <f t="shared" si="24"/>
        <v>-74.568836027164636</v>
      </c>
      <c r="U50" s="69"/>
      <c r="V50" s="53"/>
      <c r="AB50" s="50"/>
    </row>
    <row r="51" spans="1:29" x14ac:dyDescent="0.2">
      <c r="A51" s="67">
        <v>-79</v>
      </c>
      <c r="B51" s="66">
        <f t="shared" si="0"/>
        <v>-1.3788101090755203</v>
      </c>
      <c r="C51" s="64">
        <f t="shared" si="1"/>
        <v>72.681617570355257</v>
      </c>
      <c r="D51" s="64">
        <f t="shared" si="2"/>
        <v>17.318382429644743</v>
      </c>
      <c r="E51" s="65">
        <f t="shared" si="19"/>
        <v>-109.38366770773882</v>
      </c>
      <c r="F51" s="64">
        <f t="shared" si="4"/>
        <v>75.884451768415602</v>
      </c>
      <c r="G51" s="64">
        <f t="shared" si="5"/>
        <v>14.115548231584398</v>
      </c>
      <c r="H51" s="65">
        <f t="shared" si="20"/>
        <v>-97.663112950629909</v>
      </c>
      <c r="I51" s="64">
        <f t="shared" si="7"/>
        <v>79.636192937602175</v>
      </c>
      <c r="J51" s="64">
        <f t="shared" si="8"/>
        <v>10.363807062397825</v>
      </c>
      <c r="K51" s="65">
        <f t="shared" si="21"/>
        <v>-86.293014377938974</v>
      </c>
      <c r="L51" s="64">
        <f t="shared" si="10"/>
        <v>83.776333052976341</v>
      </c>
      <c r="M51" s="64">
        <f t="shared" si="11"/>
        <v>6.2236669470236592</v>
      </c>
      <c r="N51" s="65">
        <f t="shared" si="22"/>
        <v>-75.204420712924161</v>
      </c>
      <c r="O51" s="64">
        <f t="shared" si="13"/>
        <v>88.143402030150241</v>
      </c>
      <c r="P51" s="64">
        <f t="shared" si="14"/>
        <v>1.8565979698497586</v>
      </c>
      <c r="Q51" s="65">
        <f t="shared" si="23"/>
        <v>-64.293171852889401</v>
      </c>
      <c r="R51" s="64">
        <f t="shared" si="16"/>
        <v>84.16453775713056</v>
      </c>
      <c r="S51" s="59">
        <f t="shared" si="17"/>
        <v>5.8354622428694398</v>
      </c>
      <c r="T51" s="58">
        <f t="shared" si="24"/>
        <v>-74.211616246920727</v>
      </c>
      <c r="U51" s="69"/>
      <c r="V51" s="53"/>
      <c r="AB51" s="50"/>
    </row>
    <row r="52" spans="1:29" x14ac:dyDescent="0.2">
      <c r="A52" s="67">
        <v>-78</v>
      </c>
      <c r="B52" s="66">
        <f t="shared" si="0"/>
        <v>-1.3613568165555769</v>
      </c>
      <c r="C52" s="64">
        <f t="shared" si="1"/>
        <v>71.791605332995772</v>
      </c>
      <c r="D52" s="64">
        <f t="shared" si="2"/>
        <v>18.208394667004228</v>
      </c>
      <c r="E52" s="65">
        <f t="shared" si="19"/>
        <v>-109.15001287092107</v>
      </c>
      <c r="F52" s="64">
        <f t="shared" si="4"/>
        <v>74.949729312713856</v>
      </c>
      <c r="G52" s="64">
        <f t="shared" si="5"/>
        <v>15.050270687286144</v>
      </c>
      <c r="H52" s="65">
        <f t="shared" si="20"/>
        <v>-97.361861968719779</v>
      </c>
      <c r="I52" s="64">
        <f t="shared" si="7"/>
        <v>78.695538713395379</v>
      </c>
      <c r="J52" s="64">
        <f t="shared" si="8"/>
        <v>11.304461286604621</v>
      </c>
      <c r="K52" s="65">
        <f t="shared" si="21"/>
        <v>-85.947484702813696</v>
      </c>
      <c r="L52" s="64">
        <f t="shared" si="10"/>
        <v>82.865542490941635</v>
      </c>
      <c r="M52" s="64">
        <f t="shared" si="11"/>
        <v>7.1344575090583646</v>
      </c>
      <c r="N52" s="65">
        <f t="shared" si="22"/>
        <v>-74.842567853799849</v>
      </c>
      <c r="O52" s="64">
        <f t="shared" si="13"/>
        <v>87.295150370409743</v>
      </c>
      <c r="P52" s="64">
        <f t="shared" si="14"/>
        <v>2.7048496295902567</v>
      </c>
      <c r="Q52" s="65">
        <f t="shared" si="23"/>
        <v>-63.943459757248881</v>
      </c>
      <c r="R52" s="64">
        <f t="shared" si="16"/>
        <v>83.258105466780322</v>
      </c>
      <c r="S52" s="59">
        <f t="shared" si="17"/>
        <v>6.7418945332196785</v>
      </c>
      <c r="T52" s="58">
        <f t="shared" si="24"/>
        <v>-73.849709797412771</v>
      </c>
      <c r="U52" s="69"/>
      <c r="V52" s="53"/>
      <c r="X52" s="50"/>
      <c r="Y52" s="50"/>
      <c r="Z52" s="50"/>
      <c r="AA52" s="50"/>
      <c r="AB52" s="50"/>
    </row>
    <row r="53" spans="1:29" x14ac:dyDescent="0.2">
      <c r="A53" s="67">
        <v>-77</v>
      </c>
      <c r="B53" s="66">
        <f t="shared" si="0"/>
        <v>-1.3439035240356338</v>
      </c>
      <c r="C53" s="64">
        <f t="shared" si="1"/>
        <v>70.900342962593655</v>
      </c>
      <c r="D53" s="64">
        <f t="shared" si="2"/>
        <v>19.099657037406345</v>
      </c>
      <c r="E53" s="65">
        <f t="shared" si="19"/>
        <v>-108.92050219077829</v>
      </c>
      <c r="F53" s="64">
        <f t="shared" si="4"/>
        <v>74.014372516719192</v>
      </c>
      <c r="G53" s="64">
        <f t="shared" si="5"/>
        <v>15.985627483280808</v>
      </c>
      <c r="H53" s="65">
        <f t="shared" si="20"/>
        <v>-97.061404883674484</v>
      </c>
      <c r="I53" s="64">
        <f t="shared" si="7"/>
        <v>77.755287665335814</v>
      </c>
      <c r="J53" s="64">
        <f t="shared" si="8"/>
        <v>12.244712334664186</v>
      </c>
      <c r="K53" s="65">
        <f t="shared" si="21"/>
        <v>-85.599679889646765</v>
      </c>
      <c r="L53" s="64">
        <f t="shared" si="10"/>
        <v>81.956318986922511</v>
      </c>
      <c r="M53" s="64">
        <f t="shared" si="11"/>
        <v>8.0436810130774887</v>
      </c>
      <c r="N53" s="65">
        <f t="shared" si="22"/>
        <v>-74.476013765936358</v>
      </c>
      <c r="O53" s="64">
        <f t="shared" si="13"/>
        <v>86.449449578499767</v>
      </c>
      <c r="P53" s="64">
        <f t="shared" si="14"/>
        <v>3.5505504215002333</v>
      </c>
      <c r="Q53" s="65">
        <f t="shared" si="23"/>
        <v>-63.587364994089221</v>
      </c>
      <c r="R53" s="64">
        <f t="shared" si="16"/>
        <v>82.353340897260182</v>
      </c>
      <c r="S53" s="59">
        <f t="shared" si="17"/>
        <v>7.6466591027398181</v>
      </c>
      <c r="T53" s="58">
        <f t="shared" si="24"/>
        <v>-73.482919108986394</v>
      </c>
      <c r="U53" s="69"/>
      <c r="V53" s="53"/>
      <c r="AB53" s="50"/>
    </row>
    <row r="54" spans="1:29" x14ac:dyDescent="0.2">
      <c r="A54" s="67">
        <v>-76</v>
      </c>
      <c r="B54" s="66">
        <f t="shared" si="0"/>
        <v>-1.3264502315156905</v>
      </c>
      <c r="C54" s="64">
        <f t="shared" si="1"/>
        <v>70.007866892915231</v>
      </c>
      <c r="D54" s="64">
        <f t="shared" si="2"/>
        <v>19.992133107084769</v>
      </c>
      <c r="E54" s="65">
        <f t="shared" si="19"/>
        <v>-108.69509525707653</v>
      </c>
      <c r="F54" s="64">
        <f t="shared" si="4"/>
        <v>73.078408592602472</v>
      </c>
      <c r="G54" s="64">
        <f t="shared" si="5"/>
        <v>16.921591407397528</v>
      </c>
      <c r="H54" s="65">
        <f t="shared" si="20"/>
        <v>-96.761591766020132</v>
      </c>
      <c r="I54" s="64">
        <f t="shared" si="7"/>
        <v>76.815477336094844</v>
      </c>
      <c r="J54" s="64">
        <f t="shared" si="8"/>
        <v>13.184522663905156</v>
      </c>
      <c r="K54" s="65">
        <f t="shared" si="21"/>
        <v>-85.249389199780879</v>
      </c>
      <c r="L54" s="64">
        <f t="shared" si="10"/>
        <v>81.048720678026797</v>
      </c>
      <c r="M54" s="64">
        <f t="shared" si="11"/>
        <v>8.9512793219732032</v>
      </c>
      <c r="N54" s="65">
        <f t="shared" si="22"/>
        <v>-74.104551756038092</v>
      </c>
      <c r="O54" s="64">
        <f t="shared" si="13"/>
        <v>85.606379301575217</v>
      </c>
      <c r="P54" s="64">
        <f t="shared" si="14"/>
        <v>4.3936206984247832</v>
      </c>
      <c r="Q54" s="65">
        <f t="shared" si="23"/>
        <v>-63.224736540785472</v>
      </c>
      <c r="R54" s="64">
        <f t="shared" si="16"/>
        <v>81.450304208242997</v>
      </c>
      <c r="S54" s="59">
        <f t="shared" si="17"/>
        <v>8.5496957917570029</v>
      </c>
      <c r="T54" s="58">
        <f t="shared" si="24"/>
        <v>-73.111040759629461</v>
      </c>
      <c r="U54" s="69"/>
      <c r="V54" s="53"/>
      <c r="AC54" s="50"/>
    </row>
    <row r="55" spans="1:29" s="54" customFormat="1" x14ac:dyDescent="0.2">
      <c r="A55" s="63">
        <v>-75</v>
      </c>
      <c r="B55" s="62">
        <f t="shared" si="0"/>
        <v>-1.3089969389957472</v>
      </c>
      <c r="C55" s="60">
        <f t="shared" si="1"/>
        <v>69.114212611652633</v>
      </c>
      <c r="D55" s="60">
        <f t="shared" si="2"/>
        <v>20.885787388347367</v>
      </c>
      <c r="E55" s="61">
        <f t="shared" si="19"/>
        <v>-108.47375593683776</v>
      </c>
      <c r="F55" s="60">
        <f t="shared" si="4"/>
        <v>72.141864299203164</v>
      </c>
      <c r="G55" s="60">
        <f t="shared" si="5"/>
        <v>17.858135700796836</v>
      </c>
      <c r="H55" s="61">
        <f t="shared" si="20"/>
        <v>-96.462271152822481</v>
      </c>
      <c r="I55" s="60">
        <f t="shared" si="7"/>
        <v>75.876146267216598</v>
      </c>
      <c r="J55" s="60">
        <f t="shared" si="8"/>
        <v>14.123853732783402</v>
      </c>
      <c r="K55" s="61">
        <f t="shared" si="21"/>
        <v>-84.896396562503341</v>
      </c>
      <c r="L55" s="60">
        <f t="shared" si="10"/>
        <v>80.14280806188637</v>
      </c>
      <c r="M55" s="60">
        <f t="shared" si="11"/>
        <v>9.8571919381136297</v>
      </c>
      <c r="N55" s="61">
        <f t="shared" si="22"/>
        <v>-73.727968910909283</v>
      </c>
      <c r="O55" s="60">
        <f t="shared" si="13"/>
        <v>84.766022020464817</v>
      </c>
      <c r="P55" s="60">
        <f t="shared" si="14"/>
        <v>5.2339779795351831</v>
      </c>
      <c r="Q55" s="61">
        <f t="shared" si="23"/>
        <v>-62.855418038834927</v>
      </c>
      <c r="R55" s="60">
        <f t="shared" si="16"/>
        <v>80.549058006368952</v>
      </c>
      <c r="S55" s="59">
        <f t="shared" si="17"/>
        <v>9.4509419936310479</v>
      </c>
      <c r="T55" s="58">
        <f t="shared" si="24"/>
        <v>-72.733865137556435</v>
      </c>
      <c r="U55" s="70"/>
      <c r="V55" s="56">
        <f>E55</f>
        <v>-108.47375593683776</v>
      </c>
      <c r="W55" s="55"/>
      <c r="X55" s="55"/>
      <c r="Y55" s="55"/>
      <c r="Z55" s="55">
        <f>D55</f>
        <v>20.885787388347367</v>
      </c>
      <c r="AA55" s="55"/>
      <c r="AC55" s="55"/>
    </row>
    <row r="56" spans="1:29" x14ac:dyDescent="0.2">
      <c r="A56" s="67">
        <v>-74</v>
      </c>
      <c r="B56" s="66">
        <f t="shared" si="0"/>
        <v>-1.2915436464758039</v>
      </c>
      <c r="C56" s="64">
        <f t="shared" si="1"/>
        <v>68.219414703552772</v>
      </c>
      <c r="D56" s="64">
        <f t="shared" si="2"/>
        <v>21.780585296447228</v>
      </c>
      <c r="E56" s="65">
        <f t="shared" si="19"/>
        <v>-108.25645244805381</v>
      </c>
      <c r="F56" s="64">
        <f t="shared" si="4"/>
        <v>71.204765989860576</v>
      </c>
      <c r="G56" s="64">
        <f t="shared" si="5"/>
        <v>18.795234010139424</v>
      </c>
      <c r="H56" s="65">
        <f t="shared" si="20"/>
        <v>-96.163289698705583</v>
      </c>
      <c r="I56" s="64">
        <f t="shared" si="7"/>
        <v>74.937334096891632</v>
      </c>
      <c r="J56" s="64">
        <f t="shared" si="8"/>
        <v>15.062665903108368</v>
      </c>
      <c r="K56" s="65">
        <f t="shared" si="21"/>
        <v>-84.54048006204934</v>
      </c>
      <c r="L56" s="64">
        <f t="shared" si="10"/>
        <v>79.238644126323933</v>
      </c>
      <c r="M56" s="64">
        <f t="shared" si="11"/>
        <v>10.761355873676067</v>
      </c>
      <c r="N56" s="65">
        <f t="shared" si="22"/>
        <v>-73.346045726792212</v>
      </c>
      <c r="O56" s="64">
        <f t="shared" si="13"/>
        <v>83.9284631682536</v>
      </c>
      <c r="P56" s="64">
        <f t="shared" si="14"/>
        <v>6.0715368317463998</v>
      </c>
      <c r="Q56" s="65">
        <f t="shared" si="23"/>
        <v>-62.479247686769391</v>
      </c>
      <c r="R56" s="64">
        <f t="shared" si="16"/>
        <v>79.649667475599742</v>
      </c>
      <c r="S56" s="59">
        <f t="shared" si="17"/>
        <v>10.350332524400258</v>
      </c>
      <c r="T56" s="58">
        <f t="shared" si="24"/>
        <v>-72.351176092699276</v>
      </c>
      <c r="U56" s="69"/>
      <c r="V56" s="53">
        <f>H55</f>
        <v>-96.462271152822481</v>
      </c>
      <c r="Z56" s="50">
        <f>G55</f>
        <v>17.858135700796836</v>
      </c>
      <c r="AC56" s="50"/>
    </row>
    <row r="57" spans="1:29" x14ac:dyDescent="0.2">
      <c r="A57" s="67">
        <v>-73</v>
      </c>
      <c r="B57" s="66">
        <f t="shared" si="0"/>
        <v>-1.2740903539558606</v>
      </c>
      <c r="C57" s="64">
        <f t="shared" si="1"/>
        <v>67.32350689242665</v>
      </c>
      <c r="D57" s="64">
        <f t="shared" si="2"/>
        <v>22.67649310757335</v>
      </c>
      <c r="E57" s="65">
        <f t="shared" si="19"/>
        <v>-108.04315744734411</v>
      </c>
      <c r="F57" s="64">
        <f t="shared" si="4"/>
        <v>70.267139660237959</v>
      </c>
      <c r="G57" s="64">
        <f t="shared" si="5"/>
        <v>19.732860339762041</v>
      </c>
      <c r="H57" s="65">
        <f t="shared" si="20"/>
        <v>-95.864491810480217</v>
      </c>
      <c r="I57" s="64">
        <f t="shared" si="7"/>
        <v>73.999081662856653</v>
      </c>
      <c r="J57" s="64">
        <f t="shared" si="8"/>
        <v>16.000918337143347</v>
      </c>
      <c r="K57" s="65">
        <f t="shared" si="21"/>
        <v>-84.181411399730251</v>
      </c>
      <c r="L57" s="64">
        <f t="shared" si="10"/>
        <v>78.336294486345921</v>
      </c>
      <c r="M57" s="64">
        <f t="shared" si="11"/>
        <v>11.663705513654079</v>
      </c>
      <c r="N57" s="65">
        <f t="shared" si="22"/>
        <v>-72.958555725682729</v>
      </c>
      <c r="O57" s="64">
        <f t="shared" si="13"/>
        <v>83.093791253659134</v>
      </c>
      <c r="P57" s="64">
        <f t="shared" si="14"/>
        <v>6.9062087463408659</v>
      </c>
      <c r="Q57" s="65">
        <f t="shared" si="23"/>
        <v>-62.096058131873676</v>
      </c>
      <c r="R57" s="64">
        <f t="shared" si="16"/>
        <v>78.752200514839188</v>
      </c>
      <c r="S57" s="59">
        <f t="shared" si="17"/>
        <v>11.247799485160812</v>
      </c>
      <c r="T57" s="58">
        <f t="shared" si="24"/>
        <v>-71.962750576505599</v>
      </c>
      <c r="U57" s="69"/>
      <c r="V57" s="53">
        <f>K55</f>
        <v>-84.896396562503341</v>
      </c>
      <c r="Z57" s="50">
        <f>J55</f>
        <v>14.123853732783402</v>
      </c>
      <c r="AC57" s="50"/>
    </row>
    <row r="58" spans="1:29" x14ac:dyDescent="0.2">
      <c r="A58" s="67">
        <v>-72</v>
      </c>
      <c r="B58" s="66">
        <f t="shared" si="0"/>
        <v>-1.2566370614359172</v>
      </c>
      <c r="C58" s="64">
        <f t="shared" si="1"/>
        <v>66.426522082145809</v>
      </c>
      <c r="D58" s="64">
        <f t="shared" si="2"/>
        <v>23.573477917854191</v>
      </c>
      <c r="E58" s="65">
        <f t="shared" si="19"/>
        <v>-107.83384813262721</v>
      </c>
      <c r="F58" s="64">
        <f t="shared" si="4"/>
        <v>69.329010996350888</v>
      </c>
      <c r="G58" s="64">
        <f t="shared" si="5"/>
        <v>20.670989003649112</v>
      </c>
      <c r="H58" s="65">
        <f t="shared" si="20"/>
        <v>-95.565719263258273</v>
      </c>
      <c r="I58" s="64">
        <f t="shared" si="7"/>
        <v>73.061431110966751</v>
      </c>
      <c r="J58" s="64">
        <f t="shared" si="8"/>
        <v>16.938568889033249</v>
      </c>
      <c r="K58" s="65">
        <f t="shared" si="21"/>
        <v>-83.818955328649267</v>
      </c>
      <c r="L58" s="64">
        <f t="shared" si="10"/>
        <v>77.435827528948948</v>
      </c>
      <c r="M58" s="64">
        <f t="shared" si="11"/>
        <v>12.564172471051052</v>
      </c>
      <c r="N58" s="65">
        <f t="shared" si="22"/>
        <v>-72.5652650578796</v>
      </c>
      <c r="O58" s="64">
        <f t="shared" si="13"/>
        <v>82.262097989353975</v>
      </c>
      <c r="P58" s="64">
        <f t="shared" si="14"/>
        <v>7.7379020106460246</v>
      </c>
      <c r="Q58" s="65">
        <f t="shared" si="23"/>
        <v>-61.705676361352737</v>
      </c>
      <c r="R58" s="64">
        <f t="shared" si="16"/>
        <v>77.856727883282289</v>
      </c>
      <c r="S58" s="59">
        <f t="shared" si="17"/>
        <v>12.143272116717711</v>
      </c>
      <c r="T58" s="58">
        <f t="shared" si="24"/>
        <v>-71.568358269471119</v>
      </c>
      <c r="U58" s="69"/>
      <c r="V58" s="53">
        <f>N55</f>
        <v>-73.727968910909283</v>
      </c>
      <c r="X58" s="50"/>
      <c r="Y58" s="50"/>
      <c r="Z58" s="50">
        <f>M55</f>
        <v>9.8571919381136297</v>
      </c>
      <c r="AA58" s="50"/>
      <c r="AC58" s="50"/>
    </row>
    <row r="59" spans="1:29" x14ac:dyDescent="0.2">
      <c r="A59" s="67">
        <v>-71</v>
      </c>
      <c r="B59" s="66">
        <f t="shared" si="0"/>
        <v>-1.2391837689159739</v>
      </c>
      <c r="C59" s="64">
        <f t="shared" si="1"/>
        <v>65.528492396733824</v>
      </c>
      <c r="D59" s="64">
        <f t="shared" si="2"/>
        <v>24.471507603266176</v>
      </c>
      <c r="E59" s="65">
        <f t="shared" si="19"/>
        <v>-107.62850636200226</v>
      </c>
      <c r="F59" s="64">
        <f t="shared" si="4"/>
        <v>68.390405423022045</v>
      </c>
      <c r="G59" s="64">
        <f t="shared" si="5"/>
        <v>21.609594576977955</v>
      </c>
      <c r="H59" s="65">
        <f t="shared" si="20"/>
        <v>-95.26681079573153</v>
      </c>
      <c r="I59" s="64">
        <f t="shared" si="7"/>
        <v>72.124426010030646</v>
      </c>
      <c r="J59" s="64">
        <f t="shared" si="8"/>
        <v>17.875573989969354</v>
      </c>
      <c r="K59" s="65">
        <f t="shared" si="21"/>
        <v>-83.452869058290133</v>
      </c>
      <c r="L59" s="64">
        <f t="shared" si="10"/>
        <v>76.537314566257194</v>
      </c>
      <c r="M59" s="64">
        <f t="shared" si="11"/>
        <v>13.462685433742806</v>
      </c>
      <c r="N59" s="65">
        <f t="shared" si="22"/>
        <v>-72.165932090043938</v>
      </c>
      <c r="O59" s="64">
        <f t="shared" si="13"/>
        <v>81.433478425384124</v>
      </c>
      <c r="P59" s="64">
        <f t="shared" si="14"/>
        <v>8.5665215746158765</v>
      </c>
      <c r="Q59" s="65">
        <f t="shared" si="23"/>
        <v>-61.307923593664206</v>
      </c>
      <c r="R59" s="64">
        <f t="shared" si="16"/>
        <v>76.963323353981238</v>
      </c>
      <c r="S59" s="59">
        <f t="shared" si="17"/>
        <v>13.036676646018762</v>
      </c>
      <c r="T59" s="58">
        <f t="shared" si="24"/>
        <v>-71.167761195864486</v>
      </c>
      <c r="U59" s="69"/>
      <c r="V59" s="53">
        <f>Q55</f>
        <v>-62.855418038834927</v>
      </c>
      <c r="Z59" s="50">
        <f>P55</f>
        <v>5.2339779795351831</v>
      </c>
    </row>
    <row r="60" spans="1:29" x14ac:dyDescent="0.2">
      <c r="A60" s="67">
        <v>-70</v>
      </c>
      <c r="B60" s="66">
        <f t="shared" si="0"/>
        <v>-1.2217304763960306</v>
      </c>
      <c r="C60" s="64">
        <f t="shared" si="1"/>
        <v>64.629449219663798</v>
      </c>
      <c r="D60" s="64">
        <f t="shared" si="2"/>
        <v>25.370550780336202</v>
      </c>
      <c r="E60" s="65">
        <f t="shared" si="19"/>
        <v>-107.42711879017808</v>
      </c>
      <c r="F60" s="64">
        <f t="shared" si="4"/>
        <v>67.451348152996758</v>
      </c>
      <c r="G60" s="64">
        <f t="shared" si="5"/>
        <v>22.548651847003242</v>
      </c>
      <c r="H60" s="65">
        <f t="shared" si="20"/>
        <v>-94.967601682066871</v>
      </c>
      <c r="I60" s="64">
        <f t="shared" si="7"/>
        <v>71.188111473547792</v>
      </c>
      <c r="J60" s="64">
        <f t="shared" si="8"/>
        <v>18.811888526452208</v>
      </c>
      <c r="K60" s="65">
        <f t="shared" si="21"/>
        <v>-83.082901626069898</v>
      </c>
      <c r="L60" s="64">
        <f t="shared" si="10"/>
        <v>75.640829997539129</v>
      </c>
      <c r="M60" s="64">
        <f t="shared" si="11"/>
        <v>14.359170002460871</v>
      </c>
      <c r="N60" s="65">
        <f t="shared" si="22"/>
        <v>-71.760306978070474</v>
      </c>
      <c r="O60" s="64">
        <f t="shared" si="13"/>
        <v>80.608031087825466</v>
      </c>
      <c r="P60" s="64">
        <f t="shared" si="14"/>
        <v>9.3919689121745336</v>
      </c>
      <c r="Q60" s="65">
        <f t="shared" si="23"/>
        <v>-60.902615170812922</v>
      </c>
      <c r="R60" s="64">
        <f t="shared" si="16"/>
        <v>76.072063876144242</v>
      </c>
      <c r="S60" s="59">
        <f t="shared" si="17"/>
        <v>13.927936123855758</v>
      </c>
      <c r="T60" s="58">
        <f t="shared" si="24"/>
        <v>-70.760713325142802</v>
      </c>
      <c r="U60" s="69"/>
      <c r="W60" s="74"/>
      <c r="X60" s="74"/>
      <c r="Y60" s="74"/>
      <c r="Z60" s="74"/>
      <c r="AA60" s="74"/>
      <c r="AB60" s="74"/>
      <c r="AC60" s="74"/>
    </row>
    <row r="61" spans="1:29" x14ac:dyDescent="0.2">
      <c r="A61" s="67">
        <v>-69</v>
      </c>
      <c r="B61" s="66">
        <f t="shared" si="0"/>
        <v>-1.2042771838760873</v>
      </c>
      <c r="C61" s="64">
        <f t="shared" si="1"/>
        <v>63.729423232474481</v>
      </c>
      <c r="D61" s="64">
        <f t="shared" si="2"/>
        <v>26.270576767525519</v>
      </c>
      <c r="E61" s="65">
        <f t="shared" si="19"/>
        <v>-107.22967702394814</v>
      </c>
      <c r="F61" s="64">
        <f t="shared" si="4"/>
        <v>66.511864236968393</v>
      </c>
      <c r="G61" s="64">
        <f t="shared" si="5"/>
        <v>23.488135763031607</v>
      </c>
      <c r="H61" s="65">
        <f t="shared" si="20"/>
        <v>-94.667923277615458</v>
      </c>
      <c r="I61" s="64">
        <f t="shared" si="7"/>
        <v>70.25253428904</v>
      </c>
      <c r="J61" s="64">
        <f t="shared" si="8"/>
        <v>19.74746571096</v>
      </c>
      <c r="K61" s="65">
        <f t="shared" si="21"/>
        <v>-82.708793232731239</v>
      </c>
      <c r="L61" s="64">
        <f t="shared" si="10"/>
        <v>74.746451480684556</v>
      </c>
      <c r="M61" s="64">
        <f t="shared" si="11"/>
        <v>15.253548519315444</v>
      </c>
      <c r="N61" s="65">
        <f t="shared" si="22"/>
        <v>-71.348131224106353</v>
      </c>
      <c r="O61" s="64">
        <f t="shared" si="13"/>
        <v>79.785858122814332</v>
      </c>
      <c r="P61" s="64">
        <f t="shared" si="14"/>
        <v>10.214141877185668</v>
      </c>
      <c r="Q61" s="65">
        <f t="shared" si="23"/>
        <v>-60.489560452497734</v>
      </c>
      <c r="R61" s="64">
        <f t="shared" si="16"/>
        <v>75.183029746712052</v>
      </c>
      <c r="S61" s="59">
        <f t="shared" si="17"/>
        <v>14.816970253287948</v>
      </c>
      <c r="T61" s="58">
        <f t="shared" si="24"/>
        <v>-70.34696015960364</v>
      </c>
      <c r="U61" s="69"/>
      <c r="V61" s="53"/>
      <c r="Y61" s="50"/>
      <c r="AA61" s="50"/>
      <c r="AC61" s="50"/>
    </row>
    <row r="62" spans="1:29" x14ac:dyDescent="0.2">
      <c r="A62" s="67">
        <v>-68</v>
      </c>
      <c r="B62" s="66">
        <f t="shared" si="0"/>
        <v>-1.1868238913561442</v>
      </c>
      <c r="C62" s="64">
        <f t="shared" si="1"/>
        <v>62.828444452822659</v>
      </c>
      <c r="D62" s="64">
        <f t="shared" si="2"/>
        <v>27.171555547177341</v>
      </c>
      <c r="E62" s="65">
        <f t="shared" si="19"/>
        <v>-107.03617779839117</v>
      </c>
      <c r="F62" s="64">
        <f t="shared" si="4"/>
        <v>65.571978614780321</v>
      </c>
      <c r="G62" s="64">
        <f t="shared" si="5"/>
        <v>24.428021385219679</v>
      </c>
      <c r="H62" s="65">
        <f t="shared" si="20"/>
        <v>-94.367602535344659</v>
      </c>
      <c r="I62" s="64">
        <f t="shared" si="7"/>
        <v>69.317743055731157</v>
      </c>
      <c r="J62" s="64">
        <f t="shared" si="8"/>
        <v>20.682256944268843</v>
      </c>
      <c r="K62" s="65">
        <f t="shared" si="21"/>
        <v>-82.330274538214752</v>
      </c>
      <c r="L62" s="64">
        <f t="shared" si="10"/>
        <v>73.854260113757718</v>
      </c>
      <c r="M62" s="64">
        <f t="shared" si="11"/>
        <v>16.145739886242282</v>
      </c>
      <c r="N62" s="65">
        <f t="shared" si="22"/>
        <v>-70.929137217096155</v>
      </c>
      <c r="O62" s="64">
        <f t="shared" si="13"/>
        <v>78.967065446076717</v>
      </c>
      <c r="P62" s="64">
        <f t="shared" si="14"/>
        <v>11.032934553923283</v>
      </c>
      <c r="Q62" s="65">
        <f t="shared" si="23"/>
        <v>-60.068562713101038</v>
      </c>
      <c r="R62" s="64">
        <f t="shared" si="16"/>
        <v>74.29630479178681</v>
      </c>
      <c r="S62" s="59">
        <f t="shared" si="17"/>
        <v>15.70369520821319</v>
      </c>
      <c r="T62" s="58">
        <f t="shared" si="24"/>
        <v>-69.926238307879188</v>
      </c>
      <c r="U62" s="69"/>
      <c r="V62" s="53"/>
      <c r="X62" s="50"/>
      <c r="Y62" s="50"/>
      <c r="Z62" s="50"/>
      <c r="AA62" s="50"/>
      <c r="AB62" s="50"/>
      <c r="AC62" s="50"/>
    </row>
    <row r="63" spans="1:29" x14ac:dyDescent="0.2">
      <c r="A63" s="67">
        <v>-67</v>
      </c>
      <c r="B63" s="66">
        <f t="shared" si="0"/>
        <v>-1.1693705988362009</v>
      </c>
      <c r="C63" s="64">
        <f t="shared" si="1"/>
        <v>61.926542272093585</v>
      </c>
      <c r="D63" s="64">
        <f t="shared" si="2"/>
        <v>28.073457727906415</v>
      </c>
      <c r="E63" s="65">
        <f t="shared" si="19"/>
        <v>-106.84662317568313</v>
      </c>
      <c r="F63" s="64">
        <f t="shared" si="4"/>
        <v>64.631716168090875</v>
      </c>
      <c r="G63" s="64">
        <f t="shared" si="5"/>
        <v>25.368283831909125</v>
      </c>
      <c r="H63" s="65">
        <f t="shared" si="20"/>
        <v>-94.066461489573555</v>
      </c>
      <c r="I63" s="64">
        <f t="shared" si="7"/>
        <v>68.383788331395166</v>
      </c>
      <c r="J63" s="64">
        <f t="shared" si="8"/>
        <v>21.616211668604834</v>
      </c>
      <c r="K63" s="65">
        <f t="shared" si="21"/>
        <v>-81.947065914391445</v>
      </c>
      <c r="L63" s="64">
        <f t="shared" si="10"/>
        <v>72.964340627277963</v>
      </c>
      <c r="M63" s="64">
        <f t="shared" si="11"/>
        <v>17.035659372722037</v>
      </c>
      <c r="N63" s="65">
        <f t="shared" si="22"/>
        <v>-70.503047756286392</v>
      </c>
      <c r="O63" s="64">
        <f t="shared" si="13"/>
        <v>78.151762898069506</v>
      </c>
      <c r="P63" s="64">
        <f t="shared" si="14"/>
        <v>11.848237101930494</v>
      </c>
      <c r="Q63" s="65">
        <f t="shared" si="23"/>
        <v>-59.639419042625917</v>
      </c>
      <c r="R63" s="64">
        <f t="shared" si="16"/>
        <v>73.411976558518859</v>
      </c>
      <c r="S63" s="59">
        <f t="shared" si="17"/>
        <v>16.588023441481141</v>
      </c>
      <c r="T63" s="58">
        <f t="shared" si="24"/>
        <v>-69.498275043949917</v>
      </c>
      <c r="U63" s="69"/>
      <c r="V63" s="53"/>
      <c r="X63" s="50"/>
      <c r="Y63" s="50"/>
      <c r="Z63" s="50"/>
      <c r="AA63" s="50"/>
      <c r="AB63" s="50"/>
      <c r="AC63" s="50"/>
    </row>
    <row r="64" spans="1:29" x14ac:dyDescent="0.2">
      <c r="A64" s="67">
        <v>-66</v>
      </c>
      <c r="B64" s="66">
        <f t="shared" si="0"/>
        <v>-1.1519173063162575</v>
      </c>
      <c r="C64" s="64">
        <f t="shared" si="1"/>
        <v>61.023745492697074</v>
      </c>
      <c r="D64" s="64">
        <f t="shared" si="2"/>
        <v>28.976254507302926</v>
      </c>
      <c r="E64" s="65">
        <f t="shared" si="19"/>
        <v>-106.66102076864009</v>
      </c>
      <c r="F64" s="64">
        <f t="shared" si="4"/>
        <v>63.691101774812644</v>
      </c>
      <c r="G64" s="64">
        <f t="shared" si="5"/>
        <v>26.308898225187356</v>
      </c>
      <c r="H64" s="65">
        <f t="shared" si="20"/>
        <v>-93.76431670322232</v>
      </c>
      <c r="I64" s="64">
        <f t="shared" si="7"/>
        <v>67.450722789267743</v>
      </c>
      <c r="J64" s="64">
        <f t="shared" si="8"/>
        <v>22.549277210732257</v>
      </c>
      <c r="K64" s="65">
        <f t="shared" si="21"/>
        <v>-81.558876650753064</v>
      </c>
      <c r="L64" s="64">
        <f t="shared" si="10"/>
        <v>72.076781587916841</v>
      </c>
      <c r="M64" s="64">
        <f t="shared" si="11"/>
        <v>17.923218412083159</v>
      </c>
      <c r="N64" s="65">
        <f t="shared" si="22"/>
        <v>-70.069575557191612</v>
      </c>
      <c r="O64" s="64">
        <f t="shared" si="13"/>
        <v>77.340064404830756</v>
      </c>
      <c r="P64" s="64">
        <f t="shared" si="14"/>
        <v>12.659935595169244</v>
      </c>
      <c r="Q64" s="65">
        <f t="shared" si="23"/>
        <v>-59.201920252810517</v>
      </c>
      <c r="R64" s="64">
        <f t="shared" si="16"/>
        <v>72.530136518088611</v>
      </c>
      <c r="S64" s="59">
        <f t="shared" si="17"/>
        <v>17.469863481911389</v>
      </c>
      <c r="T64" s="58">
        <f t="shared" si="24"/>
        <v>-69.062787851441684</v>
      </c>
      <c r="U64" s="69"/>
      <c r="V64" s="53"/>
      <c r="X64" s="50"/>
      <c r="Y64" s="50"/>
      <c r="Z64" s="50"/>
      <c r="AA64" s="50"/>
      <c r="AB64" s="50"/>
      <c r="AC64" s="50"/>
    </row>
    <row r="65" spans="1:29" x14ac:dyDescent="0.2">
      <c r="A65" s="67">
        <v>-65</v>
      </c>
      <c r="B65" s="66">
        <f t="shared" si="0"/>
        <v>-1.1344640137963142</v>
      </c>
      <c r="C65" s="64">
        <f t="shared" si="1"/>
        <v>60.120082365184231</v>
      </c>
      <c r="D65" s="64">
        <f t="shared" si="2"/>
        <v>29.879917634815769</v>
      </c>
      <c r="E65" s="65">
        <f t="shared" si="19"/>
        <v>-106.47938399137617</v>
      </c>
      <c r="F65" s="64">
        <f t="shared" si="4"/>
        <v>62.750160365663447</v>
      </c>
      <c r="G65" s="64">
        <f t="shared" si="5"/>
        <v>27.249839634336553</v>
      </c>
      <c r="H65" s="65">
        <f t="shared" si="20"/>
        <v>-93.460978674363247</v>
      </c>
      <c r="I65" s="64">
        <f t="shared" si="7"/>
        <v>66.518601385999759</v>
      </c>
      <c r="J65" s="64">
        <f t="shared" si="8"/>
        <v>23.481398614000241</v>
      </c>
      <c r="K65" s="65">
        <f t="shared" si="21"/>
        <v>-81.165404108847198</v>
      </c>
      <c r="L65" s="64">
        <f t="shared" si="10"/>
        <v>71.191675614339061</v>
      </c>
      <c r="M65" s="64">
        <f t="shared" si="11"/>
        <v>18.808324385660939</v>
      </c>
      <c r="N65" s="65">
        <f t="shared" si="22"/>
        <v>-69.628422739608979</v>
      </c>
      <c r="O65" s="64">
        <f t="shared" si="13"/>
        <v>76.532088144618214</v>
      </c>
      <c r="P65" s="64">
        <f t="shared" si="14"/>
        <v>13.467911855381786</v>
      </c>
      <c r="Q65" s="65">
        <f t="shared" si="23"/>
        <v>-58.755850789786905</v>
      </c>
      <c r="R65" s="64">
        <f t="shared" si="16"/>
        <v>71.650880280452569</v>
      </c>
      <c r="S65" s="59">
        <f t="shared" si="17"/>
        <v>18.349119719547431</v>
      </c>
      <c r="T65" s="58">
        <f t="shared" si="24"/>
        <v>-68.619483953076056</v>
      </c>
      <c r="U65" s="69"/>
      <c r="V65" s="53"/>
      <c r="X65" s="50"/>
      <c r="Y65" s="50"/>
      <c r="Z65" s="50"/>
      <c r="AA65" s="50"/>
      <c r="AB65" s="50"/>
      <c r="AC65" s="50"/>
    </row>
    <row r="66" spans="1:29" x14ac:dyDescent="0.2">
      <c r="A66" s="67">
        <v>-64</v>
      </c>
      <c r="B66" s="66">
        <f t="shared" si="0"/>
        <v>-1.1170107212763709</v>
      </c>
      <c r="C66" s="64">
        <f t="shared" si="1"/>
        <v>59.215580625328002</v>
      </c>
      <c r="D66" s="64">
        <f t="shared" si="2"/>
        <v>30.784419374671998</v>
      </c>
      <c r="E66" s="65">
        <f t="shared" si="19"/>
        <v>-106.30173233976426</v>
      </c>
      <c r="F66" s="64">
        <f t="shared" si="4"/>
        <v>61.808916983199509</v>
      </c>
      <c r="G66" s="64">
        <f t="shared" si="5"/>
        <v>28.191083016800491</v>
      </c>
      <c r="H66" s="65">
        <f t="shared" si="20"/>
        <v>-93.156251197382588</v>
      </c>
      <c r="I66" s="64">
        <f t="shared" si="7"/>
        <v>65.587481541723875</v>
      </c>
      <c r="J66" s="64">
        <f t="shared" si="8"/>
        <v>24.412518458276125</v>
      </c>
      <c r="K66" s="65">
        <f t="shared" si="21"/>
        <v>-80.766332820906456</v>
      </c>
      <c r="L66" s="64">
        <f t="shared" si="10"/>
        <v>70.309119605954962</v>
      </c>
      <c r="M66" s="64">
        <f t="shared" si="11"/>
        <v>19.690880394045038</v>
      </c>
      <c r="N66" s="65">
        <f t="shared" si="22"/>
        <v>-69.17928029737341</v>
      </c>
      <c r="O66" s="64">
        <f t="shared" si="13"/>
        <v>75.727956720392669</v>
      </c>
      <c r="P66" s="64">
        <f t="shared" si="14"/>
        <v>14.272043279607331</v>
      </c>
      <c r="Q66" s="65">
        <f t="shared" si="23"/>
        <v>-58.300988654804229</v>
      </c>
      <c r="R66" s="64">
        <f t="shared" si="16"/>
        <v>70.774307821555794</v>
      </c>
      <c r="S66" s="59">
        <f t="shared" si="17"/>
        <v>19.225692178444206</v>
      </c>
      <c r="T66" s="58">
        <f t="shared" si="24"/>
        <v>-68.168059825268273</v>
      </c>
      <c r="U66" s="69"/>
      <c r="V66" s="53"/>
      <c r="X66" s="50"/>
      <c r="Y66" s="50"/>
      <c r="Z66" s="50"/>
      <c r="AA66" s="50"/>
      <c r="AB66" s="50"/>
      <c r="AC66" s="50"/>
    </row>
    <row r="67" spans="1:29" x14ac:dyDescent="0.2">
      <c r="A67" s="67">
        <v>-63</v>
      </c>
      <c r="B67" s="66">
        <f t="shared" si="0"/>
        <v>-1.0995574287564276</v>
      </c>
      <c r="C67" s="64">
        <f t="shared" si="1"/>
        <v>58.310267531320513</v>
      </c>
      <c r="D67" s="64">
        <f t="shared" si="2"/>
        <v>31.689732468679487</v>
      </c>
      <c r="E67" s="65">
        <f t="shared" si="19"/>
        <v>-106.1280917047312</v>
      </c>
      <c r="F67" s="64">
        <f t="shared" si="4"/>
        <v>60.867396843737495</v>
      </c>
      <c r="G67" s="64">
        <f t="shared" si="5"/>
        <v>29.132603156262505</v>
      </c>
      <c r="H67" s="65">
        <f t="shared" si="20"/>
        <v>-92.84993067351661</v>
      </c>
      <c r="I67" s="64">
        <f t="shared" si="7"/>
        <v>64.657423333407763</v>
      </c>
      <c r="J67" s="64">
        <f t="shared" si="8"/>
        <v>25.342576666592237</v>
      </c>
      <c r="K67" s="65">
        <f t="shared" si="21"/>
        <v>-80.361333527752237</v>
      </c>
      <c r="L67" s="64">
        <f t="shared" si="10"/>
        <v>69.429214985392235</v>
      </c>
      <c r="M67" s="64">
        <f t="shared" si="11"/>
        <v>20.570785014607765</v>
      </c>
      <c r="N67" s="65">
        <f t="shared" si="22"/>
        <v>-68.721827549672611</v>
      </c>
      <c r="O67" s="64">
        <f t="shared" si="13"/>
        <v>74.927797338176248</v>
      </c>
      <c r="P67" s="64">
        <f t="shared" si="14"/>
        <v>15.072202661823752</v>
      </c>
      <c r="Q67" s="65">
        <f t="shared" si="23"/>
        <v>-57.837105334701697</v>
      </c>
      <c r="R67" s="64">
        <f t="shared" si="16"/>
        <v>69.900523723744783</v>
      </c>
      <c r="S67" s="59">
        <f t="shared" si="17"/>
        <v>20.099476276255217</v>
      </c>
      <c r="T67" s="58">
        <f t="shared" si="24"/>
        <v>-67.708200698017862</v>
      </c>
      <c r="U67" s="69"/>
      <c r="V67" s="53"/>
      <c r="X67" s="50"/>
      <c r="Y67" s="50"/>
      <c r="Z67" s="50"/>
      <c r="AA67" s="50"/>
      <c r="AB67" s="50"/>
      <c r="AC67" s="50"/>
    </row>
    <row r="68" spans="1:29" x14ac:dyDescent="0.2">
      <c r="A68" s="67">
        <v>-62</v>
      </c>
      <c r="B68" s="66">
        <f t="shared" si="0"/>
        <v>-1.0821041362364843</v>
      </c>
      <c r="C68" s="64">
        <f t="shared" si="1"/>
        <v>57.404169901253212</v>
      </c>
      <c r="D68" s="64">
        <f t="shared" si="2"/>
        <v>32.595830098746788</v>
      </c>
      <c r="E68" s="65">
        <f t="shared" si="19"/>
        <v>-105.95849472181352</v>
      </c>
      <c r="F68" s="64">
        <f t="shared" si="4"/>
        <v>59.925625402614585</v>
      </c>
      <c r="G68" s="64">
        <f t="shared" si="5"/>
        <v>30.074374597385415</v>
      </c>
      <c r="H68" s="64">
        <f t="shared" si="20"/>
        <v>-92.541805364903396</v>
      </c>
      <c r="I68" s="72">
        <f t="shared" si="7"/>
        <v>63.728489702782547</v>
      </c>
      <c r="J68" s="64">
        <f t="shared" si="8"/>
        <v>26.271510297217453</v>
      </c>
      <c r="K68" s="65">
        <f t="shared" si="21"/>
        <v>-79.950062150654446</v>
      </c>
      <c r="L68" s="64">
        <f t="shared" si="10"/>
        <v>68.552067955536444</v>
      </c>
      <c r="M68" s="64">
        <f t="shared" si="11"/>
        <v>21.447932044463556</v>
      </c>
      <c r="N68" s="65">
        <f t="shared" si="22"/>
        <v>-68.255731573897009</v>
      </c>
      <c r="O68" s="64">
        <f t="shared" si="13"/>
        <v>74.131741991285168</v>
      </c>
      <c r="P68" s="64">
        <f t="shared" si="14"/>
        <v>15.868258008714832</v>
      </c>
      <c r="Q68" s="65">
        <f t="shared" si="23"/>
        <v>-57.363965743998477</v>
      </c>
      <c r="R68" s="64">
        <f t="shared" si="16"/>
        <v>69.029637430147517</v>
      </c>
      <c r="S68" s="59">
        <f t="shared" si="17"/>
        <v>20.970362569852483</v>
      </c>
      <c r="T68" s="58">
        <f t="shared" si="24"/>
        <v>-67.239580040414552</v>
      </c>
      <c r="U68" s="68"/>
      <c r="V68" s="53"/>
      <c r="X68" s="50"/>
      <c r="Y68" s="50"/>
      <c r="Z68" s="50"/>
      <c r="AA68" s="50"/>
      <c r="AB68" s="50"/>
      <c r="AC68" s="50"/>
    </row>
    <row r="69" spans="1:29" x14ac:dyDescent="0.2">
      <c r="A69" s="67">
        <v>-61</v>
      </c>
      <c r="B69" s="66">
        <f t="shared" si="0"/>
        <v>-1.064650843716541</v>
      </c>
      <c r="C69" s="64">
        <f t="shared" si="1"/>
        <v>56.49731415105785</v>
      </c>
      <c r="D69" s="64">
        <f t="shared" si="2"/>
        <v>33.50268584894215</v>
      </c>
      <c r="E69" s="65">
        <f t="shared" si="19"/>
        <v>-105.79298116085117</v>
      </c>
      <c r="F69" s="64">
        <f t="shared" si="4"/>
        <v>58.983628423284976</v>
      </c>
      <c r="G69" s="64">
        <f t="shared" si="5"/>
        <v>31.016371576715024</v>
      </c>
      <c r="H69" s="64">
        <f t="shared" si="20"/>
        <v>-92.231654585583215</v>
      </c>
      <c r="I69" s="72">
        <f t="shared" si="7"/>
        <v>62.800746680262058</v>
      </c>
      <c r="J69" s="64">
        <f t="shared" si="8"/>
        <v>27.199253319737942</v>
      </c>
      <c r="K69" s="65">
        <f t="shared" si="21"/>
        <v>-79.532158691393562</v>
      </c>
      <c r="L69" s="64">
        <f t="shared" si="10"/>
        <v>67.67778977203038</v>
      </c>
      <c r="M69" s="64">
        <f t="shared" si="11"/>
        <v>22.32221022796962</v>
      </c>
      <c r="N69" s="65">
        <f t="shared" si="22"/>
        <v>-67.78064662018609</v>
      </c>
      <c r="O69" s="64">
        <f t="shared" si="13"/>
        <v>73.339927650399076</v>
      </c>
      <c r="P69" s="64">
        <f t="shared" si="14"/>
        <v>16.660072349600924</v>
      </c>
      <c r="Q69" s="65">
        <f t="shared" si="23"/>
        <v>-56.881328180665918</v>
      </c>
      <c r="R69" s="64">
        <f t="shared" si="16"/>
        <v>68.161763513818102</v>
      </c>
      <c r="S69" s="59">
        <f t="shared" si="17"/>
        <v>21.838236486181898</v>
      </c>
      <c r="T69" s="58">
        <f t="shared" si="24"/>
        <v>-66.761859032293188</v>
      </c>
      <c r="U69" s="66"/>
      <c r="V69" s="53"/>
      <c r="X69" s="50"/>
      <c r="Y69" s="50"/>
      <c r="Z69" s="50"/>
      <c r="AA69" s="50"/>
      <c r="AB69" s="50"/>
      <c r="AC69" s="50"/>
    </row>
    <row r="70" spans="1:29" s="54" customFormat="1" x14ac:dyDescent="0.2">
      <c r="A70" s="63">
        <v>-60</v>
      </c>
      <c r="B70" s="62">
        <f t="shared" si="0"/>
        <v>-1.0471975511965976</v>
      </c>
      <c r="C70" s="60">
        <f t="shared" si="1"/>
        <v>55.589726333104998</v>
      </c>
      <c r="D70" s="60">
        <f t="shared" si="2"/>
        <v>34.410273666895002</v>
      </c>
      <c r="E70" s="61">
        <f t="shared" si="19"/>
        <v>-105.63159836021411</v>
      </c>
      <c r="F70" s="60">
        <f t="shared" si="4"/>
        <v>58.041432050807444</v>
      </c>
      <c r="G70" s="60">
        <f t="shared" si="5"/>
        <v>31.958567949192556</v>
      </c>
      <c r="H70" s="60">
        <f t="shared" si="20"/>
        <v>-91.919247822068371</v>
      </c>
      <c r="I70" s="73">
        <f t="shared" si="7"/>
        <v>61.874263626410098</v>
      </c>
      <c r="J70" s="60">
        <f t="shared" si="8"/>
        <v>28.125736373589902</v>
      </c>
      <c r="K70" s="61">
        <f t="shared" si="21"/>
        <v>-79.107246054303175</v>
      </c>
      <c r="L70" s="60">
        <f t="shared" si="10"/>
        <v>66.806497032163904</v>
      </c>
      <c r="M70" s="60">
        <f t="shared" si="11"/>
        <v>23.193502967836096</v>
      </c>
      <c r="N70" s="61">
        <f t="shared" si="22"/>
        <v>-67.29621350805661</v>
      </c>
      <c r="O70" s="60">
        <f t="shared" si="13"/>
        <v>72.552496459388209</v>
      </c>
      <c r="P70" s="60">
        <f t="shared" si="14"/>
        <v>17.447503540611791</v>
      </c>
      <c r="Q70" s="61">
        <f t="shared" si="23"/>
        <v>-56.388944297861826</v>
      </c>
      <c r="R70" s="60">
        <f t="shared" si="16"/>
        <v>67.297021962473082</v>
      </c>
      <c r="S70" s="59">
        <f t="shared" si="17"/>
        <v>22.702978037526918</v>
      </c>
      <c r="T70" s="58">
        <f t="shared" si="24"/>
        <v>-66.274686022818855</v>
      </c>
      <c r="U70" s="62"/>
      <c r="V70" s="56">
        <f>E70</f>
        <v>-105.63159836021411</v>
      </c>
      <c r="W70" s="55"/>
      <c r="X70" s="55"/>
      <c r="Y70" s="55"/>
      <c r="Z70" s="55"/>
      <c r="AA70" s="55">
        <f>D70</f>
        <v>34.410273666895002</v>
      </c>
      <c r="AB70" s="55"/>
      <c r="AC70" s="55"/>
    </row>
    <row r="71" spans="1:29" x14ac:dyDescent="0.2">
      <c r="A71" s="67">
        <v>-59</v>
      </c>
      <c r="B71" s="66">
        <f t="shared" si="0"/>
        <v>-1.0297442586766545</v>
      </c>
      <c r="C71" s="64">
        <f t="shared" si="1"/>
        <v>54.681432175674068</v>
      </c>
      <c r="D71" s="64">
        <f t="shared" si="2"/>
        <v>35.318567824325932</v>
      </c>
      <c r="E71" s="65">
        <f t="shared" si="19"/>
        <v>-105.47440171055227</v>
      </c>
      <c r="F71" s="64">
        <f t="shared" si="4"/>
        <v>57.099062890344371</v>
      </c>
      <c r="G71" s="64">
        <f t="shared" si="5"/>
        <v>32.900937109655629</v>
      </c>
      <c r="H71" s="64">
        <f t="shared" si="20"/>
        <v>-91.604343775176076</v>
      </c>
      <c r="I71" s="72">
        <f t="shared" si="7"/>
        <v>60.949113492670712</v>
      </c>
      <c r="J71" s="64">
        <f t="shared" si="8"/>
        <v>29.050886507329288</v>
      </c>
      <c r="K71" s="65">
        <f t="shared" si="21"/>
        <v>-78.674928783565136</v>
      </c>
      <c r="L71" s="64">
        <f t="shared" si="10"/>
        <v>65.938311981125153</v>
      </c>
      <c r="M71" s="64">
        <f t="shared" si="11"/>
        <v>24.061688018874847</v>
      </c>
      <c r="N71" s="65">
        <f t="shared" si="22"/>
        <v>-66.802059005765742</v>
      </c>
      <c r="O71" s="64">
        <f t="shared" si="13"/>
        <v>71.769595936769321</v>
      </c>
      <c r="P71" s="64">
        <f t="shared" si="14"/>
        <v>18.230404063230679</v>
      </c>
      <c r="Q71" s="65">
        <f t="shared" si="23"/>
        <v>-55.886559094138846</v>
      </c>
      <c r="R71" s="64">
        <f t="shared" si="16"/>
        <v>66.435538479673582</v>
      </c>
      <c r="S71" s="59">
        <f t="shared" si="17"/>
        <v>23.564461520326418</v>
      </c>
      <c r="T71" s="58">
        <f t="shared" si="24"/>
        <v>-65.777695977075908</v>
      </c>
      <c r="U71" s="66"/>
      <c r="V71" s="53">
        <f>H70</f>
        <v>-91.919247822068371</v>
      </c>
      <c r="X71" s="50"/>
      <c r="Y71" s="50"/>
      <c r="Z71" s="50"/>
      <c r="AA71" s="50">
        <f>G70</f>
        <v>31.958567949192556</v>
      </c>
      <c r="AB71" s="50"/>
      <c r="AC71" s="50"/>
    </row>
    <row r="72" spans="1:29" x14ac:dyDescent="0.2">
      <c r="A72" s="67">
        <v>-58</v>
      </c>
      <c r="B72" s="66">
        <f t="shared" si="0"/>
        <v>-1.0122909661567112</v>
      </c>
      <c r="C72" s="64">
        <f t="shared" si="1"/>
        <v>53.772457123532952</v>
      </c>
      <c r="D72" s="64">
        <f t="shared" si="2"/>
        <v>36.227542876467048</v>
      </c>
      <c r="E72" s="65">
        <f t="shared" si="19"/>
        <v>-105.32145519374491</v>
      </c>
      <c r="F72" s="64">
        <f t="shared" si="4"/>
        <v>56.156548091367007</v>
      </c>
      <c r="G72" s="64">
        <f t="shared" si="5"/>
        <v>33.843451908632993</v>
      </c>
      <c r="H72" s="64">
        <f t="shared" si="20"/>
        <v>-91.286689313752618</v>
      </c>
      <c r="I72" s="72">
        <f t="shared" si="7"/>
        <v>60.025373103250999</v>
      </c>
      <c r="J72" s="64">
        <f t="shared" si="8"/>
        <v>29.974626896749001</v>
      </c>
      <c r="K72" s="65">
        <f t="shared" si="21"/>
        <v>-78.234791708485005</v>
      </c>
      <c r="L72" s="64">
        <f t="shared" si="10"/>
        <v>65.073362836621428</v>
      </c>
      <c r="M72" s="64">
        <f t="shared" si="11"/>
        <v>24.926637163378572</v>
      </c>
      <c r="N72" s="65">
        <f t="shared" si="22"/>
        <v>-66.297795193379045</v>
      </c>
      <c r="O72" s="64">
        <f t="shared" si="13"/>
        <v>70.991379182606252</v>
      </c>
      <c r="P72" s="64">
        <f t="shared" si="14"/>
        <v>19.008620817393748</v>
      </c>
      <c r="Q72" s="65">
        <f t="shared" si="23"/>
        <v>-55.373910924889671</v>
      </c>
      <c r="R72" s="64">
        <f t="shared" si="16"/>
        <v>65.577444803331105</v>
      </c>
      <c r="S72" s="59">
        <f t="shared" si="17"/>
        <v>24.422555196668895</v>
      </c>
      <c r="T72" s="58">
        <f t="shared" si="24"/>
        <v>-65.270509912075269</v>
      </c>
      <c r="U72" s="66"/>
      <c r="V72" s="53">
        <f>K70</f>
        <v>-79.107246054303175</v>
      </c>
      <c r="X72" s="50"/>
      <c r="Y72" s="50"/>
      <c r="Z72" s="50"/>
      <c r="AA72" s="50">
        <f>J70</f>
        <v>28.125736373589902</v>
      </c>
      <c r="AB72" s="50"/>
      <c r="AC72" s="50"/>
    </row>
    <row r="73" spans="1:29" x14ac:dyDescent="0.2">
      <c r="A73" s="67">
        <v>-57</v>
      </c>
      <c r="B73" s="66">
        <f t="shared" si="0"/>
        <v>-0.99483767363676789</v>
      </c>
      <c r="C73" s="64">
        <f t="shared" si="1"/>
        <v>52.862826379890606</v>
      </c>
      <c r="D73" s="64">
        <f t="shared" si="2"/>
        <v>37.137173620109394</v>
      </c>
      <c r="E73" s="65">
        <f t="shared" si="19"/>
        <v>-105.1728319835177</v>
      </c>
      <c r="F73" s="64">
        <f t="shared" si="4"/>
        <v>55.213915438350242</v>
      </c>
      <c r="G73" s="64">
        <f t="shared" si="5"/>
        <v>34.786084561649758</v>
      </c>
      <c r="H73" s="64">
        <f t="shared" si="20"/>
        <v>-90.966018329694677</v>
      </c>
      <c r="I73" s="72">
        <f t="shared" si="7"/>
        <v>59.10312346024164</v>
      </c>
      <c r="J73" s="64">
        <f t="shared" si="8"/>
        <v>30.89687653975836</v>
      </c>
      <c r="K73" s="65">
        <f t="shared" si="21"/>
        <v>-77.786398488894406</v>
      </c>
      <c r="L73" s="64">
        <f t="shared" si="10"/>
        <v>64.211784132913479</v>
      </c>
      <c r="M73" s="64">
        <f t="shared" si="11"/>
        <v>25.788215867086521</v>
      </c>
      <c r="N73" s="65">
        <f t="shared" si="22"/>
        <v>-65.783018810888777</v>
      </c>
      <c r="O73" s="64">
        <f t="shared" si="13"/>
        <v>70.218005090605942</v>
      </c>
      <c r="P73" s="64">
        <f t="shared" si="14"/>
        <v>19.781994909394058</v>
      </c>
      <c r="Q73" s="65">
        <f t="shared" si="23"/>
        <v>-54.850731538060089</v>
      </c>
      <c r="R73" s="64">
        <f t="shared" si="16"/>
        <v>64.722879042434457</v>
      </c>
      <c r="S73" s="59">
        <f t="shared" si="17"/>
        <v>25.277120957565543</v>
      </c>
      <c r="T73" s="58">
        <f t="shared" si="24"/>
        <v>-64.752734323992968</v>
      </c>
      <c r="U73" s="66"/>
      <c r="V73" s="53">
        <f>N70</f>
        <v>-67.29621350805661</v>
      </c>
      <c r="X73" s="50"/>
      <c r="Y73" s="50"/>
      <c r="Z73" s="50"/>
      <c r="AA73" s="50">
        <f>M70</f>
        <v>23.193502967836096</v>
      </c>
      <c r="AB73" s="50"/>
      <c r="AC73" s="50"/>
    </row>
    <row r="74" spans="1:29" x14ac:dyDescent="0.2">
      <c r="A74" s="67">
        <v>-56</v>
      </c>
      <c r="B74" s="66">
        <f t="shared" ref="B74:B137" si="25">RADIANS(A74)</f>
        <v>-0.97738438111682457</v>
      </c>
      <c r="C74" s="64">
        <f t="shared" ref="C74:C137" si="26">DEGREES(ACOS(SIN(C$5)*SIN($C$6)+COS(C$5)*COS($C$6)*COS($B74)))</f>
        <v>51.952564950017681</v>
      </c>
      <c r="D74" s="64">
        <f t="shared" ref="D74:D137" si="27">90-C74</f>
        <v>38.047435049982319</v>
      </c>
      <c r="E74" s="65">
        <f t="shared" ref="E74:E105" si="28">DEGREES(-ACOS((SIN(RADIANS(D74))*SIN($C$6)-SIN(C$5))/(COS(RADIANS(D74))*COS($C$6))))</f>
        <v>-105.02861511511298</v>
      </c>
      <c r="F74" s="64">
        <f t="shared" ref="F74:F137" si="29">DEGREES(ACOS(SIN(G$5)*SIN($C$6)+COS(G$5)*COS($C$6)*COS($B74)))</f>
        <v>54.271193448839426</v>
      </c>
      <c r="G74" s="64">
        <f t="shared" ref="G74:G137" si="30">90-F74</f>
        <v>35.728806551160574</v>
      </c>
      <c r="H74" s="64">
        <f t="shared" ref="H74:H105" si="31">DEGREES(-ACOS((SIN(RADIANS(G74))*SIN($C$6)-SIN(G$5))/(COS(RADIANS(G74))*COS($C$6))))</f>
        <v>-90.64205048226566</v>
      </c>
      <c r="I74" s="72">
        <f t="shared" ref="I74:I137" si="32">DEGREES(ACOS(SIN(J$5)*SIN($C$6)+COS(J$5)*COS($C$6)*COS($B74)))</f>
        <v>58.182450074276204</v>
      </c>
      <c r="J74" s="64">
        <f t="shared" ref="J74:J137" si="33">90-I74</f>
        <v>31.817549925723796</v>
      </c>
      <c r="K74" s="65">
        <f t="shared" ref="K74:K105" si="34">DEGREES(-ACOS((SIN(RADIANS(J74))*SIN($C$6)-SIN(J$5))/(COS(RADIANS(J74))*COS($C$6))))</f>
        <v>-77.329290052206161</v>
      </c>
      <c r="L74" s="64">
        <f t="shared" ref="L74:L137" si="35">DEGREES(ACOS(SIN(M$5)*SIN($C$6)+COS(M$5)*COS($C$6)*COS($B74)))</f>
        <v>63.353717085336513</v>
      </c>
      <c r="M74" s="64">
        <f t="shared" ref="M74:M137" si="36">90-L74</f>
        <v>26.646282914663487</v>
      </c>
      <c r="N74" s="65">
        <f t="shared" ref="N74:N105" si="37">DEGREES(-ACOS((SIN(RADIANS(M74))*SIN($C$6)-SIN(M$5))/(COS(RADIANS(M74))*COS($C$6))))</f>
        <v>-65.25731059316989</v>
      </c>
      <c r="O74" s="64">
        <f t="shared" ref="O74:O137" si="38">DEGREES(ACOS(SIN(P$5)*SIN($C$6)+COS(P$5)*COS($C$6)*COS($B74)))</f>
        <v>69.449638565087781</v>
      </c>
      <c r="P74" s="64">
        <f t="shared" ref="P74:P137" si="39">90-O74</f>
        <v>20.550361434912219</v>
      </c>
      <c r="Q74" s="65">
        <f t="shared" ref="Q74:Q105" si="40">DEGREES(-ACOS((SIN(RADIANS(P74))*SIN($C$6)-SIN(P$5))/(COS(RADIANS(P74))*COS($C$6))))</f>
        <v>-54.316746137448462</v>
      </c>
      <c r="R74" s="64">
        <f t="shared" ref="R74:R137" si="41">DEGREES(ACOS(SIN(S$5)*SIN($C$6)+COS(S$5)*COS($C$6)*COS($B74)))</f>
        <v>63.871986032907621</v>
      </c>
      <c r="S74" s="59">
        <f t="shared" ref="S74:S137" si="42">90-R74</f>
        <v>26.128013967092379</v>
      </c>
      <c r="T74" s="58">
        <f t="shared" ref="T74:T105" si="43">DEGREES(-ACOS((SIN(RADIANS(S74))*SIN($C$6)-SIN(S$5))/(COS(RADIANS(S74))*COS($C$6))))</f>
        <v>-64.223960608915746</v>
      </c>
      <c r="U74" s="66"/>
      <c r="V74" s="53">
        <f>Q70</f>
        <v>-56.388944297861826</v>
      </c>
      <c r="X74" s="50"/>
      <c r="Y74" s="50"/>
      <c r="Z74" s="50"/>
      <c r="AA74" s="50">
        <f>P70</f>
        <v>17.447503540611791</v>
      </c>
      <c r="AB74" s="50"/>
      <c r="AC74" s="50"/>
    </row>
    <row r="75" spans="1:29" x14ac:dyDescent="0.2">
      <c r="A75" s="67">
        <v>-55</v>
      </c>
      <c r="B75" s="66">
        <f t="shared" si="25"/>
        <v>-0.95993108859688125</v>
      </c>
      <c r="C75" s="64">
        <f t="shared" si="26"/>
        <v>51.041697686865874</v>
      </c>
      <c r="D75" s="64">
        <f t="shared" si="27"/>
        <v>38.958302313134126</v>
      </c>
      <c r="E75" s="65">
        <f t="shared" si="28"/>
        <v>-104.88889823246203</v>
      </c>
      <c r="F75" s="64">
        <f t="shared" si="29"/>
        <v>53.328411479890008</v>
      </c>
      <c r="G75" s="64">
        <f t="shared" si="30"/>
        <v>36.671588520109992</v>
      </c>
      <c r="H75" s="64">
        <f t="shared" si="31"/>
        <v>-90.314489818082166</v>
      </c>
      <c r="I75" s="72">
        <f t="shared" si="32"/>
        <v>57.263443323271787</v>
      </c>
      <c r="J75" s="64">
        <f t="shared" si="33"/>
        <v>32.736556676728213</v>
      </c>
      <c r="K75" s="65">
        <f t="shared" si="34"/>
        <v>-76.862982912990972</v>
      </c>
      <c r="L75" s="64">
        <f t="shared" si="35"/>
        <v>62.499309976405883</v>
      </c>
      <c r="M75" s="64">
        <f t="shared" si="36"/>
        <v>27.500690023594117</v>
      </c>
      <c r="N75" s="65">
        <f t="shared" si="37"/>
        <v>-64.720234594079727</v>
      </c>
      <c r="O75" s="64">
        <f t="shared" si="38"/>
        <v>68.686450742420803</v>
      </c>
      <c r="P75" s="64">
        <f t="shared" si="39"/>
        <v>21.313549257579197</v>
      </c>
      <c r="Q75" s="65">
        <f t="shared" si="40"/>
        <v>-53.771673477215309</v>
      </c>
      <c r="R75" s="64">
        <f t="shared" si="41"/>
        <v>63.024917713515549</v>
      </c>
      <c r="S75" s="59">
        <f t="shared" si="42"/>
        <v>26.975082286484451</v>
      </c>
      <c r="T75" s="58">
        <f t="shared" si="43"/>
        <v>-63.683764479907424</v>
      </c>
      <c r="U75" s="66"/>
      <c r="V75" s="53"/>
      <c r="X75" s="50"/>
      <c r="Y75" s="50"/>
      <c r="Z75" s="50"/>
      <c r="AA75" s="50"/>
      <c r="AB75" s="50"/>
      <c r="AC75" s="50"/>
    </row>
    <row r="76" spans="1:29" x14ac:dyDescent="0.2">
      <c r="A76" s="67">
        <v>-54</v>
      </c>
      <c r="B76" s="66">
        <f t="shared" si="25"/>
        <v>-0.94247779607693793</v>
      </c>
      <c r="C76" s="64">
        <f t="shared" si="26"/>
        <v>50.130249339059738</v>
      </c>
      <c r="D76" s="64">
        <f t="shared" si="27"/>
        <v>39.869750660940262</v>
      </c>
      <c r="E76" s="65">
        <f t="shared" si="28"/>
        <v>-104.75378642254591</v>
      </c>
      <c r="F76" s="64">
        <f t="shared" si="29"/>
        <v>52.385599844015665</v>
      </c>
      <c r="G76" s="64">
        <f t="shared" si="30"/>
        <v>37.614400155984335</v>
      </c>
      <c r="H76" s="64">
        <f t="shared" si="31"/>
        <v>-89.983023251270382</v>
      </c>
      <c r="I76" s="72">
        <f t="shared" si="32"/>
        <v>56.346198842061185</v>
      </c>
      <c r="J76" s="64">
        <f t="shared" si="33"/>
        <v>33.653801157938815</v>
      </c>
      <c r="K76" s="65">
        <f t="shared" si="34"/>
        <v>-76.386967365254065</v>
      </c>
      <c r="L76" s="64">
        <f t="shared" si="35"/>
        <v>61.648718564622804</v>
      </c>
      <c r="M76" s="64">
        <f t="shared" si="36"/>
        <v>28.351281435377196</v>
      </c>
      <c r="N76" s="65">
        <f t="shared" si="37"/>
        <v>-64.171337502615401</v>
      </c>
      <c r="O76" s="64">
        <f t="shared" si="38"/>
        <v>67.92861921642951</v>
      </c>
      <c r="P76" s="64">
        <f t="shared" si="39"/>
        <v>22.07138078357049</v>
      </c>
      <c r="Q76" s="65">
        <f t="shared" si="40"/>
        <v>-53.215225991550376</v>
      </c>
      <c r="R76" s="64">
        <f t="shared" si="41"/>
        <v>62.181833522730173</v>
      </c>
      <c r="S76" s="59">
        <f t="shared" si="42"/>
        <v>27.818166477269827</v>
      </c>
      <c r="T76" s="58">
        <f t="shared" si="43"/>
        <v>-63.131705383830649</v>
      </c>
      <c r="U76" s="66"/>
      <c r="V76" s="53"/>
      <c r="X76" s="50"/>
      <c r="Y76" s="50"/>
      <c r="Z76" s="50"/>
      <c r="AA76" s="50"/>
      <c r="AB76" s="50"/>
      <c r="AC76" s="50"/>
    </row>
    <row r="77" spans="1:29" x14ac:dyDescent="0.2">
      <c r="A77" s="67">
        <v>-53</v>
      </c>
      <c r="B77" s="66">
        <f t="shared" si="25"/>
        <v>-0.92502450355699462</v>
      </c>
      <c r="C77" s="64">
        <f t="shared" si="26"/>
        <v>49.218244601683949</v>
      </c>
      <c r="D77" s="64">
        <f t="shared" si="27"/>
        <v>40.781755398316051</v>
      </c>
      <c r="E77" s="65">
        <f t="shared" si="28"/>
        <v>-104.62339714807541</v>
      </c>
      <c r="F77" s="64">
        <f t="shared" si="29"/>
        <v>51.44278993593862</v>
      </c>
      <c r="G77" s="64">
        <f t="shared" si="30"/>
        <v>38.55721006406138</v>
      </c>
      <c r="H77" s="64">
        <f t="shared" si="31"/>
        <v>-89.647318886120942</v>
      </c>
      <c r="I77" s="72">
        <f t="shared" si="32"/>
        <v>55.430817946024312</v>
      </c>
      <c r="J77" s="64">
        <f t="shared" si="33"/>
        <v>34.569182053975688</v>
      </c>
      <c r="K77" s="65">
        <f t="shared" si="34"/>
        <v>-75.900705536868642</v>
      </c>
      <c r="L77" s="64">
        <f t="shared" si="35"/>
        <v>60.802106517101336</v>
      </c>
      <c r="M77" s="64">
        <f t="shared" si="36"/>
        <v>29.197893482898664</v>
      </c>
      <c r="N77" s="65">
        <f t="shared" si="37"/>
        <v>-63.610147954749145</v>
      </c>
      <c r="O77" s="64">
        <f t="shared" si="38"/>
        <v>67.17632826716283</v>
      </c>
      <c r="P77" s="64">
        <f t="shared" si="39"/>
        <v>22.82367173283717</v>
      </c>
      <c r="Q77" s="65">
        <f t="shared" si="40"/>
        <v>-52.647109963783372</v>
      </c>
      <c r="R77" s="64">
        <f t="shared" si="41"/>
        <v>61.342900817453895</v>
      </c>
      <c r="S77" s="59">
        <f t="shared" si="42"/>
        <v>28.657099182546105</v>
      </c>
      <c r="T77" s="58">
        <f t="shared" si="43"/>
        <v>-62.567325922074986</v>
      </c>
      <c r="U77" s="66"/>
      <c r="V77" s="53"/>
      <c r="X77" s="50"/>
      <c r="Y77" s="50"/>
      <c r="Z77" s="50"/>
      <c r="AA77" s="50"/>
      <c r="AB77" s="50"/>
      <c r="AC77" s="50"/>
    </row>
    <row r="78" spans="1:29" x14ac:dyDescent="0.2">
      <c r="A78" s="67">
        <v>-52</v>
      </c>
      <c r="B78" s="66">
        <f t="shared" si="25"/>
        <v>-0.90757121103705141</v>
      </c>
      <c r="C78" s="64">
        <f t="shared" si="26"/>
        <v>48.30570817034819</v>
      </c>
      <c r="D78" s="64">
        <f t="shared" si="27"/>
        <v>41.69429182965181</v>
      </c>
      <c r="E78" s="65">
        <f t="shared" si="28"/>
        <v>-104.49786129130662</v>
      </c>
      <c r="F78" s="64">
        <f t="shared" si="29"/>
        <v>50.500014371620182</v>
      </c>
      <c r="G78" s="64">
        <f t="shared" si="30"/>
        <v>39.499985628379818</v>
      </c>
      <c r="H78" s="64">
        <f t="shared" si="31"/>
        <v>-89.307024162052173</v>
      </c>
      <c r="I78" s="72">
        <f t="shared" si="32"/>
        <v>54.517408092157666</v>
      </c>
      <c r="J78" s="64">
        <f t="shared" si="33"/>
        <v>35.482591907842334</v>
      </c>
      <c r="K78" s="65">
        <f t="shared" si="34"/>
        <v>-75.403629294881128</v>
      </c>
      <c r="L78" s="64">
        <f t="shared" si="35"/>
        <v>59.95964586713287</v>
      </c>
      <c r="M78" s="64">
        <f t="shared" si="36"/>
        <v>30.04035413286713</v>
      </c>
      <c r="N78" s="65">
        <f t="shared" si="37"/>
        <v>-63.036175845386005</v>
      </c>
      <c r="O78" s="64">
        <f t="shared" si="38"/>
        <v>66.429769092302266</v>
      </c>
      <c r="P78" s="64">
        <f t="shared" si="39"/>
        <v>23.570230907697734</v>
      </c>
      <c r="Q78" s="65">
        <f t="shared" si="40"/>
        <v>-52.067025739580103</v>
      </c>
      <c r="R78" s="64">
        <f t="shared" si="41"/>
        <v>60.50829531446788</v>
      </c>
      <c r="S78" s="59">
        <f t="shared" si="42"/>
        <v>29.49170468553212</v>
      </c>
      <c r="T78" s="58">
        <f t="shared" si="43"/>
        <v>-61.990151280166131</v>
      </c>
      <c r="U78" s="66"/>
      <c r="V78" s="53"/>
      <c r="X78" s="50"/>
      <c r="Y78" s="50"/>
      <c r="Z78" s="50"/>
      <c r="AA78" s="50"/>
      <c r="AB78" s="50"/>
      <c r="AC78" s="50"/>
    </row>
    <row r="79" spans="1:29" x14ac:dyDescent="0.2">
      <c r="A79" s="67">
        <v>-51</v>
      </c>
      <c r="B79" s="66">
        <f t="shared" si="25"/>
        <v>-0.89011791851710809</v>
      </c>
      <c r="C79" s="64">
        <f t="shared" si="26"/>
        <v>47.392664799080642</v>
      </c>
      <c r="D79" s="64">
        <f t="shared" si="27"/>
        <v>42.607335200919358</v>
      </c>
      <c r="E79" s="65">
        <f t="shared" si="28"/>
        <v>-104.37732432378907</v>
      </c>
      <c r="F79" s="64">
        <f t="shared" si="29"/>
        <v>49.557307141263898</v>
      </c>
      <c r="G79" s="64">
        <f t="shared" si="30"/>
        <v>40.442692858736102</v>
      </c>
      <c r="H79" s="64">
        <f t="shared" si="31"/>
        <v>-88.961763797761918</v>
      </c>
      <c r="I79" s="72">
        <f t="shared" si="32"/>
        <v>53.60608338138703</v>
      </c>
      <c r="J79" s="64">
        <f t="shared" si="33"/>
        <v>36.39391661861297</v>
      </c>
      <c r="K79" s="65">
        <f t="shared" si="34"/>
        <v>-74.895137989647409</v>
      </c>
      <c r="L79" s="64">
        <f t="shared" si="35"/>
        <v>59.121517497782548</v>
      </c>
      <c r="M79" s="64">
        <f t="shared" si="36"/>
        <v>30.878482502217452</v>
      </c>
      <c r="N79" s="65">
        <f t="shared" si="37"/>
        <v>-62.448911645839999</v>
      </c>
      <c r="O79" s="64">
        <f t="shared" si="38"/>
        <v>65.689140040353351</v>
      </c>
      <c r="P79" s="64">
        <f t="shared" si="39"/>
        <v>24.310859959646649</v>
      </c>
      <c r="Q79" s="65">
        <f t="shared" si="40"/>
        <v>-51.474667989232636</v>
      </c>
      <c r="R79" s="64">
        <f t="shared" si="41"/>
        <v>59.678201555424806</v>
      </c>
      <c r="S79" s="59">
        <f t="shared" si="42"/>
        <v>30.321798444575194</v>
      </c>
      <c r="T79" s="58">
        <f t="shared" si="43"/>
        <v>-61.399688672174719</v>
      </c>
      <c r="U79" s="66"/>
      <c r="V79" s="53"/>
      <c r="X79" s="50"/>
      <c r="Y79" s="50"/>
      <c r="Z79" s="50"/>
      <c r="AA79" s="50"/>
      <c r="AB79" s="50"/>
      <c r="AC79" s="50"/>
    </row>
    <row r="80" spans="1:29" x14ac:dyDescent="0.2">
      <c r="A80" s="67">
        <v>-50</v>
      </c>
      <c r="B80" s="66">
        <f t="shared" si="25"/>
        <v>-0.87266462599716477</v>
      </c>
      <c r="C80" s="64">
        <f t="shared" si="26"/>
        <v>46.479139362682766</v>
      </c>
      <c r="D80" s="64">
        <f t="shared" si="27"/>
        <v>43.520860637317234</v>
      </c>
      <c r="E80" s="65">
        <f t="shared" si="28"/>
        <v>-104.26194761916811</v>
      </c>
      <c r="F80" s="64">
        <f t="shared" si="29"/>
        <v>48.614703778235807</v>
      </c>
      <c r="G80" s="64">
        <f t="shared" si="30"/>
        <v>41.385296221764193</v>
      </c>
      <c r="H80" s="64">
        <f t="shared" si="31"/>
        <v>-88.61113750803554</v>
      </c>
      <c r="I80" s="72">
        <f t="shared" si="32"/>
        <v>52.696965106336201</v>
      </c>
      <c r="J80" s="64">
        <f t="shared" si="33"/>
        <v>37.303034893663799</v>
      </c>
      <c r="K80" s="65">
        <f t="shared" si="34"/>
        <v>-74.374596025007492</v>
      </c>
      <c r="L80" s="64">
        <f t="shared" si="35"/>
        <v>58.287911652570891</v>
      </c>
      <c r="M80" s="64">
        <f t="shared" si="36"/>
        <v>31.712088347429109</v>
      </c>
      <c r="N80" s="65">
        <f t="shared" si="37"/>
        <v>-61.847825733326189</v>
      </c>
      <c r="O80" s="64">
        <f t="shared" si="38"/>
        <v>64.954646844615723</v>
      </c>
      <c r="P80" s="64">
        <f t="shared" si="39"/>
        <v>25.045353155384277</v>
      </c>
      <c r="Q80" s="65">
        <f t="shared" si="40"/>
        <v>-50.869726024428253</v>
      </c>
      <c r="R80" s="64">
        <f t="shared" si="41"/>
        <v>58.852813396136746</v>
      </c>
      <c r="S80" s="59">
        <f t="shared" si="42"/>
        <v>31.147186603863254</v>
      </c>
      <c r="T80" s="58">
        <f t="shared" si="43"/>
        <v>-60.795426806921711</v>
      </c>
      <c r="U80" s="66"/>
      <c r="V80" s="53"/>
      <c r="X80" s="50"/>
      <c r="Y80" s="50"/>
      <c r="Z80" s="50"/>
      <c r="AA80" s="50"/>
      <c r="AB80" s="50"/>
      <c r="AC80" s="50"/>
    </row>
    <row r="81" spans="1:29" x14ac:dyDescent="0.2">
      <c r="A81" s="67">
        <v>-49</v>
      </c>
      <c r="B81" s="66">
        <f t="shared" si="25"/>
        <v>-0.85521133347722145</v>
      </c>
      <c r="C81" s="64">
        <f t="shared" si="26"/>
        <v>45.565156924274476</v>
      </c>
      <c r="D81" s="64">
        <f t="shared" si="27"/>
        <v>44.434843075725524</v>
      </c>
      <c r="E81" s="65">
        <f t="shared" si="28"/>
        <v>-104.15190992890805</v>
      </c>
      <c r="F81" s="64">
        <f t="shared" si="29"/>
        <v>47.672241546141073</v>
      </c>
      <c r="G81" s="64">
        <f t="shared" si="30"/>
        <v>42.327758453858927</v>
      </c>
      <c r="H81" s="64">
        <f t="shared" si="31"/>
        <v>-88.254717462690124</v>
      </c>
      <c r="I81" s="72">
        <f t="shared" si="32"/>
        <v>51.790182349214696</v>
      </c>
      <c r="J81" s="64">
        <f t="shared" si="33"/>
        <v>38.209817650785304</v>
      </c>
      <c r="K81" s="65">
        <f t="shared" si="34"/>
        <v>-73.841330240976276</v>
      </c>
      <c r="L81" s="64">
        <f t="shared" si="35"/>
        <v>57.459028474229115</v>
      </c>
      <c r="M81" s="64">
        <f t="shared" si="36"/>
        <v>32.540971525770885</v>
      </c>
      <c r="N81" s="65">
        <f t="shared" si="37"/>
        <v>-61.232367740232277</v>
      </c>
      <c r="O81" s="64">
        <f t="shared" si="38"/>
        <v>64.226502856765649</v>
      </c>
      <c r="P81" s="64">
        <f t="shared" si="39"/>
        <v>25.773497143234351</v>
      </c>
      <c r="Q81" s="65">
        <f t="shared" si="40"/>
        <v>-50.251884175265417</v>
      </c>
      <c r="R81" s="64">
        <f t="shared" si="41"/>
        <v>58.032334520813777</v>
      </c>
      <c r="S81" s="59">
        <f t="shared" si="42"/>
        <v>31.967665479186223</v>
      </c>
      <c r="T81" s="58">
        <f t="shared" si="43"/>
        <v>-60.176835384205205</v>
      </c>
      <c r="U81" s="66"/>
      <c r="V81" s="53"/>
      <c r="X81" s="50"/>
      <c r="Y81" s="50"/>
      <c r="Z81" s="50"/>
      <c r="AA81" s="50"/>
      <c r="AB81" s="50"/>
      <c r="AC81" s="50"/>
    </row>
    <row r="82" spans="1:29" x14ac:dyDescent="0.2">
      <c r="A82" s="67">
        <v>-48</v>
      </c>
      <c r="B82" s="66">
        <f t="shared" si="25"/>
        <v>-0.83775804095727824</v>
      </c>
      <c r="C82" s="64">
        <f t="shared" si="26"/>
        <v>44.650742808873709</v>
      </c>
      <c r="D82" s="64">
        <f t="shared" si="27"/>
        <v>45.349257191126291</v>
      </c>
      <c r="E82" s="65">
        <f t="shared" si="28"/>
        <v>-104.04740904404655</v>
      </c>
      <c r="F82" s="64">
        <f t="shared" si="29"/>
        <v>46.729959646643763</v>
      </c>
      <c r="G82" s="64">
        <f t="shared" si="30"/>
        <v>43.270040353356237</v>
      </c>
      <c r="H82" s="64">
        <f t="shared" si="31"/>
        <v>-87.892045452466363</v>
      </c>
      <c r="I82" s="72">
        <f t="shared" si="32"/>
        <v>50.885872634986434</v>
      </c>
      <c r="J82" s="64">
        <f t="shared" si="33"/>
        <v>39.114127365013566</v>
      </c>
      <c r="K82" s="65">
        <f t="shared" si="34"/>
        <v>-73.294627094748904</v>
      </c>
      <c r="L82" s="64">
        <f t="shared" si="35"/>
        <v>56.635078572422373</v>
      </c>
      <c r="M82" s="64">
        <f t="shared" si="36"/>
        <v>33.364921427577627</v>
      </c>
      <c r="N82" s="65">
        <f t="shared" si="37"/>
        <v>-60.601965932386584</v>
      </c>
      <c r="O82" s="64">
        <f t="shared" si="38"/>
        <v>63.504929278703081</v>
      </c>
      <c r="P82" s="64">
        <f t="shared" si="39"/>
        <v>26.495070721296919</v>
      </c>
      <c r="Q82" s="65">
        <f t="shared" si="40"/>
        <v>-49.620822233664946</v>
      </c>
      <c r="R82" s="64">
        <f t="shared" si="41"/>
        <v>57.216978981784315</v>
      </c>
      <c r="S82" s="59">
        <f t="shared" si="42"/>
        <v>32.783021018215685</v>
      </c>
      <c r="T82" s="58">
        <f t="shared" si="43"/>
        <v>-59.543364630668073</v>
      </c>
      <c r="U82" s="66"/>
      <c r="V82" s="53"/>
      <c r="X82" s="50"/>
      <c r="Y82" s="50"/>
      <c r="Z82" s="50"/>
      <c r="AA82" s="50"/>
      <c r="AB82" s="50"/>
      <c r="AC82" s="50"/>
    </row>
    <row r="83" spans="1:29" x14ac:dyDescent="0.2">
      <c r="A83" s="67">
        <v>-47</v>
      </c>
      <c r="B83" s="66">
        <f t="shared" si="25"/>
        <v>-0.82030474843733492</v>
      </c>
      <c r="C83" s="64">
        <f t="shared" si="26"/>
        <v>43.735922683990623</v>
      </c>
      <c r="D83" s="64">
        <f t="shared" si="27"/>
        <v>46.264077316009377</v>
      </c>
      <c r="E83" s="65">
        <f t="shared" si="28"/>
        <v>-103.94866366994144</v>
      </c>
      <c r="F83" s="64">
        <f t="shared" si="29"/>
        <v>45.787899451025893</v>
      </c>
      <c r="G83" s="64">
        <f t="shared" si="30"/>
        <v>44.212100548974107</v>
      </c>
      <c r="H83" s="64">
        <f t="shared" si="31"/>
        <v>-87.522629721200573</v>
      </c>
      <c r="I83" s="72">
        <f t="shared" si="32"/>
        <v>49.984182645531391</v>
      </c>
      <c r="J83" s="64">
        <f t="shared" si="33"/>
        <v>40.015817354468609</v>
      </c>
      <c r="K83" s="65">
        <f t="shared" si="34"/>
        <v>-72.733729625226104</v>
      </c>
      <c r="L83" s="64">
        <f t="shared" si="35"/>
        <v>55.816283621205962</v>
      </c>
      <c r="M83" s="64">
        <f t="shared" si="36"/>
        <v>34.183716378794038</v>
      </c>
      <c r="N83" s="65">
        <f t="shared" si="37"/>
        <v>-59.95602662720011</v>
      </c>
      <c r="O83" s="64">
        <f t="shared" si="38"/>
        <v>62.790155391118915</v>
      </c>
      <c r="P83" s="64">
        <f t="shared" si="39"/>
        <v>27.209844608881085</v>
      </c>
      <c r="Q83" s="65">
        <f t="shared" si="40"/>
        <v>-48.97621596970221</v>
      </c>
      <c r="R83" s="64">
        <f t="shared" si="41"/>
        <v>56.406971765065059</v>
      </c>
      <c r="S83" s="59">
        <f t="shared" si="42"/>
        <v>33.593028234934941</v>
      </c>
      <c r="T83" s="58">
        <f t="shared" si="43"/>
        <v>-58.894444886501063</v>
      </c>
      <c r="U83" s="66"/>
      <c r="V83" s="53"/>
      <c r="X83" s="50"/>
      <c r="Y83" s="50"/>
      <c r="Z83" s="50"/>
      <c r="AA83" s="50"/>
      <c r="AB83" s="50"/>
      <c r="AC83" s="50"/>
    </row>
    <row r="84" spans="1:29" x14ac:dyDescent="0.2">
      <c r="A84" s="67">
        <v>-46</v>
      </c>
      <c r="B84" s="66">
        <f t="shared" si="25"/>
        <v>-0.8028514559173916</v>
      </c>
      <c r="C84" s="64">
        <f t="shared" si="26"/>
        <v>42.820722648379189</v>
      </c>
      <c r="D84" s="64">
        <f t="shared" si="27"/>
        <v>47.179277351620811</v>
      </c>
      <c r="E84" s="65">
        <f t="shared" si="28"/>
        <v>-103.85591554555432</v>
      </c>
      <c r="F84" s="64">
        <f t="shared" si="29"/>
        <v>44.846104758966106</v>
      </c>
      <c r="G84" s="64">
        <f t="shared" si="30"/>
        <v>45.153895241033894</v>
      </c>
      <c r="H84" s="64">
        <f t="shared" si="31"/>
        <v>-87.145941417162049</v>
      </c>
      <c r="I84" s="72">
        <f t="shared" si="32"/>
        <v>49.085269001118007</v>
      </c>
      <c r="J84" s="64">
        <f t="shared" si="33"/>
        <v>40.914730998881993</v>
      </c>
      <c r="K84" s="65">
        <f t="shared" si="34"/>
        <v>-72.157834185806436</v>
      </c>
      <c r="L84" s="64">
        <f t="shared" si="35"/>
        <v>55.002876986807792</v>
      </c>
      <c r="M84" s="64">
        <f t="shared" si="36"/>
        <v>34.997123013192208</v>
      </c>
      <c r="N84" s="65">
        <f t="shared" si="37"/>
        <v>-59.293933664451416</v>
      </c>
      <c r="O84" s="64">
        <f t="shared" si="38"/>
        <v>62.082418777021111</v>
      </c>
      <c r="P84" s="64">
        <f t="shared" si="39"/>
        <v>27.917581222978889</v>
      </c>
      <c r="Q84" s="65">
        <f t="shared" si="40"/>
        <v>-48.317737727745317</v>
      </c>
      <c r="R84" s="64">
        <f t="shared" si="41"/>
        <v>55.602549381944669</v>
      </c>
      <c r="S84" s="59">
        <f t="shared" si="42"/>
        <v>34.397450618055331</v>
      </c>
      <c r="T84" s="58">
        <f t="shared" si="43"/>
        <v>-58.229486255951571</v>
      </c>
      <c r="U84" s="66"/>
      <c r="V84" s="53"/>
      <c r="X84" s="50"/>
      <c r="Y84" s="50"/>
      <c r="Z84" s="50"/>
      <c r="AA84" s="50"/>
      <c r="AB84" s="50"/>
      <c r="AC84" s="50"/>
    </row>
    <row r="85" spans="1:29" s="54" customFormat="1" x14ac:dyDescent="0.2">
      <c r="A85" s="63">
        <v>-45</v>
      </c>
      <c r="B85" s="62">
        <f t="shared" si="25"/>
        <v>-0.78539816339744828</v>
      </c>
      <c r="C85" s="60">
        <f t="shared" si="26"/>
        <v>41.905169330284494</v>
      </c>
      <c r="D85" s="60">
        <f t="shared" si="27"/>
        <v>48.094830669715506</v>
      </c>
      <c r="E85" s="61">
        <f t="shared" si="28"/>
        <v>-103.76943184428926</v>
      </c>
      <c r="F85" s="60">
        <f t="shared" si="29"/>
        <v>43.90462208859266</v>
      </c>
      <c r="G85" s="60">
        <f t="shared" si="30"/>
        <v>46.09537791140734</v>
      </c>
      <c r="H85" s="60">
        <f t="shared" si="31"/>
        <v>-86.761410608834467</v>
      </c>
      <c r="I85" s="73">
        <f t="shared" si="32"/>
        <v>48.189299116169984</v>
      </c>
      <c r="J85" s="60">
        <f t="shared" si="33"/>
        <v>41.810700883830016</v>
      </c>
      <c r="K85" s="61">
        <f t="shared" si="34"/>
        <v>-71.566086929930492</v>
      </c>
      <c r="L85" s="60">
        <f t="shared" si="35"/>
        <v>54.195104386109321</v>
      </c>
      <c r="M85" s="60">
        <f t="shared" si="36"/>
        <v>35.804895613890679</v>
      </c>
      <c r="N85" s="61">
        <f t="shared" si="37"/>
        <v>-58.615047944628685</v>
      </c>
      <c r="O85" s="60">
        <f t="shared" si="38"/>
        <v>61.381965538224257</v>
      </c>
      <c r="P85" s="60">
        <f t="shared" si="39"/>
        <v>28.618034461775743</v>
      </c>
      <c r="Q85" s="61">
        <f t="shared" si="40"/>
        <v>-47.645057109621348</v>
      </c>
      <c r="R85" s="60">
        <f t="shared" si="41"/>
        <v>54.803960486488968</v>
      </c>
      <c r="S85" s="59">
        <f t="shared" si="42"/>
        <v>35.196039513511032</v>
      </c>
      <c r="T85" s="58">
        <f t="shared" si="43"/>
        <v>-57.547878336598295</v>
      </c>
      <c r="U85" s="62"/>
      <c r="V85" s="56">
        <f>E85</f>
        <v>-103.76943184428926</v>
      </c>
      <c r="W85" s="55"/>
      <c r="X85" s="55"/>
      <c r="Y85" s="55"/>
      <c r="Z85" s="55"/>
      <c r="AA85" s="55"/>
      <c r="AB85" s="55">
        <f>D85</f>
        <v>48.094830669715506</v>
      </c>
      <c r="AC85" s="55"/>
    </row>
    <row r="86" spans="1:29" x14ac:dyDescent="0.2">
      <c r="A86" s="67">
        <v>-44</v>
      </c>
      <c r="B86" s="66">
        <f t="shared" si="25"/>
        <v>-0.76794487087750496</v>
      </c>
      <c r="C86" s="64">
        <f t="shared" si="26"/>
        <v>40.989289996757307</v>
      </c>
      <c r="D86" s="64">
        <f t="shared" si="27"/>
        <v>49.010710003242693</v>
      </c>
      <c r="E86" s="65">
        <f t="shared" si="28"/>
        <v>-103.68950789996575</v>
      </c>
      <c r="F86" s="64">
        <f t="shared" si="29"/>
        <v>42.963501002548334</v>
      </c>
      <c r="G86" s="64">
        <f t="shared" si="30"/>
        <v>47.036498997451666</v>
      </c>
      <c r="H86" s="64">
        <f t="shared" si="31"/>
        <v>-86.368421801425043</v>
      </c>
      <c r="I86" s="72">
        <f t="shared" si="32"/>
        <v>47.29645213703806</v>
      </c>
      <c r="J86" s="64">
        <f t="shared" si="33"/>
        <v>42.70354786296194</v>
      </c>
      <c r="K86" s="65">
        <f t="shared" si="34"/>
        <v>-70.957580033878898</v>
      </c>
      <c r="L86" s="64">
        <f t="shared" si="35"/>
        <v>53.39322457591517</v>
      </c>
      <c r="M86" s="64">
        <f t="shared" si="36"/>
        <v>36.60677542408483</v>
      </c>
      <c r="N86" s="65">
        <f t="shared" si="37"/>
        <v>-57.918707052164606</v>
      </c>
      <c r="O86" s="64">
        <f t="shared" si="38"/>
        <v>60.689050502552526</v>
      </c>
      <c r="P86" s="64">
        <f t="shared" si="39"/>
        <v>29.310949497447474</v>
      </c>
      <c r="Q86" s="65">
        <f t="shared" si="40"/>
        <v>-46.957841752332435</v>
      </c>
      <c r="R86" s="64">
        <f t="shared" si="41"/>
        <v>54.011466518561882</v>
      </c>
      <c r="S86" s="59">
        <f t="shared" si="42"/>
        <v>35.988533481438118</v>
      </c>
      <c r="T86" s="58">
        <f t="shared" si="43"/>
        <v>-56.848990044572865</v>
      </c>
      <c r="U86" s="66"/>
      <c r="V86" s="53">
        <f>H85</f>
        <v>-86.761410608834467</v>
      </c>
      <c r="X86" s="50"/>
      <c r="Y86" s="50"/>
      <c r="Z86" s="50"/>
      <c r="AA86" s="50"/>
      <c r="AB86" s="50">
        <f>G85</f>
        <v>46.09537791140734</v>
      </c>
      <c r="AC86" s="50"/>
    </row>
    <row r="87" spans="1:29" x14ac:dyDescent="0.2">
      <c r="A87" s="67">
        <v>-43</v>
      </c>
      <c r="B87" s="66">
        <f t="shared" si="25"/>
        <v>-0.75049157835756175</v>
      </c>
      <c r="C87" s="64">
        <f t="shared" si="26"/>
        <v>40.073112675890506</v>
      </c>
      <c r="D87" s="64">
        <f t="shared" si="27"/>
        <v>49.926887324109494</v>
      </c>
      <c r="E87" s="65">
        <f t="shared" si="28"/>
        <v>-103.61647030939822</v>
      </c>
      <c r="F87" s="64">
        <f t="shared" si="29"/>
        <v>42.022794475619278</v>
      </c>
      <c r="G87" s="64">
        <f t="shared" si="30"/>
        <v>47.977205524380722</v>
      </c>
      <c r="H87" s="64">
        <f t="shared" si="31"/>
        <v>-85.966308879715967</v>
      </c>
      <c r="I87" s="72">
        <f t="shared" si="32"/>
        <v>46.406919970280086</v>
      </c>
      <c r="J87" s="64">
        <f t="shared" si="33"/>
        <v>43.593080029719914</v>
      </c>
      <c r="K87" s="65">
        <f t="shared" si="34"/>
        <v>-70.331347641725742</v>
      </c>
      <c r="L87" s="64">
        <f t="shared" si="35"/>
        <v>52.597510072750673</v>
      </c>
      <c r="M87" s="64">
        <f t="shared" si="36"/>
        <v>37.402489927249327</v>
      </c>
      <c r="N87" s="65">
        <f t="shared" si="37"/>
        <v>-57.204224983621522</v>
      </c>
      <c r="O87" s="64">
        <f t="shared" si="38"/>
        <v>60.003937419233651</v>
      </c>
      <c r="P87" s="64">
        <f t="shared" si="39"/>
        <v>29.996062580766349</v>
      </c>
      <c r="Q87" s="65">
        <f t="shared" si="40"/>
        <v>-46.255758208093624</v>
      </c>
      <c r="R87" s="64">
        <f t="shared" si="41"/>
        <v>53.225342371572523</v>
      </c>
      <c r="S87" s="59">
        <f t="shared" si="42"/>
        <v>36.774657628427477</v>
      </c>
      <c r="T87" s="58">
        <f t="shared" si="43"/>
        <v>-56.132169555374041</v>
      </c>
      <c r="U87" s="66"/>
      <c r="V87" s="53">
        <f>K85</f>
        <v>-71.566086929930492</v>
      </c>
      <c r="X87" s="50"/>
      <c r="Y87" s="50"/>
      <c r="Z87" s="50"/>
      <c r="AA87" s="50"/>
      <c r="AB87" s="50">
        <f>J85</f>
        <v>41.810700883830016</v>
      </c>
      <c r="AC87" s="50"/>
    </row>
    <row r="88" spans="1:29" x14ac:dyDescent="0.2">
      <c r="A88" s="67">
        <v>-42</v>
      </c>
      <c r="B88" s="66">
        <f t="shared" si="25"/>
        <v>-0.73303828583761843</v>
      </c>
      <c r="C88" s="64">
        <f t="shared" si="26"/>
        <v>39.156666294172815</v>
      </c>
      <c r="D88" s="64">
        <f t="shared" si="27"/>
        <v>50.843333705827185</v>
      </c>
      <c r="E88" s="65">
        <f t="shared" si="28"/>
        <v>-103.55068047258307</v>
      </c>
      <c r="F88" s="64">
        <f t="shared" si="29"/>
        <v>41.082559310455224</v>
      </c>
      <c r="G88" s="64">
        <f t="shared" si="30"/>
        <v>48.917440689544776</v>
      </c>
      <c r="H88" s="64">
        <f t="shared" si="31"/>
        <v>-85.554349390185664</v>
      </c>
      <c r="I88" s="72">
        <f t="shared" si="32"/>
        <v>45.520908410810144</v>
      </c>
      <c r="J88" s="64">
        <f t="shared" si="33"/>
        <v>44.479091589189856</v>
      </c>
      <c r="K88" s="65">
        <f t="shared" si="34"/>
        <v>-69.686361518266153</v>
      </c>
      <c r="L88" s="64">
        <f t="shared" si="35"/>
        <v>51.808247902492766</v>
      </c>
      <c r="M88" s="64">
        <f t="shared" si="36"/>
        <v>38.191752097507234</v>
      </c>
      <c r="N88" s="65">
        <f t="shared" si="37"/>
        <v>-56.470892003925762</v>
      </c>
      <c r="O88" s="64">
        <f t="shared" si="38"/>
        <v>59.326899139670317</v>
      </c>
      <c r="P88" s="64">
        <f t="shared" si="39"/>
        <v>30.673100860329683</v>
      </c>
      <c r="Q88" s="65">
        <f t="shared" si="40"/>
        <v>-45.538472934648127</v>
      </c>
      <c r="R88" s="64">
        <f t="shared" si="41"/>
        <v>52.445877083698178</v>
      </c>
      <c r="S88" s="59">
        <f t="shared" si="42"/>
        <v>37.554122916301822</v>
      </c>
      <c r="T88" s="58">
        <f t="shared" si="43"/>
        <v>-55.396744382638907</v>
      </c>
      <c r="U88" s="66"/>
      <c r="V88" s="53">
        <f>N85</f>
        <v>-58.615047944628685</v>
      </c>
      <c r="X88" s="50"/>
      <c r="Y88" s="50"/>
      <c r="Z88" s="50"/>
      <c r="AA88" s="50"/>
      <c r="AB88" s="50">
        <f>M85</f>
        <v>35.804895613890679</v>
      </c>
      <c r="AC88" s="50"/>
    </row>
    <row r="89" spans="1:29" x14ac:dyDescent="0.2">
      <c r="A89" s="67">
        <v>-41</v>
      </c>
      <c r="B89" s="66">
        <f t="shared" si="25"/>
        <v>-0.71558499331767511</v>
      </c>
      <c r="C89" s="64">
        <f t="shared" si="26"/>
        <v>38.239980831570634</v>
      </c>
      <c r="D89" s="64">
        <f t="shared" si="27"/>
        <v>51.760019168429366</v>
      </c>
      <c r="E89" s="65">
        <f t="shared" si="28"/>
        <v>-103.49253864304612</v>
      </c>
      <c r="F89" s="64">
        <f t="shared" si="29"/>
        <v>40.142856609078436</v>
      </c>
      <c r="G89" s="64">
        <f t="shared" si="30"/>
        <v>49.857143390921564</v>
      </c>
      <c r="H89" s="64">
        <f t="shared" si="31"/>
        <v>-85.131758060198209</v>
      </c>
      <c r="I89" s="72">
        <f t="shared" si="32"/>
        <v>44.638638380198927</v>
      </c>
      <c r="J89" s="64">
        <f t="shared" si="33"/>
        <v>45.361361619801073</v>
      </c>
      <c r="K89" s="65">
        <f t="shared" si="34"/>
        <v>-69.02152639734274</v>
      </c>
      <c r="L89" s="64">
        <f t="shared" si="35"/>
        <v>51.025740378611005</v>
      </c>
      <c r="M89" s="64">
        <f t="shared" si="36"/>
        <v>38.974259621388995</v>
      </c>
      <c r="N89" s="65">
        <f t="shared" si="37"/>
        <v>-55.717974657128444</v>
      </c>
      <c r="O89" s="64">
        <f t="shared" si="38"/>
        <v>58.658217780466273</v>
      </c>
      <c r="P89" s="64">
        <f t="shared" si="39"/>
        <v>31.341782219533727</v>
      </c>
      <c r="Q89" s="65">
        <f t="shared" si="40"/>
        <v>-44.805653403914185</v>
      </c>
      <c r="R89" s="64">
        <f t="shared" si="41"/>
        <v>51.673374550779819</v>
      </c>
      <c r="S89" s="59">
        <f t="shared" si="42"/>
        <v>38.326625449220181</v>
      </c>
      <c r="T89" s="58">
        <f t="shared" si="43"/>
        <v>-54.64202162021359</v>
      </c>
      <c r="U89" s="66"/>
      <c r="V89" s="53">
        <f>Q85</f>
        <v>-47.645057109621348</v>
      </c>
      <c r="X89" s="50"/>
      <c r="Y89" s="50"/>
      <c r="Z89" s="50"/>
      <c r="AA89" s="50"/>
      <c r="AB89" s="50">
        <f>P85</f>
        <v>28.618034461775743</v>
      </c>
      <c r="AC89" s="50"/>
    </row>
    <row r="90" spans="1:29" x14ac:dyDescent="0.2">
      <c r="A90" s="67">
        <v>-40</v>
      </c>
      <c r="B90" s="66">
        <f t="shared" si="25"/>
        <v>-0.69813170079773179</v>
      </c>
      <c r="C90" s="64">
        <f t="shared" si="26"/>
        <v>37.323087497454239</v>
      </c>
      <c r="D90" s="64">
        <f t="shared" si="27"/>
        <v>52.676912502545761</v>
      </c>
      <c r="E90" s="65">
        <f t="shared" si="28"/>
        <v>-103.44248857496358</v>
      </c>
      <c r="F90" s="64">
        <f t="shared" si="29"/>
        <v>39.203752309288475</v>
      </c>
      <c r="G90" s="64">
        <f t="shared" si="30"/>
        <v>50.796247690711525</v>
      </c>
      <c r="H90" s="64">
        <f t="shared" si="31"/>
        <v>-84.697679433966542</v>
      </c>
      <c r="I90" s="72">
        <f t="shared" si="32"/>
        <v>43.760347286388154</v>
      </c>
      <c r="J90" s="64">
        <f t="shared" si="33"/>
        <v>46.239652713611846</v>
      </c>
      <c r="K90" s="65">
        <f t="shared" si="34"/>
        <v>-68.335675015508571</v>
      </c>
      <c r="L90" s="64">
        <f t="shared" si="35"/>
        <v>50.250305907154903</v>
      </c>
      <c r="M90" s="64">
        <f t="shared" si="36"/>
        <v>39.749694092845097</v>
      </c>
      <c r="N90" s="65">
        <f t="shared" si="37"/>
        <v>-54.944715961895866</v>
      </c>
      <c r="O90" s="64">
        <f t="shared" si="38"/>
        <v>57.9981848652614</v>
      </c>
      <c r="P90" s="64">
        <f t="shared" si="39"/>
        <v>32.0018151347386</v>
      </c>
      <c r="Q90" s="65">
        <f t="shared" si="40"/>
        <v>-44.056969337010642</v>
      </c>
      <c r="R90" s="64">
        <f t="shared" si="41"/>
        <v>50.90815425843136</v>
      </c>
      <c r="S90" s="59">
        <f t="shared" si="42"/>
        <v>39.09184574156864</v>
      </c>
      <c r="T90" s="58">
        <f t="shared" si="43"/>
        <v>-53.867288376100483</v>
      </c>
      <c r="U90" s="66"/>
      <c r="V90" s="53"/>
      <c r="X90" s="50"/>
      <c r="Y90" s="50"/>
      <c r="Z90" s="50"/>
      <c r="AA90" s="50"/>
      <c r="AB90" s="50"/>
      <c r="AC90" s="50"/>
    </row>
    <row r="91" spans="1:29" x14ac:dyDescent="0.2">
      <c r="A91" s="67">
        <v>-39</v>
      </c>
      <c r="B91" s="66">
        <f t="shared" si="25"/>
        <v>-0.68067840827778847</v>
      </c>
      <c r="C91" s="64">
        <f t="shared" si="26"/>
        <v>36.406018931104491</v>
      </c>
      <c r="D91" s="64">
        <f t="shared" si="27"/>
        <v>53.593981068895509</v>
      </c>
      <c r="E91" s="65">
        <f t="shared" si="28"/>
        <v>-103.40102287085401</v>
      </c>
      <c r="F91" s="64">
        <f t="shared" si="29"/>
        <v>38.265317796774461</v>
      </c>
      <c r="G91" s="64">
        <f t="shared" si="30"/>
        <v>51.734682203225539</v>
      </c>
      <c r="H91" s="64">
        <f t="shared" si="31"/>
        <v>-84.251179483296212</v>
      </c>
      <c r="I91" s="72">
        <f t="shared" si="32"/>
        <v>42.886290517113473</v>
      </c>
      <c r="J91" s="64">
        <f t="shared" si="33"/>
        <v>47.113709482886527</v>
      </c>
      <c r="K91" s="65">
        <f t="shared" si="34"/>
        <v>-67.627562824657375</v>
      </c>
      <c r="L91" s="64">
        <f t="shared" si="35"/>
        <v>49.482279815858533</v>
      </c>
      <c r="M91" s="64">
        <f t="shared" si="36"/>
        <v>40.517720184141467</v>
      </c>
      <c r="N91" s="65">
        <f t="shared" si="37"/>
        <v>-54.150335826011236</v>
      </c>
      <c r="O91" s="64">
        <f t="shared" si="38"/>
        <v>57.347101441591654</v>
      </c>
      <c r="P91" s="64">
        <f t="shared" si="39"/>
        <v>32.652898558408346</v>
      </c>
      <c r="Q91" s="65">
        <f t="shared" si="40"/>
        <v>-43.292094073570773</v>
      </c>
      <c r="R91" s="64">
        <f t="shared" si="41"/>
        <v>50.150552030132147</v>
      </c>
      <c r="S91" s="59">
        <f t="shared" si="42"/>
        <v>39.849447969867853</v>
      </c>
      <c r="T91" s="58">
        <f t="shared" si="43"/>
        <v>-53.071812430342234</v>
      </c>
      <c r="U91" s="69"/>
      <c r="V91" s="53"/>
      <c r="X91" s="50"/>
      <c r="Y91" s="50"/>
      <c r="Z91" s="50"/>
      <c r="AA91" s="50"/>
      <c r="AB91" s="50"/>
      <c r="AC91" s="50"/>
    </row>
    <row r="92" spans="1:29" x14ac:dyDescent="0.2">
      <c r="A92" s="67">
        <v>-38</v>
      </c>
      <c r="B92" s="66">
        <f t="shared" si="25"/>
        <v>-0.66322511575784526</v>
      </c>
      <c r="C92" s="64">
        <f t="shared" si="26"/>
        <v>35.488809431298961</v>
      </c>
      <c r="D92" s="64">
        <f t="shared" si="27"/>
        <v>54.511190568701039</v>
      </c>
      <c r="E92" s="65">
        <f t="shared" si="28"/>
        <v>-103.36868915473734</v>
      </c>
      <c r="F92" s="64">
        <f t="shared" si="29"/>
        <v>37.327630605812359</v>
      </c>
      <c r="G92" s="64">
        <f t="shared" si="30"/>
        <v>52.672369394187641</v>
      </c>
      <c r="H92" s="64">
        <f t="shared" si="31"/>
        <v>-83.791236025017369</v>
      </c>
      <c r="I92" s="72">
        <f t="shared" si="32"/>
        <v>42.016743080396992</v>
      </c>
      <c r="J92" s="64">
        <f t="shared" si="33"/>
        <v>47.983256919603008</v>
      </c>
      <c r="K92" s="65">
        <f t="shared" si="34"/>
        <v>-66.895862382473751</v>
      </c>
      <c r="L92" s="64">
        <f t="shared" si="35"/>
        <v>48.722015203820881</v>
      </c>
      <c r="M92" s="64">
        <f t="shared" si="36"/>
        <v>41.277984796179119</v>
      </c>
      <c r="N92" s="65">
        <f t="shared" si="37"/>
        <v>-53.334031718587902</v>
      </c>
      <c r="O92" s="64">
        <f t="shared" si="38"/>
        <v>56.705278168644305</v>
      </c>
      <c r="P92" s="64">
        <f t="shared" si="39"/>
        <v>33.294721831355695</v>
      </c>
      <c r="Q92" s="65">
        <f t="shared" si="40"/>
        <v>-42.510706082960191</v>
      </c>
      <c r="R92" s="64">
        <f t="shared" si="41"/>
        <v>49.400920787168488</v>
      </c>
      <c r="S92" s="59">
        <f t="shared" si="42"/>
        <v>40.599079212831512</v>
      </c>
      <c r="T92" s="58">
        <f t="shared" si="43"/>
        <v>-52.254843152606981</v>
      </c>
      <c r="U92" s="69"/>
      <c r="V92" s="53"/>
      <c r="X92" s="50"/>
      <c r="Y92" s="50"/>
      <c r="Z92" s="50"/>
      <c r="AA92" s="50"/>
      <c r="AB92" s="50"/>
      <c r="AC92" s="50"/>
    </row>
    <row r="93" spans="1:29" x14ac:dyDescent="0.2">
      <c r="A93" s="67">
        <v>-37</v>
      </c>
      <c r="B93" s="66">
        <f t="shared" si="25"/>
        <v>-0.64577182323790194</v>
      </c>
      <c r="C93" s="64">
        <f t="shared" si="26"/>
        <v>34.57149522041825</v>
      </c>
      <c r="D93" s="64">
        <f t="shared" si="27"/>
        <v>55.42850477958175</v>
      </c>
      <c r="E93" s="65">
        <f t="shared" si="28"/>
        <v>-103.34609722167868</v>
      </c>
      <c r="F93" s="64">
        <f t="shared" si="29"/>
        <v>36.39077522394242</v>
      </c>
      <c r="G93" s="64">
        <f t="shared" si="30"/>
        <v>53.60922477605758</v>
      </c>
      <c r="H93" s="64">
        <f t="shared" si="31"/>
        <v>-83.31672774553067</v>
      </c>
      <c r="I93" s="72">
        <f t="shared" si="32"/>
        <v>41.152001406550298</v>
      </c>
      <c r="J93" s="64">
        <f t="shared" si="33"/>
        <v>48.847998593449702</v>
      </c>
      <c r="K93" s="65">
        <f t="shared" si="34"/>
        <v>-66.139157426735693</v>
      </c>
      <c r="L93" s="64">
        <f t="shared" si="35"/>
        <v>47.969883807146545</v>
      </c>
      <c r="M93" s="64">
        <f t="shared" si="36"/>
        <v>42.030116192853455</v>
      </c>
      <c r="N93" s="65">
        <f t="shared" si="37"/>
        <v>-52.494979643432671</v>
      </c>
      <c r="O93" s="64">
        <f t="shared" si="38"/>
        <v>56.073035371425355</v>
      </c>
      <c r="P93" s="64">
        <f t="shared" si="39"/>
        <v>33.926964628574645</v>
      </c>
      <c r="Q93" s="65">
        <f t="shared" si="40"/>
        <v>-41.712490624534162</v>
      </c>
      <c r="R93" s="64">
        <f t="shared" si="41"/>
        <v>48.659631315241334</v>
      </c>
      <c r="S93" s="59">
        <f t="shared" si="42"/>
        <v>41.340368684758666</v>
      </c>
      <c r="T93" s="58">
        <f t="shared" si="43"/>
        <v>-51.415612719128589</v>
      </c>
      <c r="U93" s="69"/>
      <c r="V93" s="53"/>
      <c r="X93" s="50"/>
      <c r="Y93" s="50"/>
      <c r="Z93" s="50"/>
      <c r="AA93" s="50"/>
      <c r="AB93" s="50"/>
      <c r="AC93" s="50"/>
    </row>
    <row r="94" spans="1:29" x14ac:dyDescent="0.2">
      <c r="A94" s="67">
        <v>-36</v>
      </c>
      <c r="B94" s="66">
        <f t="shared" si="25"/>
        <v>-0.62831853071795862</v>
      </c>
      <c r="C94" s="64">
        <f t="shared" si="26"/>
        <v>33.654114749685142</v>
      </c>
      <c r="D94" s="64">
        <f t="shared" si="27"/>
        <v>56.345885250314858</v>
      </c>
      <c r="E94" s="65">
        <f t="shared" si="28"/>
        <v>-103.33392734688282</v>
      </c>
      <c r="F94" s="64">
        <f t="shared" si="29"/>
        <v>35.454844019096157</v>
      </c>
      <c r="G94" s="64">
        <f t="shared" si="30"/>
        <v>54.545155980903843</v>
      </c>
      <c r="H94" s="64">
        <f t="shared" si="31"/>
        <v>-82.826421594804074</v>
      </c>
      <c r="I94" s="72">
        <f t="shared" si="32"/>
        <v>40.292385327187468</v>
      </c>
      <c r="J94" s="64">
        <f t="shared" si="33"/>
        <v>49.707614672812532</v>
      </c>
      <c r="K94" s="65">
        <f t="shared" si="34"/>
        <v>-65.355936649180734</v>
      </c>
      <c r="L94" s="64">
        <f t="shared" si="35"/>
        <v>47.226276874673175</v>
      </c>
      <c r="M94" s="64">
        <f t="shared" si="36"/>
        <v>42.773723125326825</v>
      </c>
      <c r="N94" s="65">
        <f t="shared" si="37"/>
        <v>-51.632335462006637</v>
      </c>
      <c r="O94" s="64">
        <f t="shared" si="38"/>
        <v>55.450703056505908</v>
      </c>
      <c r="P94" s="64">
        <f t="shared" si="39"/>
        <v>34.549296943494092</v>
      </c>
      <c r="Q94" s="65">
        <f t="shared" si="40"/>
        <v>-40.897141563373594</v>
      </c>
      <c r="R94" s="64">
        <f t="shared" si="41"/>
        <v>47.92707303134911</v>
      </c>
      <c r="S94" s="59">
        <f t="shared" si="42"/>
        <v>42.07292696865089</v>
      </c>
      <c r="T94" s="58">
        <f t="shared" si="43"/>
        <v>-50.553337672668647</v>
      </c>
      <c r="U94" s="69"/>
      <c r="V94" s="53"/>
      <c r="X94" s="50"/>
      <c r="Y94" s="50"/>
      <c r="Z94" s="50"/>
      <c r="AA94" s="50"/>
      <c r="AB94" s="50"/>
      <c r="AC94" s="50"/>
    </row>
    <row r="95" spans="1:29" x14ac:dyDescent="0.2">
      <c r="A95" s="67">
        <v>-35</v>
      </c>
      <c r="B95" s="66">
        <f t="shared" si="25"/>
        <v>-0.6108652381980153</v>
      </c>
      <c r="C95" s="64">
        <f t="shared" si="26"/>
        <v>32.736709053610802</v>
      </c>
      <c r="D95" s="64">
        <f t="shared" si="27"/>
        <v>57.263290946389198</v>
      </c>
      <c r="E95" s="65">
        <f t="shared" si="28"/>
        <v>-103.33293997767244</v>
      </c>
      <c r="F95" s="64">
        <f t="shared" si="29"/>
        <v>34.519938311415054</v>
      </c>
      <c r="G95" s="64">
        <f t="shared" si="30"/>
        <v>55.480061688584946</v>
      </c>
      <c r="H95" s="64">
        <f t="shared" si="31"/>
        <v>-82.31895826594608</v>
      </c>
      <c r="I95" s="72">
        <f t="shared" si="32"/>
        <v>39.438240247735465</v>
      </c>
      <c r="J95" s="64">
        <f t="shared" si="33"/>
        <v>50.561759752264535</v>
      </c>
      <c r="K95" s="65">
        <f t="shared" si="34"/>
        <v>-64.544587197488653</v>
      </c>
      <c r="L95" s="64">
        <f t="shared" si="35"/>
        <v>46.49160604645062</v>
      </c>
      <c r="M95" s="64">
        <f t="shared" si="36"/>
        <v>43.50839395354938</v>
      </c>
      <c r="N95" s="65">
        <f t="shared" si="37"/>
        <v>-50.745236619638959</v>
      </c>
      <c r="O95" s="64">
        <f t="shared" si="38"/>
        <v>54.838620884168826</v>
      </c>
      <c r="P95" s="64">
        <f t="shared" si="39"/>
        <v>35.161379115831174</v>
      </c>
      <c r="Q95" s="65">
        <f t="shared" si="40"/>
        <v>-40.064363346990831</v>
      </c>
      <c r="R95" s="64">
        <f t="shared" si="41"/>
        <v>47.203654743170517</v>
      </c>
      <c r="S95" s="59">
        <f t="shared" si="42"/>
        <v>42.796345256829483</v>
      </c>
      <c r="T95" s="58">
        <f t="shared" si="43"/>
        <v>-49.66722087321638</v>
      </c>
      <c r="U95" s="69"/>
      <c r="V95" s="53"/>
      <c r="X95" s="50"/>
      <c r="Y95" s="50"/>
      <c r="Z95" s="50"/>
      <c r="AA95" s="50"/>
      <c r="AB95" s="50"/>
      <c r="AC95" s="50"/>
    </row>
    <row r="96" spans="1:29" x14ac:dyDescent="0.2">
      <c r="A96" s="67">
        <v>-34</v>
      </c>
      <c r="B96" s="66">
        <f t="shared" si="25"/>
        <v>-0.59341194567807209</v>
      </c>
      <c r="C96" s="64">
        <f t="shared" si="26"/>
        <v>31.819322163558162</v>
      </c>
      <c r="D96" s="64">
        <f t="shared" si="27"/>
        <v>58.180677836441838</v>
      </c>
      <c r="E96" s="65">
        <f t="shared" si="28"/>
        <v>-103.34398708197291</v>
      </c>
      <c r="F96" s="64">
        <f t="shared" si="29"/>
        <v>33.586169616650203</v>
      </c>
      <c r="G96" s="64">
        <f t="shared" si="30"/>
        <v>56.413830383349797</v>
      </c>
      <c r="H96" s="64">
        <f t="shared" si="31"/>
        <v>-81.792835420251521</v>
      </c>
      <c r="I96" s="72">
        <f t="shared" si="32"/>
        <v>38.589939530780811</v>
      </c>
      <c r="J96" s="64">
        <f t="shared" si="33"/>
        <v>51.410060469219189</v>
      </c>
      <c r="K96" s="65">
        <f t="shared" si="34"/>
        <v>-63.703387950758071</v>
      </c>
      <c r="L96" s="64">
        <f t="shared" si="35"/>
        <v>45.766304225954151</v>
      </c>
      <c r="M96" s="64">
        <f t="shared" si="36"/>
        <v>44.233695774045849</v>
      </c>
      <c r="N96" s="65">
        <f t="shared" si="37"/>
        <v>-49.832804333949909</v>
      </c>
      <c r="O96" s="64">
        <f t="shared" si="38"/>
        <v>54.237138091449332</v>
      </c>
      <c r="P96" s="64">
        <f t="shared" si="39"/>
        <v>35.762861908550668</v>
      </c>
      <c r="Q96" s="65">
        <f t="shared" si="40"/>
        <v>-39.213873147264678</v>
      </c>
      <c r="R96" s="64">
        <f t="shared" si="41"/>
        <v>46.489805391603682</v>
      </c>
      <c r="S96" s="59">
        <f t="shared" si="42"/>
        <v>43.510194608396318</v>
      </c>
      <c r="T96" s="58">
        <f t="shared" si="43"/>
        <v>-48.756453891115306</v>
      </c>
      <c r="U96" s="69"/>
      <c r="V96" s="53"/>
      <c r="X96" s="50"/>
      <c r="Y96" s="50"/>
      <c r="Z96" s="50"/>
      <c r="AA96" s="50"/>
      <c r="AB96" s="50"/>
      <c r="AC96" s="50"/>
    </row>
    <row r="97" spans="1:29" x14ac:dyDescent="0.2">
      <c r="A97" s="67">
        <v>-33</v>
      </c>
      <c r="B97" s="66">
        <f t="shared" si="25"/>
        <v>-0.57595865315812877</v>
      </c>
      <c r="C97" s="64">
        <f t="shared" si="26"/>
        <v>30.902001592651263</v>
      </c>
      <c r="D97" s="64">
        <f t="shared" si="27"/>
        <v>59.09799840734874</v>
      </c>
      <c r="E97" s="65">
        <f t="shared" si="28"/>
        <v>-103.36802549023905</v>
      </c>
      <c r="F97" s="64">
        <f t="shared" si="29"/>
        <v>32.653661093778069</v>
      </c>
      <c r="G97" s="64">
        <f t="shared" si="30"/>
        <v>57.346338906221931</v>
      </c>
      <c r="H97" s="64">
        <f t="shared" si="31"/>
        <v>-81.246388249008675</v>
      </c>
      <c r="I97" s="72">
        <f t="shared" si="32"/>
        <v>37.747887108210605</v>
      </c>
      <c r="J97" s="64">
        <f t="shared" si="33"/>
        <v>52.252112891789395</v>
      </c>
      <c r="K97" s="65">
        <f t="shared" si="34"/>
        <v>-62.830502635655947</v>
      </c>
      <c r="L97" s="64">
        <f t="shared" si="35"/>
        <v>45.050826435090208</v>
      </c>
      <c r="M97" s="64">
        <f t="shared" si="36"/>
        <v>44.949173564909792</v>
      </c>
      <c r="N97" s="65">
        <f t="shared" si="37"/>
        <v>-48.894146309680501</v>
      </c>
      <c r="O97" s="64">
        <f t="shared" si="38"/>
        <v>53.646613360260574</v>
      </c>
      <c r="P97" s="64">
        <f t="shared" si="39"/>
        <v>36.353386639739426</v>
      </c>
      <c r="Q97" s="65">
        <f t="shared" si="40"/>
        <v>-38.345403170312196</v>
      </c>
      <c r="R97" s="64">
        <f t="shared" si="41"/>
        <v>45.785974765351995</v>
      </c>
      <c r="S97" s="59">
        <f t="shared" si="42"/>
        <v>44.214025234648005</v>
      </c>
      <c r="T97" s="58">
        <f t="shared" si="43"/>
        <v>-47.820219898042239</v>
      </c>
      <c r="U97" s="69"/>
      <c r="V97" s="53"/>
      <c r="X97" s="50"/>
    </row>
    <row r="98" spans="1:29" x14ac:dyDescent="0.2">
      <c r="A98" s="67">
        <v>-32</v>
      </c>
      <c r="B98" s="66">
        <f t="shared" si="25"/>
        <v>-0.55850536063818546</v>
      </c>
      <c r="C98" s="64">
        <f t="shared" si="26"/>
        <v>29.984798907203196</v>
      </c>
      <c r="D98" s="64">
        <f t="shared" si="27"/>
        <v>60.015201092796801</v>
      </c>
      <c r="E98" s="65">
        <f t="shared" si="28"/>
        <v>-103.40613264792286</v>
      </c>
      <c r="F98" s="64">
        <f t="shared" si="29"/>
        <v>31.722549236604287</v>
      </c>
      <c r="G98" s="64">
        <f t="shared" si="30"/>
        <v>58.277450763395713</v>
      </c>
      <c r="H98" s="64">
        <f t="shared" si="31"/>
        <v>-80.677766879423757</v>
      </c>
      <c r="I98" s="72">
        <f t="shared" si="32"/>
        <v>36.912520340370271</v>
      </c>
      <c r="J98" s="64">
        <f t="shared" si="33"/>
        <v>53.087479659629729</v>
      </c>
      <c r="K98" s="65">
        <f t="shared" si="34"/>
        <v>-61.923972878405841</v>
      </c>
      <c r="L98" s="64">
        <f t="shared" si="35"/>
        <v>44.345650638876364</v>
      </c>
      <c r="M98" s="64">
        <f t="shared" si="36"/>
        <v>45.654349361123636</v>
      </c>
      <c r="N98" s="65">
        <f t="shared" si="37"/>
        <v>-47.928360049108278</v>
      </c>
      <c r="O98" s="64">
        <f t="shared" si="38"/>
        <v>53.067414624530379</v>
      </c>
      <c r="P98" s="64">
        <f t="shared" si="39"/>
        <v>36.932585375469621</v>
      </c>
      <c r="Q98" s="65">
        <f t="shared" si="40"/>
        <v>-37.45870313510013</v>
      </c>
      <c r="R98" s="64">
        <f t="shared" si="41"/>
        <v>45.092634174479393</v>
      </c>
      <c r="S98" s="59">
        <f t="shared" si="42"/>
        <v>44.907365825520607</v>
      </c>
      <c r="T98" s="58">
        <f t="shared" si="43"/>
        <v>-46.857697114567912</v>
      </c>
      <c r="U98" s="69"/>
    </row>
    <row r="99" spans="1:29" x14ac:dyDescent="0.2">
      <c r="A99" s="67">
        <v>-31</v>
      </c>
      <c r="B99" s="66">
        <f t="shared" si="25"/>
        <v>-0.54105206811824214</v>
      </c>
      <c r="C99" s="64">
        <f t="shared" si="26"/>
        <v>29.067770403599436</v>
      </c>
      <c r="D99" s="64">
        <f t="shared" si="27"/>
        <v>60.93222959640056</v>
      </c>
      <c r="E99" s="65">
        <f t="shared" si="28"/>
        <v>-103.45952529768897</v>
      </c>
      <c r="F99" s="64">
        <f t="shared" si="29"/>
        <v>30.792985858026864</v>
      </c>
      <c r="G99" s="64">
        <f t="shared" si="30"/>
        <v>59.207014141973133</v>
      </c>
      <c r="H99" s="64">
        <f t="shared" si="31"/>
        <v>-80.08491002908552</v>
      </c>
      <c r="I99" s="72">
        <f t="shared" si="32"/>
        <v>36.084313140199114</v>
      </c>
      <c r="J99" s="64">
        <f t="shared" si="33"/>
        <v>53.915686859800886</v>
      </c>
      <c r="K99" s="65">
        <f t="shared" si="34"/>
        <v>-60.981711323381496</v>
      </c>
      <c r="L99" s="64">
        <f t="shared" si="35"/>
        <v>43.651278524236027</v>
      </c>
      <c r="M99" s="64">
        <f t="shared" si="36"/>
        <v>46.348721475763973</v>
      </c>
      <c r="N99" s="65">
        <f t="shared" si="37"/>
        <v>-46.934536831684689</v>
      </c>
      <c r="O99" s="64">
        <f t="shared" si="38"/>
        <v>52.49991881006158</v>
      </c>
      <c r="P99" s="64">
        <f t="shared" si="39"/>
        <v>37.50008118993842</v>
      </c>
      <c r="Q99" s="65">
        <f t="shared" si="40"/>
        <v>-36.55354291930864</v>
      </c>
      <c r="R99" s="64">
        <f t="shared" si="41"/>
        <v>44.410277067688618</v>
      </c>
      <c r="S99" s="59">
        <f t="shared" si="42"/>
        <v>45.589722932311382</v>
      </c>
      <c r="T99" s="58">
        <f t="shared" si="43"/>
        <v>-45.868062875647865</v>
      </c>
      <c r="U99" s="69"/>
    </row>
    <row r="100" spans="1:29" s="54" customFormat="1" x14ac:dyDescent="0.2">
      <c r="A100" s="63">
        <v>-30</v>
      </c>
      <c r="B100" s="62">
        <f t="shared" si="25"/>
        <v>-0.52359877559829882</v>
      </c>
      <c r="C100" s="60">
        <f t="shared" si="26"/>
        <v>28.150977914416455</v>
      </c>
      <c r="D100" s="60">
        <f t="shared" si="27"/>
        <v>61.849022085583542</v>
      </c>
      <c r="E100" s="61">
        <f t="shared" si="28"/>
        <v>-103.52958174146512</v>
      </c>
      <c r="F100" s="60">
        <f t="shared" si="29"/>
        <v>29.865140426778346</v>
      </c>
      <c r="G100" s="60">
        <f t="shared" si="30"/>
        <v>60.134859573221654</v>
      </c>
      <c r="H100" s="60">
        <f t="shared" si="31"/>
        <v>-79.46551418687632</v>
      </c>
      <c r="I100" s="73">
        <f t="shared" si="32"/>
        <v>35.263779379300516</v>
      </c>
      <c r="J100" s="60">
        <f t="shared" si="33"/>
        <v>54.736220620699484</v>
      </c>
      <c r="K100" s="61">
        <f t="shared" si="34"/>
        <v>-60.001494993983066</v>
      </c>
      <c r="L100" s="60">
        <f t="shared" si="35"/>
        <v>42.968236214644193</v>
      </c>
      <c r="M100" s="60">
        <f t="shared" si="36"/>
        <v>47.031763785355807</v>
      </c>
      <c r="N100" s="61">
        <f t="shared" si="37"/>
        <v>-45.911766440125575</v>
      </c>
      <c r="O100" s="60">
        <f t="shared" si="38"/>
        <v>51.944511500681614</v>
      </c>
      <c r="P100" s="60">
        <f t="shared" si="39"/>
        <v>38.055488499318386</v>
      </c>
      <c r="Q100" s="61">
        <f t="shared" si="40"/>
        <v>-35.62971536825917</v>
      </c>
      <c r="R100" s="60">
        <f t="shared" si="41"/>
        <v>43.739419575713804</v>
      </c>
      <c r="S100" s="59">
        <f t="shared" si="42"/>
        <v>46.260580424286196</v>
      </c>
      <c r="T100" s="58">
        <f t="shared" si="43"/>
        <v>-44.850498377017061</v>
      </c>
      <c r="U100" s="70"/>
      <c r="V100" s="56">
        <f>E100</f>
        <v>-103.52958174146512</v>
      </c>
      <c r="W100" s="55"/>
      <c r="X100" s="55"/>
      <c r="AC100" s="55">
        <f>D100</f>
        <v>61.849022085583542</v>
      </c>
    </row>
    <row r="101" spans="1:29" x14ac:dyDescent="0.2">
      <c r="A101" s="67">
        <v>-29</v>
      </c>
      <c r="B101" s="66">
        <f t="shared" si="25"/>
        <v>-0.50614548307835561</v>
      </c>
      <c r="C101" s="64">
        <f t="shared" si="26"/>
        <v>27.234489773829871</v>
      </c>
      <c r="D101" s="64">
        <f t="shared" si="27"/>
        <v>62.765510226170129</v>
      </c>
      <c r="E101" s="65">
        <f t="shared" si="28"/>
        <v>-103.61786850127879</v>
      </c>
      <c r="F101" s="64">
        <f t="shared" si="29"/>
        <v>28.939202830487744</v>
      </c>
      <c r="G101" s="64">
        <f t="shared" si="30"/>
        <v>61.060797169512256</v>
      </c>
      <c r="H101" s="64">
        <f t="shared" si="31"/>
        <v>-78.816997442445569</v>
      </c>
      <c r="I101" s="72">
        <f t="shared" si="32"/>
        <v>34.451476590867273</v>
      </c>
      <c r="J101" s="64">
        <f t="shared" si="33"/>
        <v>55.548523409132727</v>
      </c>
      <c r="K101" s="65">
        <f t="shared" si="34"/>
        <v>-58.980959127630975</v>
      </c>
      <c r="L101" s="64">
        <f t="shared" si="35"/>
        <v>42.297074899398901</v>
      </c>
      <c r="M101" s="64">
        <f t="shared" si="36"/>
        <v>47.702925100601099</v>
      </c>
      <c r="N101" s="65">
        <f t="shared" si="37"/>
        <v>-44.859142712499036</v>
      </c>
      <c r="O101" s="64">
        <f t="shared" si="38"/>
        <v>51.401586524182626</v>
      </c>
      <c r="P101" s="64">
        <f t="shared" si="39"/>
        <v>38.598413475817374</v>
      </c>
      <c r="Q101" s="65">
        <f t="shared" si="40"/>
        <v>-34.687039259585234</v>
      </c>
      <c r="R101" s="64">
        <f t="shared" si="41"/>
        <v>43.08060096068121</v>
      </c>
      <c r="S101" s="59">
        <f t="shared" si="42"/>
        <v>46.91939903931879</v>
      </c>
      <c r="T101" s="58">
        <f t="shared" si="43"/>
        <v>-43.804194165718314</v>
      </c>
      <c r="U101" s="69"/>
      <c r="V101" s="53">
        <f>H100</f>
        <v>-79.46551418687632</v>
      </c>
      <c r="AC101" s="50">
        <f>G100</f>
        <v>60.134859573221654</v>
      </c>
    </row>
    <row r="102" spans="1:29" x14ac:dyDescent="0.2">
      <c r="A102" s="67">
        <v>-28</v>
      </c>
      <c r="B102" s="66">
        <f t="shared" si="25"/>
        <v>-0.48869219055841229</v>
      </c>
      <c r="C102" s="64">
        <f t="shared" si="26"/>
        <v>26.31838198055679</v>
      </c>
      <c r="D102" s="64">
        <f t="shared" si="27"/>
        <v>63.681618019443206</v>
      </c>
      <c r="E102" s="65">
        <f t="shared" si="28"/>
        <v>-103.72617241720803</v>
      </c>
      <c r="F102" s="64">
        <f t="shared" si="29"/>
        <v>28.015386656620564</v>
      </c>
      <c r="G102" s="64">
        <f t="shared" si="30"/>
        <v>61.984613343379436</v>
      </c>
      <c r="H102" s="64">
        <f t="shared" si="31"/>
        <v>-78.136456894266118</v>
      </c>
      <c r="I102" s="72">
        <f t="shared" si="32"/>
        <v>33.648009980946334</v>
      </c>
      <c r="J102" s="64">
        <f t="shared" si="33"/>
        <v>56.351990019053666</v>
      </c>
      <c r="K102" s="65">
        <f t="shared" si="34"/>
        <v>-57.917591786309373</v>
      </c>
      <c r="L102" s="64">
        <f t="shared" si="35"/>
        <v>41.638371353101796</v>
      </c>
      <c r="M102" s="64">
        <f t="shared" si="36"/>
        <v>48.361628646898204</v>
      </c>
      <c r="N102" s="65">
        <f t="shared" si="37"/>
        <v>-43.775770000376987</v>
      </c>
      <c r="O102" s="64">
        <f t="shared" si="38"/>
        <v>50.871545451591217</v>
      </c>
      <c r="P102" s="64">
        <f t="shared" si="39"/>
        <v>39.128454548408783</v>
      </c>
      <c r="Q102" s="65">
        <f t="shared" si="40"/>
        <v>-33.725362412746946</v>
      </c>
      <c r="R102" s="64">
        <f t="shared" si="41"/>
        <v>42.434383948613743</v>
      </c>
      <c r="S102" s="59">
        <f t="shared" si="42"/>
        <v>47.565616051386257</v>
      </c>
      <c r="T102" s="58">
        <f t="shared" si="43"/>
        <v>-42.728356436444095</v>
      </c>
      <c r="U102" s="69"/>
      <c r="V102" s="53">
        <f>K100</f>
        <v>-60.001494993983066</v>
      </c>
      <c r="AC102" s="50">
        <f>J100</f>
        <v>54.736220620699484</v>
      </c>
    </row>
    <row r="103" spans="1:29" x14ac:dyDescent="0.2">
      <c r="A103" s="67">
        <v>-27</v>
      </c>
      <c r="B103" s="66">
        <f t="shared" si="25"/>
        <v>-0.47123889803846897</v>
      </c>
      <c r="C103" s="64">
        <f t="shared" si="26"/>
        <v>25.402739607348419</v>
      </c>
      <c r="D103" s="64">
        <f t="shared" si="27"/>
        <v>64.597260392651577</v>
      </c>
      <c r="E103" s="65">
        <f t="shared" si="28"/>
        <v>-103.85653950783926</v>
      </c>
      <c r="F103" s="64">
        <f t="shared" si="29"/>
        <v>27.093933105335733</v>
      </c>
      <c r="G103" s="64">
        <f t="shared" si="30"/>
        <v>62.906066894664264</v>
      </c>
      <c r="H103" s="64">
        <f t="shared" si="31"/>
        <v>-77.420618329271122</v>
      </c>
      <c r="I103" s="72">
        <f t="shared" si="32"/>
        <v>32.854036754222825</v>
      </c>
      <c r="J103" s="64">
        <f t="shared" si="33"/>
        <v>57.145963245777175</v>
      </c>
      <c r="K103" s="65">
        <f t="shared" si="34"/>
        <v>-56.808729629492881</v>
      </c>
      <c r="L103" s="64">
        <f t="shared" si="35"/>
        <v>40.9927283175494</v>
      </c>
      <c r="M103" s="64">
        <f t="shared" si="36"/>
        <v>49.0072716824506</v>
      </c>
      <c r="N103" s="65">
        <f t="shared" si="37"/>
        <v>-42.660770611237687</v>
      </c>
      <c r="O103" s="64">
        <f t="shared" si="38"/>
        <v>50.354797003465947</v>
      </c>
      <c r="P103" s="64">
        <f t="shared" si="39"/>
        <v>39.645202996534053</v>
      </c>
      <c r="Q103" s="65">
        <f t="shared" si="40"/>
        <v>-32.744564928471718</v>
      </c>
      <c r="R103" s="64">
        <f t="shared" si="41"/>
        <v>41.801354919484218</v>
      </c>
      <c r="S103" s="59">
        <f t="shared" si="42"/>
        <v>48.198645080515782</v>
      </c>
      <c r="T103" s="58">
        <f t="shared" si="43"/>
        <v>-41.622214191504249</v>
      </c>
      <c r="U103" s="69"/>
      <c r="V103" s="53">
        <f>N100</f>
        <v>-45.911766440125575</v>
      </c>
      <c r="X103" s="50"/>
      <c r="AC103" s="50">
        <f>M100</f>
        <v>47.031763785355807</v>
      </c>
    </row>
    <row r="104" spans="1:29" x14ac:dyDescent="0.2">
      <c r="A104" s="67">
        <v>-26</v>
      </c>
      <c r="B104" s="66">
        <f t="shared" si="25"/>
        <v>-0.4537856055185257</v>
      </c>
      <c r="C104" s="64">
        <f t="shared" si="26"/>
        <v>24.487658520334183</v>
      </c>
      <c r="D104" s="64">
        <f t="shared" si="27"/>
        <v>65.512341479665821</v>
      </c>
      <c r="E104" s="65">
        <f t="shared" si="28"/>
        <v>-104.01132229711212</v>
      </c>
      <c r="F104" s="64">
        <f t="shared" si="29"/>
        <v>26.175115676943786</v>
      </c>
      <c r="G104" s="64">
        <f t="shared" si="30"/>
        <v>63.82488432305621</v>
      </c>
      <c r="H104" s="64">
        <f t="shared" si="31"/>
        <v>-76.665776574694519</v>
      </c>
      <c r="I104" s="72">
        <f t="shared" si="32"/>
        <v>32.070270752744996</v>
      </c>
      <c r="J104" s="64">
        <f t="shared" si="33"/>
        <v>57.929729247255004</v>
      </c>
      <c r="K104" s="65">
        <f t="shared" si="34"/>
        <v>-55.651555339930219</v>
      </c>
      <c r="L104" s="64">
        <f t="shared" si="35"/>
        <v>40.360774714731633</v>
      </c>
      <c r="M104" s="64">
        <f t="shared" si="36"/>
        <v>49.639225285268367</v>
      </c>
      <c r="N104" s="65">
        <f t="shared" si="37"/>
        <v>-41.513293308320442</v>
      </c>
      <c r="O104" s="64">
        <f t="shared" si="38"/>
        <v>49.851756357221099</v>
      </c>
      <c r="P104" s="64">
        <f t="shared" si="39"/>
        <v>40.148243642778901</v>
      </c>
      <c r="Q104" s="65">
        <f t="shared" si="40"/>
        <v>-31.744562538757208</v>
      </c>
      <c r="R104" s="64">
        <f t="shared" si="41"/>
        <v>41.182123926429583</v>
      </c>
      <c r="S104" s="59">
        <f t="shared" si="42"/>
        <v>48.817876073570417</v>
      </c>
      <c r="T104" s="58">
        <f t="shared" si="43"/>
        <v>-40.485027315475875</v>
      </c>
      <c r="U104" s="69"/>
      <c r="V104" s="53">
        <f>Q100</f>
        <v>-35.62971536825917</v>
      </c>
      <c r="AC104" s="50">
        <f>P100</f>
        <v>38.055488499318386</v>
      </c>
    </row>
    <row r="105" spans="1:29" x14ac:dyDescent="0.2">
      <c r="A105" s="67">
        <v>-25</v>
      </c>
      <c r="B105" s="66">
        <f t="shared" si="25"/>
        <v>-0.43633231299858238</v>
      </c>
      <c r="C105" s="64">
        <f t="shared" si="26"/>
        <v>23.57324749062365</v>
      </c>
      <c r="D105" s="64">
        <f t="shared" si="27"/>
        <v>66.426752509376342</v>
      </c>
      <c r="E105" s="65">
        <f t="shared" si="28"/>
        <v>-104.19323781443035</v>
      </c>
      <c r="F105" s="64">
        <f t="shared" si="29"/>
        <v>25.259245813305476</v>
      </c>
      <c r="G105" s="64">
        <f t="shared" si="30"/>
        <v>64.740754186694517</v>
      </c>
      <c r="H105" s="64">
        <f t="shared" si="31"/>
        <v>-75.867724562665728</v>
      </c>
      <c r="I105" s="72">
        <f t="shared" si="32"/>
        <v>31.297487395078196</v>
      </c>
      <c r="J105" s="64">
        <f t="shared" si="33"/>
        <v>58.702512604921807</v>
      </c>
      <c r="K105" s="65">
        <f t="shared" si="34"/>
        <v>-54.44309731691741</v>
      </c>
      <c r="L105" s="64">
        <f t="shared" si="35"/>
        <v>39.74316565610166</v>
      </c>
      <c r="M105" s="64">
        <f t="shared" si="36"/>
        <v>50.25683434389834</v>
      </c>
      <c r="N105" s="65">
        <f t="shared" si="37"/>
        <v>-40.332522932246462</v>
      </c>
      <c r="O105" s="64">
        <f t="shared" si="38"/>
        <v>49.362844349937376</v>
      </c>
      <c r="P105" s="64">
        <f t="shared" si="39"/>
        <v>40.637155650062624</v>
      </c>
      <c r="Q105" s="65">
        <f t="shared" si="40"/>
        <v>-30.725310043234234</v>
      </c>
      <c r="R105" s="64">
        <f t="shared" si="41"/>
        <v>40.577324513021139</v>
      </c>
      <c r="S105" s="59">
        <f t="shared" si="42"/>
        <v>49.422675486978861</v>
      </c>
      <c r="T105" s="58">
        <f t="shared" si="43"/>
        <v>-39.31609560532948</v>
      </c>
      <c r="U105" s="69"/>
    </row>
    <row r="106" spans="1:29" x14ac:dyDescent="0.2">
      <c r="A106" s="67">
        <v>-24</v>
      </c>
      <c r="B106" s="66">
        <f t="shared" si="25"/>
        <v>-0.41887902047863912</v>
      </c>
      <c r="C106" s="64">
        <f t="shared" si="26"/>
        <v>22.659630806360674</v>
      </c>
      <c r="D106" s="64">
        <f t="shared" si="27"/>
        <v>67.340369193639333</v>
      </c>
      <c r="E106" s="65">
        <f t="shared" ref="E106:E130" si="44">DEGREES(-ACOS((SIN(RADIANS(D106))*SIN($C$6)-SIN(C$5))/(COS(RADIANS(D106))*COS($C$6))))</f>
        <v>-104.40543914895787</v>
      </c>
      <c r="F106" s="64">
        <f t="shared" si="29"/>
        <v>24.34667971958692</v>
      </c>
      <c r="G106" s="64">
        <f t="shared" si="30"/>
        <v>65.653320280413084</v>
      </c>
      <c r="H106" s="64">
        <f t="shared" ref="H106:H130" si="45">DEGREES(-ACOS((SIN(RADIANS(G106))*SIN($C$6)-SIN(G$5))/(COS(RADIANS(G106))*COS($C$6))))</f>
        <v>-75.021668706203201</v>
      </c>
      <c r="I106" s="72">
        <f t="shared" si="32"/>
        <v>30.536528888398344</v>
      </c>
      <c r="J106" s="64">
        <f t="shared" si="33"/>
        <v>59.463471111601656</v>
      </c>
      <c r="K106" s="65">
        <f t="shared" ref="K106:K130" si="46">DEGREES(-ACOS((SIN(RADIANS(J106))*SIN($C$6)-SIN(J$5))/(COS(RADIANS(J106))*COS($C$6))))</f>
        <v>-53.180232398143872</v>
      </c>
      <c r="L106" s="64">
        <f t="shared" si="35"/>
        <v>39.140582209847992</v>
      </c>
      <c r="M106" s="64">
        <f t="shared" si="36"/>
        <v>50.859417790152008</v>
      </c>
      <c r="N106" s="65">
        <f t="shared" ref="N106:N130" si="47">DEGREES(-ACOS((SIN(RADIANS(M106))*SIN($C$6)-SIN(M$5))/(COS(RADIANS(M106))*COS($C$6))))</f>
        <v>-39.117691195055485</v>
      </c>
      <c r="O106" s="64">
        <f t="shared" si="38"/>
        <v>48.888486571764915</v>
      </c>
      <c r="P106" s="64">
        <f t="shared" si="39"/>
        <v>41.111513428235085</v>
      </c>
      <c r="Q106" s="65">
        <f t="shared" ref="Q106:Q130" si="48">DEGREES(-ACOS((SIN(RADIANS(P106))*SIN($C$6)-SIN(P$5))/(COS(RADIANS(P106))*COS($C$6))))</f>
        <v>-29.686804802515642</v>
      </c>
      <c r="R106" s="64">
        <f t="shared" si="41"/>
        <v>39.987613294962777</v>
      </c>
      <c r="S106" s="59">
        <f t="shared" si="42"/>
        <v>50.012386705037223</v>
      </c>
      <c r="T106" s="58">
        <f t="shared" ref="T106:T130" si="49">DEGREES(-ACOS((SIN(RADIANS(S106))*SIN($C$6)-SIN(S$5))/(COS(RADIANS(S106))*COS($C$6))))</f>
        <v>-38.114768782396872</v>
      </c>
      <c r="U106" s="69"/>
      <c r="V106" s="53"/>
      <c r="X106" s="50"/>
    </row>
    <row r="107" spans="1:29" x14ac:dyDescent="0.2">
      <c r="A107" s="67">
        <v>-23</v>
      </c>
      <c r="B107" s="66">
        <f t="shared" si="25"/>
        <v>-0.4014257279586958</v>
      </c>
      <c r="C107" s="64">
        <f t="shared" si="26"/>
        <v>21.746951528567312</v>
      </c>
      <c r="D107" s="64">
        <f t="shared" si="27"/>
        <v>68.253048471432692</v>
      </c>
      <c r="E107" s="65">
        <f t="shared" si="44"/>
        <v>-104.65160435014073</v>
      </c>
      <c r="F107" s="64">
        <f t="shared" si="29"/>
        <v>23.437826653462221</v>
      </c>
      <c r="G107" s="64">
        <f t="shared" si="30"/>
        <v>66.562173346537776</v>
      </c>
      <c r="H107" s="64">
        <f t="shared" si="45"/>
        <v>-74.122127646271551</v>
      </c>
      <c r="I107" s="72">
        <f t="shared" si="32"/>
        <v>29.788309665989281</v>
      </c>
      <c r="J107" s="64">
        <f t="shared" si="33"/>
        <v>60.211690334010719</v>
      </c>
      <c r="K107" s="65">
        <f t="shared" si="46"/>
        <v>-51.859692540661385</v>
      </c>
      <c r="L107" s="64">
        <f t="shared" si="35"/>
        <v>38.553730884736467</v>
      </c>
      <c r="M107" s="64">
        <f t="shared" si="36"/>
        <v>51.446269115263533</v>
      </c>
      <c r="N107" s="65">
        <f t="shared" si="47"/>
        <v>-37.868088677955534</v>
      </c>
      <c r="O107" s="64">
        <f t="shared" si="38"/>
        <v>48.429112345868077</v>
      </c>
      <c r="P107" s="64">
        <f t="shared" si="39"/>
        <v>41.570887654131923</v>
      </c>
      <c r="Q107" s="65">
        <f t="shared" si="48"/>
        <v>-28.629090253729746</v>
      </c>
      <c r="R107" s="64">
        <f t="shared" si="41"/>
        <v>39.413669270419135</v>
      </c>
      <c r="S107" s="59">
        <f t="shared" si="42"/>
        <v>50.586330729580865</v>
      </c>
      <c r="T107" s="58">
        <f t="shared" si="49"/>
        <v>-36.880457493306039</v>
      </c>
      <c r="U107" s="69"/>
    </row>
    <row r="108" spans="1:29" x14ac:dyDescent="0.2">
      <c r="A108" s="67">
        <v>-22</v>
      </c>
      <c r="B108" s="66">
        <f t="shared" si="25"/>
        <v>-0.38397243543875248</v>
      </c>
      <c r="C108" s="64">
        <f t="shared" si="26"/>
        <v>20.835375582498155</v>
      </c>
      <c r="D108" s="64">
        <f t="shared" si="27"/>
        <v>69.164624417501841</v>
      </c>
      <c r="E108" s="65">
        <f t="shared" si="44"/>
        <v>-104.93604770929979</v>
      </c>
      <c r="F108" s="64">
        <f t="shared" si="29"/>
        <v>22.533159047277707</v>
      </c>
      <c r="G108" s="64">
        <f t="shared" si="30"/>
        <v>67.466840952722293</v>
      </c>
      <c r="H108" s="64">
        <f t="shared" si="45"/>
        <v>-73.162810778908579</v>
      </c>
      <c r="I108" s="72">
        <f t="shared" si="32"/>
        <v>29.053821976330628</v>
      </c>
      <c r="J108" s="64">
        <f t="shared" si="33"/>
        <v>60.946178023669376</v>
      </c>
      <c r="K108" s="65">
        <f t="shared" si="46"/>
        <v>-50.478076582869306</v>
      </c>
      <c r="L108" s="64">
        <f t="shared" si="35"/>
        <v>37.983342786408258</v>
      </c>
      <c r="M108" s="64">
        <f t="shared" si="36"/>
        <v>52.016657213591742</v>
      </c>
      <c r="N108" s="65">
        <f t="shared" si="47"/>
        <v>-36.583078038135731</v>
      </c>
      <c r="O108" s="64">
        <f t="shared" si="38"/>
        <v>47.985153591922419</v>
      </c>
      <c r="P108" s="64">
        <f t="shared" si="39"/>
        <v>42.014846408077581</v>
      </c>
      <c r="Q108" s="65">
        <f t="shared" si="48"/>
        <v>-27.552259407868142</v>
      </c>
      <c r="R108" s="64">
        <f t="shared" si="41"/>
        <v>38.856192821543189</v>
      </c>
      <c r="S108" s="59">
        <f t="shared" si="42"/>
        <v>51.143807178456811</v>
      </c>
      <c r="T108" s="58">
        <f t="shared" si="49"/>
        <v>-35.612645282351643</v>
      </c>
      <c r="U108" s="69"/>
    </row>
    <row r="109" spans="1:29" x14ac:dyDescent="0.2">
      <c r="A109" s="67">
        <v>-21</v>
      </c>
      <c r="B109" s="66">
        <f t="shared" si="25"/>
        <v>-0.36651914291880922</v>
      </c>
      <c r="C109" s="64">
        <f t="shared" si="26"/>
        <v>19.925096943558877</v>
      </c>
      <c r="D109" s="64">
        <f t="shared" si="27"/>
        <v>70.074903056441116</v>
      </c>
      <c r="E109" s="65">
        <f t="shared" si="44"/>
        <v>-105.26386016844658</v>
      </c>
      <c r="F109" s="64">
        <f t="shared" si="29"/>
        <v>21.63322493025473</v>
      </c>
      <c r="G109" s="64">
        <f t="shared" si="30"/>
        <v>68.366775069745273</v>
      </c>
      <c r="H109" s="64">
        <f t="shared" si="45"/>
        <v>-72.136472198899398</v>
      </c>
      <c r="I109" s="72">
        <f t="shared" si="32"/>
        <v>28.334141516187646</v>
      </c>
      <c r="J109" s="64">
        <f t="shared" si="33"/>
        <v>61.665858483812357</v>
      </c>
      <c r="K109" s="65">
        <f t="shared" si="46"/>
        <v>-49.031868418487377</v>
      </c>
      <c r="L109" s="64">
        <f t="shared" si="35"/>
        <v>37.430172400077581</v>
      </c>
      <c r="M109" s="64">
        <f t="shared" si="36"/>
        <v>52.569827599922419</v>
      </c>
      <c r="N109" s="65">
        <f t="shared" si="47"/>
        <v>-35.262108396614259</v>
      </c>
      <c r="O109" s="64">
        <f t="shared" si="38"/>
        <v>47.557043571462145</v>
      </c>
      <c r="P109" s="64">
        <f t="shared" si="39"/>
        <v>42.442956428537855</v>
      </c>
      <c r="Q109" s="65">
        <f t="shared" si="48"/>
        <v>-26.456458283002039</v>
      </c>
      <c r="R109" s="64">
        <f t="shared" si="41"/>
        <v>38.315904368898074</v>
      </c>
      <c r="S109" s="59">
        <f t="shared" si="42"/>
        <v>51.684095631101926</v>
      </c>
      <c r="T109" s="58">
        <f t="shared" si="49"/>
        <v>-34.310901487199402</v>
      </c>
      <c r="U109" s="69"/>
      <c r="V109" s="53"/>
      <c r="X109" s="50"/>
    </row>
    <row r="110" spans="1:29" x14ac:dyDescent="0.2">
      <c r="A110" s="67">
        <v>-20</v>
      </c>
      <c r="B110" s="66">
        <f t="shared" si="25"/>
        <v>-0.3490658503988659</v>
      </c>
      <c r="C110" s="64">
        <f t="shared" si="26"/>
        <v>19.016344271623858</v>
      </c>
      <c r="D110" s="64">
        <f t="shared" si="27"/>
        <v>70.983655728376135</v>
      </c>
      <c r="E110" s="65">
        <f t="shared" si="44"/>
        <v>-105.64108798205984</v>
      </c>
      <c r="F110" s="64">
        <f t="shared" si="29"/>
        <v>20.738663249441402</v>
      </c>
      <c r="G110" s="64">
        <f t="shared" si="30"/>
        <v>69.261336750558598</v>
      </c>
      <c r="H110" s="64">
        <f t="shared" si="45"/>
        <v>-71.034734803826183</v>
      </c>
      <c r="I110" s="72">
        <f t="shared" si="32"/>
        <v>27.630432957564118</v>
      </c>
      <c r="J110" s="64">
        <f t="shared" si="33"/>
        <v>62.369567042435882</v>
      </c>
      <c r="K110" s="65">
        <f t="shared" si="46"/>
        <v>-47.517463131607421</v>
      </c>
      <c r="L110" s="64">
        <f t="shared" si="35"/>
        <v>36.894995952676098</v>
      </c>
      <c r="M110" s="64">
        <f t="shared" si="36"/>
        <v>53.105004047323902</v>
      </c>
      <c r="N110" s="65">
        <f t="shared" si="47"/>
        <v>-33.904730837632876</v>
      </c>
      <c r="O110" s="64">
        <f t="shared" si="38"/>
        <v>47.145215514899988</v>
      </c>
      <c r="P110" s="64">
        <f t="shared" si="39"/>
        <v>42.854784485100012</v>
      </c>
      <c r="Q110" s="65">
        <f t="shared" si="48"/>
        <v>-25.341889222014832</v>
      </c>
      <c r="R110" s="64">
        <f t="shared" si="41"/>
        <v>37.793542640603434</v>
      </c>
      <c r="S110" s="59">
        <f t="shared" si="42"/>
        <v>52.206457359396566</v>
      </c>
      <c r="T110" s="58">
        <f t="shared" si="49"/>
        <v>-32.974894973036619</v>
      </c>
      <c r="U110" s="69"/>
    </row>
    <row r="111" spans="1:29" x14ac:dyDescent="0.2">
      <c r="A111" s="67">
        <v>-19</v>
      </c>
      <c r="B111" s="66">
        <f t="shared" si="25"/>
        <v>-0.33161255787892263</v>
      </c>
      <c r="C111" s="64">
        <f t="shared" si="26"/>
        <v>18.109389482625694</v>
      </c>
      <c r="D111" s="64">
        <f t="shared" si="27"/>
        <v>71.890610517374313</v>
      </c>
      <c r="E111" s="65">
        <f t="shared" si="44"/>
        <v>-106.07496209988122</v>
      </c>
      <c r="F111" s="64">
        <f t="shared" si="29"/>
        <v>19.850222858548243</v>
      </c>
      <c r="G111" s="64">
        <f t="shared" si="30"/>
        <v>70.14977714145175</v>
      </c>
      <c r="H111" s="64">
        <f t="shared" si="45"/>
        <v>-69.847878317593</v>
      </c>
      <c r="I111" s="72">
        <f t="shared" si="32"/>
        <v>26.943955165908488</v>
      </c>
      <c r="J111" s="64">
        <f t="shared" si="33"/>
        <v>63.056044834091509</v>
      </c>
      <c r="K111" s="65">
        <f t="shared" si="46"/>
        <v>-45.93120285383187</v>
      </c>
      <c r="L111" s="64">
        <f t="shared" si="35"/>
        <v>36.378609307983972</v>
      </c>
      <c r="M111" s="64">
        <f t="shared" si="36"/>
        <v>53.621390692016028</v>
      </c>
      <c r="N111" s="65">
        <f t="shared" si="47"/>
        <v>-32.510614900193914</v>
      </c>
      <c r="O111" s="64">
        <f t="shared" si="38"/>
        <v>46.75010113179809</v>
      </c>
      <c r="P111" s="64">
        <f t="shared" si="39"/>
        <v>43.24989886820191</v>
      </c>
      <c r="Q111" s="65">
        <f t="shared" si="48"/>
        <v>-24.20881403844853</v>
      </c>
      <c r="R111" s="64">
        <f t="shared" si="41"/>
        <v>37.289862519456612</v>
      </c>
      <c r="S111" s="59">
        <f t="shared" si="42"/>
        <v>52.710137480543388</v>
      </c>
      <c r="T111" s="58">
        <f t="shared" si="49"/>
        <v>-31.604408577251494</v>
      </c>
      <c r="U111" s="69"/>
    </row>
    <row r="112" spans="1:29" x14ac:dyDescent="0.2">
      <c r="A112" s="67">
        <v>-18</v>
      </c>
      <c r="B112" s="66">
        <f t="shared" si="25"/>
        <v>-0.31415926535897931</v>
      </c>
      <c r="C112" s="64">
        <f t="shared" si="26"/>
        <v>17.204558941155131</v>
      </c>
      <c r="D112" s="64">
        <f t="shared" si="27"/>
        <v>72.795441058844872</v>
      </c>
      <c r="E112" s="65">
        <f t="shared" si="44"/>
        <v>-106.57419548177941</v>
      </c>
      <c r="F112" s="64">
        <f t="shared" si="29"/>
        <v>18.968786163633126</v>
      </c>
      <c r="G112" s="64">
        <f t="shared" si="30"/>
        <v>71.031213836366874</v>
      </c>
      <c r="H112" s="64">
        <f t="shared" si="45"/>
        <v>-68.564583996603574</v>
      </c>
      <c r="I112" s="72">
        <f t="shared" si="32"/>
        <v>26.276065843813313</v>
      </c>
      <c r="J112" s="64">
        <f t="shared" si="33"/>
        <v>63.723934156186687</v>
      </c>
      <c r="K112" s="65">
        <f t="shared" si="46"/>
        <v>-44.269424286019621</v>
      </c>
      <c r="L112" s="64">
        <f t="shared" si="35"/>
        <v>35.881825350550223</v>
      </c>
      <c r="M112" s="64">
        <f t="shared" si="36"/>
        <v>54.118174649449777</v>
      </c>
      <c r="N112" s="65">
        <f t="shared" si="47"/>
        <v>-31.079565884041813</v>
      </c>
      <c r="O112" s="64">
        <f t="shared" si="38"/>
        <v>46.372129007952232</v>
      </c>
      <c r="P112" s="64">
        <f t="shared" si="39"/>
        <v>43.627870992047768</v>
      </c>
      <c r="Q112" s="65">
        <f t="shared" si="48"/>
        <v>-23.057556929611195</v>
      </c>
      <c r="R112" s="64">
        <f t="shared" si="41"/>
        <v>36.805632434272468</v>
      </c>
      <c r="S112" s="59">
        <f t="shared" si="42"/>
        <v>53.194367565727532</v>
      </c>
      <c r="T112" s="58">
        <f t="shared" si="49"/>
        <v>-30.199354087814765</v>
      </c>
      <c r="U112" s="69"/>
      <c r="V112" s="53"/>
      <c r="X112" s="50"/>
    </row>
    <row r="113" spans="1:30" x14ac:dyDescent="0.2">
      <c r="A113" s="67">
        <v>-17</v>
      </c>
      <c r="B113" s="66">
        <f t="shared" si="25"/>
        <v>-0.29670597283903605</v>
      </c>
      <c r="C113" s="64">
        <f t="shared" si="26"/>
        <v>16.302248242816674</v>
      </c>
      <c r="D113" s="64">
        <f t="shared" si="27"/>
        <v>73.697751757183326</v>
      </c>
      <c r="E113" s="65">
        <f t="shared" si="44"/>
        <v>-107.14937235599677</v>
      </c>
      <c r="F113" s="64">
        <f t="shared" si="29"/>
        <v>18.095398695964946</v>
      </c>
      <c r="G113" s="64">
        <f t="shared" si="30"/>
        <v>71.904601304035054</v>
      </c>
      <c r="H113" s="65">
        <f t="shared" si="45"/>
        <v>-67.171627956504281</v>
      </c>
      <c r="I113" s="64">
        <f t="shared" si="32"/>
        <v>25.628225260601763</v>
      </c>
      <c r="J113" s="64">
        <f t="shared" si="33"/>
        <v>64.371774739398234</v>
      </c>
      <c r="K113" s="65">
        <f t="shared" si="46"/>
        <v>-42.528519942436652</v>
      </c>
      <c r="L113" s="64">
        <f t="shared" si="35"/>
        <v>35.405470818629666</v>
      </c>
      <c r="M113" s="64">
        <f t="shared" si="36"/>
        <v>54.594529181370334</v>
      </c>
      <c r="N113" s="65">
        <f t="shared" si="47"/>
        <v>-29.611542726389128</v>
      </c>
      <c r="O113" s="64">
        <f t="shared" si="38"/>
        <v>46.011722895042894</v>
      </c>
      <c r="P113" s="64">
        <f t="shared" si="39"/>
        <v>43.988277104957106</v>
      </c>
      <c r="Q113" s="65">
        <f t="shared" si="48"/>
        <v>-21.888507092468686</v>
      </c>
      <c r="R113" s="64">
        <f t="shared" si="41"/>
        <v>36.341631266542365</v>
      </c>
      <c r="S113" s="59">
        <f t="shared" si="42"/>
        <v>53.658368733457635</v>
      </c>
      <c r="T113" s="58">
        <f t="shared" si="49"/>
        <v>-28.759787524616939</v>
      </c>
      <c r="U113" s="68"/>
    </row>
    <row r="114" spans="1:30" x14ac:dyDescent="0.2">
      <c r="A114" s="67">
        <v>-16</v>
      </c>
      <c r="B114" s="66">
        <f t="shared" si="25"/>
        <v>-0.27925268031909273</v>
      </c>
      <c r="C114" s="64">
        <f t="shared" si="26"/>
        <v>15.402941977857463</v>
      </c>
      <c r="D114" s="64">
        <f t="shared" si="27"/>
        <v>74.597058022142534</v>
      </c>
      <c r="E114" s="65">
        <f t="shared" si="44"/>
        <v>-107.81346328042919</v>
      </c>
      <c r="F114" s="64">
        <f t="shared" si="29"/>
        <v>17.231306237484763</v>
      </c>
      <c r="G114" s="64">
        <f t="shared" si="30"/>
        <v>72.768693762515241</v>
      </c>
      <c r="H114" s="65">
        <f t="shared" si="45"/>
        <v>-65.65351477130055</v>
      </c>
      <c r="I114" s="64">
        <f t="shared" si="32"/>
        <v>25.001998644895242</v>
      </c>
      <c r="J114" s="64">
        <f t="shared" si="33"/>
        <v>64.998001355104762</v>
      </c>
      <c r="K114" s="65">
        <f t="shared" si="46"/>
        <v>-40.705015174167457</v>
      </c>
      <c r="L114" s="64">
        <f t="shared" si="35"/>
        <v>34.950382553333959</v>
      </c>
      <c r="M114" s="64">
        <f t="shared" si="36"/>
        <v>55.049617446666041</v>
      </c>
      <c r="N114" s="65">
        <f t="shared" si="47"/>
        <v>-28.106676133419288</v>
      </c>
      <c r="O114" s="64">
        <f t="shared" si="38"/>
        <v>45.669299900977343</v>
      </c>
      <c r="P114" s="64">
        <f t="shared" si="39"/>
        <v>44.330700099022657</v>
      </c>
      <c r="Q114" s="65">
        <f t="shared" si="48"/>
        <v>-20.702120975325052</v>
      </c>
      <c r="R114" s="64">
        <f t="shared" si="41"/>
        <v>35.898644750495336</v>
      </c>
      <c r="S114" s="59">
        <f t="shared" si="42"/>
        <v>54.101355249504664</v>
      </c>
      <c r="T114" s="58">
        <f t="shared" si="49"/>
        <v>-27.285924435557497</v>
      </c>
      <c r="U114" s="66"/>
    </row>
    <row r="115" spans="1:30" s="54" customFormat="1" x14ac:dyDescent="0.2">
      <c r="A115" s="63">
        <v>-15</v>
      </c>
      <c r="B115" s="62">
        <f t="shared" si="25"/>
        <v>-0.26179938779914941</v>
      </c>
      <c r="C115" s="60">
        <f t="shared" si="26"/>
        <v>14.507240504023496</v>
      </c>
      <c r="D115" s="60">
        <f t="shared" si="27"/>
        <v>75.4927594959765</v>
      </c>
      <c r="E115" s="61">
        <f t="shared" si="44"/>
        <v>-108.58251426328621</v>
      </c>
      <c r="F115" s="60">
        <f t="shared" si="29"/>
        <v>16.378001561546121</v>
      </c>
      <c r="G115" s="60">
        <f t="shared" si="30"/>
        <v>73.621998438453886</v>
      </c>
      <c r="H115" s="61">
        <f t="shared" si="45"/>
        <v>-63.992043954640742</v>
      </c>
      <c r="I115" s="60">
        <f t="shared" si="32"/>
        <v>24.399056727679543</v>
      </c>
      <c r="J115" s="60">
        <f t="shared" si="33"/>
        <v>65.60094327232045</v>
      </c>
      <c r="K115" s="61">
        <f t="shared" si="46"/>
        <v>-38.795662845742264</v>
      </c>
      <c r="L115" s="60">
        <f t="shared" si="35"/>
        <v>34.517403141050671</v>
      </c>
      <c r="M115" s="60">
        <f t="shared" si="36"/>
        <v>55.482596858949329</v>
      </c>
      <c r="N115" s="61">
        <f t="shared" si="47"/>
        <v>-26.565286574438442</v>
      </c>
      <c r="O115" s="60">
        <f t="shared" si="38"/>
        <v>45.34526859155649</v>
      </c>
      <c r="P115" s="60">
        <f t="shared" si="39"/>
        <v>44.65473140844351</v>
      </c>
      <c r="Q115" s="61">
        <f t="shared" si="48"/>
        <v>-19.498924097135607</v>
      </c>
      <c r="R115" s="60">
        <f t="shared" si="41"/>
        <v>35.477461353967712</v>
      </c>
      <c r="S115" s="59">
        <f t="shared" si="42"/>
        <v>54.522538646032288</v>
      </c>
      <c r="T115" s="58">
        <f t="shared" si="49"/>
        <v>-25.778154860372474</v>
      </c>
      <c r="U115" s="62"/>
      <c r="V115" s="56">
        <f>E115</f>
        <v>-108.58251426328621</v>
      </c>
      <c r="W115" s="55"/>
      <c r="AD115" s="55">
        <f>D115</f>
        <v>75.4927594959765</v>
      </c>
    </row>
    <row r="116" spans="1:30" x14ac:dyDescent="0.2">
      <c r="A116" s="67">
        <v>-14</v>
      </c>
      <c r="B116" s="66">
        <f t="shared" si="25"/>
        <v>-0.24434609527920614</v>
      </c>
      <c r="C116" s="64">
        <f t="shared" si="26"/>
        <v>13.61589672933831</v>
      </c>
      <c r="D116" s="64">
        <f t="shared" si="27"/>
        <v>76.384103270661683</v>
      </c>
      <c r="E116" s="65">
        <f t="shared" si="44"/>
        <v>-109.47657941226102</v>
      </c>
      <c r="F116" s="64">
        <f t="shared" si="29"/>
        <v>15.53728336721521</v>
      </c>
      <c r="G116" s="64">
        <f t="shared" si="30"/>
        <v>74.46271663278479</v>
      </c>
      <c r="H116" s="65">
        <f t="shared" si="45"/>
        <v>-62.165805432620694</v>
      </c>
      <c r="I116" s="64">
        <f t="shared" si="32"/>
        <v>23.821173833442078</v>
      </c>
      <c r="J116" s="64">
        <f t="shared" si="33"/>
        <v>66.178826166557926</v>
      </c>
      <c r="K116" s="65">
        <f t="shared" si="46"/>
        <v>-36.797557093037263</v>
      </c>
      <c r="L116" s="64">
        <f t="shared" si="35"/>
        <v>34.107375939180869</v>
      </c>
      <c r="M116" s="64">
        <f t="shared" si="36"/>
        <v>55.892624060819131</v>
      </c>
      <c r="N116" s="65">
        <f t="shared" si="47"/>
        <v>-24.987901669916447</v>
      </c>
      <c r="O116" s="64">
        <f t="shared" si="38"/>
        <v>45.040027016695603</v>
      </c>
      <c r="P116" s="64">
        <f t="shared" si="39"/>
        <v>44.959972983304397</v>
      </c>
      <c r="Q116" s="65">
        <f t="shared" si="48"/>
        <v>-18.279512366757608</v>
      </c>
      <c r="R116" s="64">
        <f t="shared" si="41"/>
        <v>35.07886763928169</v>
      </c>
      <c r="S116" s="59">
        <f t="shared" si="42"/>
        <v>54.92113236071831</v>
      </c>
      <c r="T116" s="58">
        <f t="shared" si="49"/>
        <v>-24.237057557962007</v>
      </c>
      <c r="U116" s="66"/>
      <c r="V116" s="53">
        <f>H115</f>
        <v>-63.992043954640742</v>
      </c>
      <c r="AD116" s="50">
        <f>G115</f>
        <v>73.621998438453886</v>
      </c>
    </row>
    <row r="117" spans="1:30" x14ac:dyDescent="0.2">
      <c r="A117" s="67">
        <v>-13</v>
      </c>
      <c r="B117" s="66">
        <f t="shared" si="25"/>
        <v>-0.22689280275926285</v>
      </c>
      <c r="C117" s="64">
        <f t="shared" si="26"/>
        <v>12.729867415301875</v>
      </c>
      <c r="D117" s="64">
        <f t="shared" si="27"/>
        <v>77.270132584698132</v>
      </c>
      <c r="E117" s="65">
        <f t="shared" si="44"/>
        <v>-110.52099799921166</v>
      </c>
      <c r="F117" s="64">
        <f t="shared" si="29"/>
        <v>14.711330545349336</v>
      </c>
      <c r="G117" s="64">
        <f t="shared" si="30"/>
        <v>75.288669454650659</v>
      </c>
      <c r="H117" s="65">
        <f t="shared" si="45"/>
        <v>-60.149608472808005</v>
      </c>
      <c r="I117" s="64">
        <f t="shared" si="32"/>
        <v>23.270222836159444</v>
      </c>
      <c r="J117" s="64">
        <f t="shared" si="33"/>
        <v>66.729777163840552</v>
      </c>
      <c r="K117" s="65">
        <f t="shared" si="46"/>
        <v>-34.708266789727915</v>
      </c>
      <c r="L117" s="64">
        <f t="shared" si="35"/>
        <v>33.721139491500658</v>
      </c>
      <c r="M117" s="64">
        <f t="shared" si="36"/>
        <v>56.278860508499342</v>
      </c>
      <c r="N117" s="65">
        <f t="shared" si="47"/>
        <v>-23.37527243207753</v>
      </c>
      <c r="O117" s="64">
        <f t="shared" si="38"/>
        <v>44.753960677045583</v>
      </c>
      <c r="P117" s="64">
        <f t="shared" si="39"/>
        <v>45.246039322954417</v>
      </c>
      <c r="Q117" s="65">
        <f t="shared" si="48"/>
        <v>-17.044552836751386</v>
      </c>
      <c r="R117" s="64">
        <f t="shared" si="41"/>
        <v>34.703643117607946</v>
      </c>
      <c r="S117" s="59">
        <f t="shared" si="42"/>
        <v>55.296356882392054</v>
      </c>
      <c r="T117" s="58">
        <f t="shared" si="49"/>
        <v>-22.6634130410281</v>
      </c>
      <c r="U117" s="66"/>
      <c r="V117" s="53">
        <f>K115</f>
        <v>-38.795662845742264</v>
      </c>
      <c r="AD117" s="50">
        <f>J115</f>
        <v>65.60094327232045</v>
      </c>
    </row>
    <row r="118" spans="1:30" x14ac:dyDescent="0.2">
      <c r="A118" s="67">
        <v>-12</v>
      </c>
      <c r="B118" s="66">
        <f t="shared" si="25"/>
        <v>-0.20943951023931956</v>
      </c>
      <c r="C118" s="64">
        <f t="shared" si="26"/>
        <v>11.850385889980569</v>
      </c>
      <c r="D118" s="64">
        <f t="shared" si="27"/>
        <v>78.149614110019428</v>
      </c>
      <c r="E118" s="65">
        <f t="shared" si="44"/>
        <v>-111.74816336410996</v>
      </c>
      <c r="F118" s="64">
        <f t="shared" si="29"/>
        <v>13.902795419431268</v>
      </c>
      <c r="G118" s="64">
        <f t="shared" si="30"/>
        <v>76.097204580568729</v>
      </c>
      <c r="H118" s="65">
        <f t="shared" si="45"/>
        <v>-57.913865744152716</v>
      </c>
      <c r="I118" s="64">
        <f t="shared" si="32"/>
        <v>22.748166239142698</v>
      </c>
      <c r="J118" s="64">
        <f t="shared" si="33"/>
        <v>67.251833760857295</v>
      </c>
      <c r="K118" s="65">
        <f t="shared" si="46"/>
        <v>-32.525988101668489</v>
      </c>
      <c r="L118" s="64">
        <f t="shared" si="35"/>
        <v>33.359521358894249</v>
      </c>
      <c r="M118" s="64">
        <f t="shared" si="36"/>
        <v>56.640478641105751</v>
      </c>
      <c r="N118" s="65">
        <f t="shared" si="47"/>
        <v>-21.728387753750511</v>
      </c>
      <c r="O118" s="64">
        <f t="shared" si="38"/>
        <v>44.487440449424867</v>
      </c>
      <c r="P118" s="64">
        <f t="shared" si="39"/>
        <v>45.512559550575133</v>
      </c>
      <c r="Q118" s="65">
        <f t="shared" si="48"/>
        <v>-15.794783830699552</v>
      </c>
      <c r="R118" s="64">
        <f t="shared" si="41"/>
        <v>34.352554626893792</v>
      </c>
      <c r="S118" s="59">
        <f t="shared" si="42"/>
        <v>55.647445373106208</v>
      </c>
      <c r="T118" s="58">
        <f t="shared" si="49"/>
        <v>-21.058214919510306</v>
      </c>
      <c r="U118" s="66"/>
      <c r="V118" s="53">
        <f>N115</f>
        <v>-26.565286574438442</v>
      </c>
      <c r="AD118" s="50">
        <f>M115</f>
        <v>55.482596858949329</v>
      </c>
    </row>
    <row r="119" spans="1:30" x14ac:dyDescent="0.2">
      <c r="A119" s="67">
        <v>-11</v>
      </c>
      <c r="B119" s="66">
        <f t="shared" si="25"/>
        <v>-0.19198621771937624</v>
      </c>
      <c r="C119" s="64">
        <f t="shared" si="26"/>
        <v>10.979066861374841</v>
      </c>
      <c r="D119" s="64">
        <f t="shared" si="27"/>
        <v>79.020933138625153</v>
      </c>
      <c r="E119" s="65">
        <f t="shared" si="44"/>
        <v>-113.19999936283273</v>
      </c>
      <c r="F119" s="64">
        <f t="shared" si="29"/>
        <v>13.11491982198485</v>
      </c>
      <c r="G119" s="64">
        <f t="shared" si="30"/>
        <v>76.885080178015144</v>
      </c>
      <c r="H119" s="65">
        <f t="shared" si="45"/>
        <v>-55.423986890548193</v>
      </c>
      <c r="I119" s="64">
        <f t="shared" si="32"/>
        <v>22.257042621556511</v>
      </c>
      <c r="J119" s="64">
        <f t="shared" si="33"/>
        <v>67.742957378443492</v>
      </c>
      <c r="K119" s="65">
        <f t="shared" si="46"/>
        <v>-30.249713740001805</v>
      </c>
      <c r="L119" s="64">
        <f t="shared" si="35"/>
        <v>33.023331413522008</v>
      </c>
      <c r="M119" s="64">
        <f t="shared" si="36"/>
        <v>56.976668586477992</v>
      </c>
      <c r="N119" s="65">
        <f t="shared" si="47"/>
        <v>-20.048486494293481</v>
      </c>
      <c r="O119" s="64">
        <f t="shared" si="38"/>
        <v>44.240820491896372</v>
      </c>
      <c r="P119" s="64">
        <f t="shared" si="39"/>
        <v>45.759179508103628</v>
      </c>
      <c r="Q119" s="65">
        <f t="shared" si="48"/>
        <v>-14.531014389532762</v>
      </c>
      <c r="R119" s="64">
        <f t="shared" si="41"/>
        <v>34.026350282037988</v>
      </c>
      <c r="S119" s="59">
        <f t="shared" si="42"/>
        <v>55.973649717962012</v>
      </c>
      <c r="T119" s="58">
        <f t="shared" si="49"/>
        <v>-19.422679026435926</v>
      </c>
      <c r="U119" s="66"/>
      <c r="V119" s="53">
        <f>Q115</f>
        <v>-19.498924097135607</v>
      </c>
      <c r="AD119" s="50">
        <f>P115</f>
        <v>44.65473140844351</v>
      </c>
    </row>
    <row r="120" spans="1:30" x14ac:dyDescent="0.2">
      <c r="A120" s="67">
        <v>-10</v>
      </c>
      <c r="B120" s="66">
        <f t="shared" si="25"/>
        <v>-0.17453292519943295</v>
      </c>
      <c r="C120" s="64">
        <f t="shared" si="26"/>
        <v>10.118060161798692</v>
      </c>
      <c r="D120" s="64">
        <f t="shared" si="27"/>
        <v>79.881939838201305</v>
      </c>
      <c r="E120" s="65">
        <f t="shared" si="44"/>
        <v>-114.93145741497308</v>
      </c>
      <c r="F120" s="64">
        <f t="shared" si="29"/>
        <v>12.351677315626425</v>
      </c>
      <c r="G120" s="64">
        <f t="shared" si="30"/>
        <v>77.648322684373568</v>
      </c>
      <c r="H120" s="65">
        <f t="shared" si="45"/>
        <v>-52.639894626591484</v>
      </c>
      <c r="I120" s="64">
        <f t="shared" si="32"/>
        <v>21.798947742546673</v>
      </c>
      <c r="J120" s="64">
        <f t="shared" si="33"/>
        <v>68.201052257453327</v>
      </c>
      <c r="K120" s="65">
        <f t="shared" si="46"/>
        <v>-27.879414208704492</v>
      </c>
      <c r="L120" s="64">
        <f t="shared" si="35"/>
        <v>32.71335466907307</v>
      </c>
      <c r="M120" s="64">
        <f t="shared" si="36"/>
        <v>57.28664533092693</v>
      </c>
      <c r="N120" s="65">
        <f t="shared" si="47"/>
        <v>-18.337066487492439</v>
      </c>
      <c r="O120" s="64">
        <f t="shared" si="38"/>
        <v>44.014436151518716</v>
      </c>
      <c r="P120" s="64">
        <f t="shared" si="39"/>
        <v>45.985563848481284</v>
      </c>
      <c r="Q120" s="65">
        <f t="shared" si="48"/>
        <v>-13.254122991112126</v>
      </c>
      <c r="R120" s="64">
        <f t="shared" si="41"/>
        <v>33.72575306602576</v>
      </c>
      <c r="S120" s="59">
        <f t="shared" si="42"/>
        <v>56.27424693397424</v>
      </c>
      <c r="T120" s="58">
        <f t="shared" si="49"/>
        <v>-17.758249791374393</v>
      </c>
      <c r="U120" s="66"/>
    </row>
    <row r="121" spans="1:30" x14ac:dyDescent="0.2">
      <c r="A121" s="67">
        <v>-9</v>
      </c>
      <c r="B121" s="66">
        <f t="shared" si="25"/>
        <v>-0.15707963267948966</v>
      </c>
      <c r="C121" s="64">
        <f t="shared" si="26"/>
        <v>9.2702802252332273</v>
      </c>
      <c r="D121" s="64">
        <f t="shared" si="27"/>
        <v>80.729719774766778</v>
      </c>
      <c r="E121" s="65">
        <f t="shared" si="44"/>
        <v>-117.01547630282172</v>
      </c>
      <c r="F121" s="64">
        <f t="shared" si="29"/>
        <v>11.617942618392913</v>
      </c>
      <c r="G121" s="64">
        <f t="shared" si="30"/>
        <v>78.382057381607083</v>
      </c>
      <c r="H121" s="65">
        <f t="shared" si="45"/>
        <v>-49.515875722482889</v>
      </c>
      <c r="I121" s="64">
        <f t="shared" si="32"/>
        <v>21.376009731316415</v>
      </c>
      <c r="J121" s="64">
        <f t="shared" si="33"/>
        <v>68.623990268683585</v>
      </c>
      <c r="K121" s="65">
        <f t="shared" si="46"/>
        <v>-25.416223540742156</v>
      </c>
      <c r="L121" s="64">
        <f t="shared" si="35"/>
        <v>32.430343745692468</v>
      </c>
      <c r="M121" s="64">
        <f t="shared" si="36"/>
        <v>57.569656254307532</v>
      </c>
      <c r="N121" s="65">
        <f t="shared" si="47"/>
        <v>-16.595889802258306</v>
      </c>
      <c r="O121" s="64">
        <f t="shared" si="38"/>
        <v>43.808601899669213</v>
      </c>
      <c r="P121" s="64">
        <f t="shared" si="39"/>
        <v>46.191398100330787</v>
      </c>
      <c r="Q121" s="65">
        <f t="shared" si="48"/>
        <v>-11.965055508268509</v>
      </c>
      <c r="R121" s="64">
        <f t="shared" si="41"/>
        <v>33.451454151417281</v>
      </c>
      <c r="S121" s="59">
        <f t="shared" si="42"/>
        <v>56.548545848582719</v>
      </c>
      <c r="T121" s="58">
        <f t="shared" si="49"/>
        <v>-16.066603342429541</v>
      </c>
      <c r="U121" s="66"/>
    </row>
    <row r="122" spans="1:30" x14ac:dyDescent="0.2">
      <c r="A122" s="67">
        <v>-8</v>
      </c>
      <c r="B122" s="66">
        <f t="shared" si="25"/>
        <v>-0.13962634015954636</v>
      </c>
      <c r="C122" s="64">
        <f t="shared" si="26"/>
        <v>8.439754180902435</v>
      </c>
      <c r="D122" s="64">
        <f t="shared" si="27"/>
        <v>81.56024581909756</v>
      </c>
      <c r="E122" s="65">
        <f t="shared" si="44"/>
        <v>-119.54998651035864</v>
      </c>
      <c r="F122" s="64">
        <f t="shared" si="29"/>
        <v>10.91968369989228</v>
      </c>
      <c r="G122" s="64">
        <f t="shared" si="30"/>
        <v>79.080316300107725</v>
      </c>
      <c r="H122" s="65">
        <f t="shared" si="45"/>
        <v>-46.001136488539636</v>
      </c>
      <c r="I122" s="64">
        <f t="shared" si="32"/>
        <v>20.990358041575938</v>
      </c>
      <c r="J122" s="64">
        <f t="shared" si="33"/>
        <v>69.009641958424055</v>
      </c>
      <c r="K122" s="65">
        <f t="shared" si="46"/>
        <v>-22.862618917470154</v>
      </c>
      <c r="L122" s="64">
        <f t="shared" si="35"/>
        <v>32.175011094231031</v>
      </c>
      <c r="M122" s="64">
        <f t="shared" si="36"/>
        <v>57.824988905768969</v>
      </c>
      <c r="N122" s="65">
        <f t="shared" si="47"/>
        <v>-14.826983628806484</v>
      </c>
      <c r="O122" s="64">
        <f t="shared" si="38"/>
        <v>43.623609321285578</v>
      </c>
      <c r="P122" s="64">
        <f t="shared" si="39"/>
        <v>46.376390678714422</v>
      </c>
      <c r="Q122" s="65">
        <f t="shared" si="48"/>
        <v>-10.664822383515578</v>
      </c>
      <c r="R122" s="64">
        <f t="shared" si="41"/>
        <v>33.20410606189882</v>
      </c>
      <c r="S122" s="59">
        <f t="shared" si="42"/>
        <v>56.79589393810118</v>
      </c>
      <c r="T122" s="58">
        <f t="shared" si="49"/>
        <v>-14.34964686155781</v>
      </c>
      <c r="U122" s="66"/>
    </row>
    <row r="123" spans="1:30" x14ac:dyDescent="0.2">
      <c r="A123" s="67">
        <v>-7</v>
      </c>
      <c r="B123" s="66">
        <f t="shared" si="25"/>
        <v>-0.12217304763960307</v>
      </c>
      <c r="C123" s="64">
        <f t="shared" si="26"/>
        <v>7.6321565450066293</v>
      </c>
      <c r="D123" s="64">
        <f t="shared" si="27"/>
        <v>82.367843454993377</v>
      </c>
      <c r="E123" s="65">
        <f t="shared" si="44"/>
        <v>-122.66758544809542</v>
      </c>
      <c r="F123" s="64">
        <f t="shared" si="29"/>
        <v>10.264160457500333</v>
      </c>
      <c r="G123" s="64">
        <f t="shared" si="30"/>
        <v>79.735839542499662</v>
      </c>
      <c r="H123" s="65">
        <f t="shared" si="45"/>
        <v>-42.04165687396241</v>
      </c>
      <c r="I123" s="64">
        <f t="shared" si="32"/>
        <v>20.644086227321736</v>
      </c>
      <c r="J123" s="64">
        <f t="shared" si="33"/>
        <v>69.355913772678264</v>
      </c>
      <c r="K123" s="65">
        <f t="shared" si="46"/>
        <v>-20.222580520399763</v>
      </c>
      <c r="L123" s="64">
        <f t="shared" si="35"/>
        <v>31.94802112912086</v>
      </c>
      <c r="M123" s="64">
        <f t="shared" si="36"/>
        <v>58.05197887087914</v>
      </c>
      <c r="N123" s="65">
        <f t="shared" si="47"/>
        <v>-13.032636245256713</v>
      </c>
      <c r="O123" s="64">
        <f t="shared" si="38"/>
        <v>43.45972518531434</v>
      </c>
      <c r="P123" s="64">
        <f t="shared" si="39"/>
        <v>46.54027481468566</v>
      </c>
      <c r="Q123" s="65">
        <f t="shared" si="48"/>
        <v>-9.354495013482337</v>
      </c>
      <c r="R123" s="64">
        <f t="shared" si="41"/>
        <v>32.984315802367583</v>
      </c>
      <c r="S123" s="59">
        <f t="shared" si="42"/>
        <v>57.015684197632417</v>
      </c>
      <c r="T123" s="58">
        <f t="shared" si="49"/>
        <v>-12.609513792547268</v>
      </c>
      <c r="U123" s="66"/>
    </row>
    <row r="124" spans="1:30" x14ac:dyDescent="0.2">
      <c r="A124" s="67">
        <v>-6</v>
      </c>
      <c r="B124" s="66">
        <f t="shared" si="25"/>
        <v>-0.10471975511965978</v>
      </c>
      <c r="C124" s="64">
        <f t="shared" si="26"/>
        <v>6.8556340520924541</v>
      </c>
      <c r="D124" s="64">
        <f t="shared" si="27"/>
        <v>83.144365947907545</v>
      </c>
      <c r="E124" s="65">
        <f t="shared" si="44"/>
        <v>-126.54809314768764</v>
      </c>
      <c r="F124" s="64">
        <f t="shared" si="29"/>
        <v>9.6600929061545884</v>
      </c>
      <c r="G124" s="64">
        <f t="shared" si="30"/>
        <v>80.339907093845412</v>
      </c>
      <c r="H124" s="65">
        <f t="shared" si="45"/>
        <v>-37.584201890861522</v>
      </c>
      <c r="I124" s="64">
        <f t="shared" si="32"/>
        <v>20.33920910415268</v>
      </c>
      <c r="J124" s="64">
        <f t="shared" si="33"/>
        <v>69.660790895847327</v>
      </c>
      <c r="K124" s="65">
        <f t="shared" si="46"/>
        <v>-17.50171549859672</v>
      </c>
      <c r="L124" s="64">
        <f t="shared" si="35"/>
        <v>31.74998244070547</v>
      </c>
      <c r="M124" s="64">
        <f t="shared" si="36"/>
        <v>58.250017559294534</v>
      </c>
      <c r="N124" s="65">
        <f t="shared" si="47"/>
        <v>-11.215387644240948</v>
      </c>
      <c r="O124" s="64">
        <f t="shared" si="38"/>
        <v>43.317189624008783</v>
      </c>
      <c r="P124" s="64">
        <f t="shared" si="39"/>
        <v>46.682810375991217</v>
      </c>
      <c r="Q124" s="65">
        <f t="shared" si="48"/>
        <v>-8.035201352390537</v>
      </c>
      <c r="R124" s="64">
        <f t="shared" si="41"/>
        <v>32.792638101911585</v>
      </c>
      <c r="S124" s="59">
        <f t="shared" si="42"/>
        <v>57.207361898088415</v>
      </c>
      <c r="T124" s="58">
        <f t="shared" si="49"/>
        <v>-10.848554606859407</v>
      </c>
      <c r="U124" s="66"/>
    </row>
    <row r="125" spans="1:30" x14ac:dyDescent="0.2">
      <c r="A125" s="67">
        <v>-5</v>
      </c>
      <c r="B125" s="66">
        <f t="shared" si="25"/>
        <v>-8.7266462599716474E-2</v>
      </c>
      <c r="C125" s="64">
        <f t="shared" si="26"/>
        <v>6.1220606755982265</v>
      </c>
      <c r="D125" s="64">
        <f t="shared" si="27"/>
        <v>83.87793932440178</v>
      </c>
      <c r="E125" s="65">
        <f t="shared" si="44"/>
        <v>-131.43222715403084</v>
      </c>
      <c r="F125" s="64">
        <f t="shared" si="29"/>
        <v>9.1177286758771867</v>
      </c>
      <c r="G125" s="64">
        <f t="shared" si="30"/>
        <v>80.882271324122812</v>
      </c>
      <c r="H125" s="65">
        <f t="shared" si="45"/>
        <v>-32.583528949641</v>
      </c>
      <c r="I125" s="64">
        <f t="shared" si="32"/>
        <v>20.077615472686549</v>
      </c>
      <c r="J125" s="64">
        <f t="shared" si="33"/>
        <v>69.922384527313454</v>
      </c>
      <c r="K125" s="65">
        <f t="shared" si="46"/>
        <v>-14.707328710754236</v>
      </c>
      <c r="L125" s="64">
        <f t="shared" si="35"/>
        <v>31.581440274427177</v>
      </c>
      <c r="M125" s="64">
        <f t="shared" si="36"/>
        <v>58.41855972557282</v>
      </c>
      <c r="N125" s="65">
        <f t="shared" si="47"/>
        <v>-9.3780145648242339</v>
      </c>
      <c r="O125" s="64">
        <f t="shared" si="38"/>
        <v>43.196214448427064</v>
      </c>
      <c r="P125" s="64">
        <f t="shared" si="39"/>
        <v>46.803785551572936</v>
      </c>
      <c r="Q125" s="65">
        <f t="shared" si="48"/>
        <v>-6.7081207611887415</v>
      </c>
      <c r="R125" s="64">
        <f t="shared" si="41"/>
        <v>32.629568925722133</v>
      </c>
      <c r="S125" s="59">
        <f t="shared" si="42"/>
        <v>57.370431074277867</v>
      </c>
      <c r="T125" s="58">
        <f t="shared" si="49"/>
        <v>-9.0693229679235614</v>
      </c>
      <c r="U125" s="66"/>
    </row>
    <row r="126" spans="1:30" x14ac:dyDescent="0.2">
      <c r="A126" s="67">
        <v>-4</v>
      </c>
      <c r="B126" s="66">
        <f t="shared" si="25"/>
        <v>-6.9813170079773182E-2</v>
      </c>
      <c r="C126" s="64">
        <f t="shared" si="26"/>
        <v>5.448846659932193</v>
      </c>
      <c r="D126" s="64">
        <f t="shared" si="27"/>
        <v>84.551153340067813</v>
      </c>
      <c r="E126" s="65">
        <f t="shared" si="44"/>
        <v>-137.62828650002825</v>
      </c>
      <c r="F126" s="64">
        <f t="shared" si="29"/>
        <v>8.6486970596981045</v>
      </c>
      <c r="G126" s="64">
        <f t="shared" si="30"/>
        <v>81.351302940301892</v>
      </c>
      <c r="H126" s="65">
        <f t="shared" si="45"/>
        <v>-27.013612935374727</v>
      </c>
      <c r="I126" s="64">
        <f t="shared" si="32"/>
        <v>19.861018244241247</v>
      </c>
      <c r="J126" s="64">
        <f t="shared" si="33"/>
        <v>70.138981755758749</v>
      </c>
      <c r="K126" s="65">
        <f t="shared" si="46"/>
        <v>-11.848423613528603</v>
      </c>
      <c r="L126" s="64">
        <f t="shared" si="35"/>
        <v>31.442869474144828</v>
      </c>
      <c r="M126" s="64">
        <f t="shared" si="36"/>
        <v>58.557130525855172</v>
      </c>
      <c r="N126" s="65">
        <f t="shared" si="47"/>
        <v>-7.5235098766822759</v>
      </c>
      <c r="O126" s="64">
        <f t="shared" si="38"/>
        <v>43.096981626498305</v>
      </c>
      <c r="P126" s="64">
        <f t="shared" si="39"/>
        <v>46.903018373501695</v>
      </c>
      <c r="Q126" s="65">
        <f t="shared" si="48"/>
        <v>-5.3744781466549885</v>
      </c>
      <c r="R126" s="64">
        <f t="shared" si="41"/>
        <v>32.495539418179462</v>
      </c>
      <c r="S126" s="59">
        <f t="shared" si="42"/>
        <v>57.504460581820538</v>
      </c>
      <c r="T126" s="58">
        <f t="shared" si="49"/>
        <v>-7.2745572948378996</v>
      </c>
      <c r="U126" s="66"/>
    </row>
    <row r="127" spans="1:30" x14ac:dyDescent="0.2">
      <c r="A127" s="67">
        <v>-3</v>
      </c>
      <c r="B127" s="66">
        <f t="shared" si="25"/>
        <v>-5.235987755982989E-2</v>
      </c>
      <c r="C127" s="64">
        <f t="shared" si="26"/>
        <v>4.8611671759677488</v>
      </c>
      <c r="D127" s="64">
        <f t="shared" si="27"/>
        <v>85.138832824032249</v>
      </c>
      <c r="E127" s="65">
        <f t="shared" si="44"/>
        <v>-145.48750652689046</v>
      </c>
      <c r="F127" s="64">
        <f t="shared" si="29"/>
        <v>8.2655026734657326</v>
      </c>
      <c r="G127" s="64">
        <f t="shared" si="30"/>
        <v>81.734497326534267</v>
      </c>
      <c r="H127" s="65">
        <f t="shared" si="45"/>
        <v>-20.882566228864768</v>
      </c>
      <c r="I127" s="64">
        <f t="shared" si="32"/>
        <v>19.690904438782795</v>
      </c>
      <c r="J127" s="64">
        <f t="shared" si="33"/>
        <v>70.309095561217205</v>
      </c>
      <c r="K127" s="65">
        <f t="shared" si="46"/>
        <v>-8.9356198740029633</v>
      </c>
      <c r="L127" s="64">
        <f t="shared" si="35"/>
        <v>31.334668088517429</v>
      </c>
      <c r="M127" s="64">
        <f t="shared" si="36"/>
        <v>58.665331911482568</v>
      </c>
      <c r="N127" s="65">
        <f t="shared" si="47"/>
        <v>-5.6550564918421564</v>
      </c>
      <c r="O127" s="64">
        <f t="shared" si="38"/>
        <v>43.019641948338652</v>
      </c>
      <c r="P127" s="64">
        <f t="shared" si="39"/>
        <v>46.980358051661348</v>
      </c>
      <c r="Q127" s="65">
        <f t="shared" si="48"/>
        <v>-4.0355374523288967</v>
      </c>
      <c r="R127" s="64">
        <f t="shared" si="41"/>
        <v>32.390910439040987</v>
      </c>
      <c r="S127" s="59">
        <f t="shared" si="42"/>
        <v>57.609089560959013</v>
      </c>
      <c r="T127" s="58">
        <f t="shared" si="49"/>
        <v>-5.4671579044544574</v>
      </c>
      <c r="U127" s="66"/>
    </row>
    <row r="128" spans="1:30" x14ac:dyDescent="0.2">
      <c r="A128" s="67">
        <v>-2</v>
      </c>
      <c r="B128" s="66">
        <f t="shared" si="25"/>
        <v>-3.4906585039886591E-2</v>
      </c>
      <c r="C128" s="64">
        <f t="shared" si="26"/>
        <v>4.3935093003569676</v>
      </c>
      <c r="D128" s="64">
        <f t="shared" si="27"/>
        <v>85.606490699643032</v>
      </c>
      <c r="E128" s="65">
        <f t="shared" si="44"/>
        <v>-155.29513486718011</v>
      </c>
      <c r="F128" s="64">
        <f t="shared" si="29"/>
        <v>7.9805288836553148</v>
      </c>
      <c r="G128" s="64">
        <f t="shared" si="30"/>
        <v>82.01947111634469</v>
      </c>
      <c r="H128" s="65">
        <f t="shared" si="45"/>
        <v>-14.248388110132282</v>
      </c>
      <c r="I128" s="64">
        <f t="shared" si="32"/>
        <v>19.56848801298527</v>
      </c>
      <c r="J128" s="64">
        <f t="shared" si="33"/>
        <v>70.43151198701473</v>
      </c>
      <c r="K128" s="65">
        <f t="shared" si="46"/>
        <v>-5.9809801902237387</v>
      </c>
      <c r="L128" s="64">
        <f t="shared" si="35"/>
        <v>31.25715183177531</v>
      </c>
      <c r="M128" s="64">
        <f t="shared" si="36"/>
        <v>58.74284816822469</v>
      </c>
      <c r="N128" s="65">
        <f t="shared" si="47"/>
        <v>-3.7759962214285898</v>
      </c>
      <c r="O128" s="64">
        <f t="shared" si="38"/>
        <v>42.964313901117443</v>
      </c>
      <c r="P128" s="64">
        <f t="shared" si="39"/>
        <v>47.035686098882557</v>
      </c>
      <c r="Q128" s="65">
        <f t="shared" si="48"/>
        <v>-2.6925945798089361</v>
      </c>
      <c r="R128" s="64">
        <f t="shared" si="41"/>
        <v>32.315967847138701</v>
      </c>
      <c r="S128" s="59">
        <f t="shared" si="42"/>
        <v>57.684032152861299</v>
      </c>
      <c r="T128" s="58">
        <f t="shared" si="49"/>
        <v>-3.6501600967025118</v>
      </c>
      <c r="U128" s="66"/>
    </row>
    <row r="129" spans="1:31" x14ac:dyDescent="0.2">
      <c r="A129" s="67">
        <v>-1</v>
      </c>
      <c r="B129" s="66">
        <f t="shared" si="25"/>
        <v>-1.7453292519943295E-2</v>
      </c>
      <c r="C129" s="64">
        <f t="shared" si="26"/>
        <v>4.0873022683648284</v>
      </c>
      <c r="D129" s="64">
        <f t="shared" si="27"/>
        <v>85.912697731635177</v>
      </c>
      <c r="E129" s="65">
        <f t="shared" si="44"/>
        <v>-167.01874952846271</v>
      </c>
      <c r="F129" s="64">
        <f t="shared" si="29"/>
        <v>7.8045489432558597</v>
      </c>
      <c r="G129" s="64">
        <f t="shared" si="30"/>
        <v>82.195451056744133</v>
      </c>
      <c r="H129" s="65">
        <f t="shared" si="45"/>
        <v>-7.2292258434188774</v>
      </c>
      <c r="I129" s="64">
        <f t="shared" si="32"/>
        <v>19.494668708925097</v>
      </c>
      <c r="J129" s="64">
        <f t="shared" si="33"/>
        <v>70.505331291074896</v>
      </c>
      <c r="K129" s="65">
        <f t="shared" si="46"/>
        <v>-2.9977470722889459</v>
      </c>
      <c r="L129" s="64">
        <f t="shared" si="35"/>
        <v>31.210549572848763</v>
      </c>
      <c r="M129" s="64">
        <f t="shared" si="36"/>
        <v>58.789450427151237</v>
      </c>
      <c r="N129" s="65">
        <f t="shared" si="47"/>
        <v>-1.8897942349170249</v>
      </c>
      <c r="O129" s="64">
        <f t="shared" si="38"/>
        <v>42.931082772740417</v>
      </c>
      <c r="P129" s="64">
        <f t="shared" si="39"/>
        <v>47.068917227259583</v>
      </c>
      <c r="Q129" s="65">
        <f t="shared" si="48"/>
        <v>-1.3469698341348708</v>
      </c>
      <c r="R129" s="64">
        <f t="shared" si="41"/>
        <v>32.270918671014364</v>
      </c>
      <c r="S129" s="59">
        <f t="shared" si="42"/>
        <v>57.729081328985636</v>
      </c>
      <c r="T129" s="58">
        <f t="shared" si="49"/>
        <v>-1.8267037300800473</v>
      </c>
      <c r="U129" s="66"/>
    </row>
    <row r="130" spans="1:31" s="54" customFormat="1" x14ac:dyDescent="0.2">
      <c r="A130" s="63">
        <v>-1E-3</v>
      </c>
      <c r="B130" s="62">
        <f t="shared" si="25"/>
        <v>-1.7453292519943296E-5</v>
      </c>
      <c r="C130" s="60">
        <f t="shared" si="26"/>
        <v>3.9800001087491634</v>
      </c>
      <c r="D130" s="60">
        <f t="shared" si="27"/>
        <v>86.019999891250833</v>
      </c>
      <c r="E130" s="61">
        <f t="shared" si="44"/>
        <v>-179.9867824365665</v>
      </c>
      <c r="F130" s="60">
        <f t="shared" si="29"/>
        <v>7.7450000597780049</v>
      </c>
      <c r="G130" s="60">
        <f t="shared" si="30"/>
        <v>82.254999940221992</v>
      </c>
      <c r="H130" s="61">
        <f t="shared" si="45"/>
        <v>-7.265524393672282E-3</v>
      </c>
      <c r="I130" s="60">
        <f t="shared" si="32"/>
        <v>19.47000002468436</v>
      </c>
      <c r="J130" s="60">
        <f t="shared" si="33"/>
        <v>70.529999975315633</v>
      </c>
      <c r="K130" s="61">
        <f t="shared" si="46"/>
        <v>-3.0001818524934805E-3</v>
      </c>
      <c r="L130" s="60">
        <f t="shared" si="35"/>
        <v>31.195000015553465</v>
      </c>
      <c r="M130" s="60">
        <f t="shared" si="36"/>
        <v>58.804999984446539</v>
      </c>
      <c r="N130" s="61">
        <f t="shared" si="47"/>
        <v>-1.8903952151573429E-3</v>
      </c>
      <c r="O130" s="60">
        <f t="shared" si="38"/>
        <v>42.920000011084213</v>
      </c>
      <c r="P130" s="60">
        <f t="shared" si="39"/>
        <v>47.079999988915787</v>
      </c>
      <c r="Q130" s="61">
        <f t="shared" si="48"/>
        <v>-1.3471942150837801E-3</v>
      </c>
      <c r="R130" s="60">
        <f t="shared" si="41"/>
        <v>32.255888298812152</v>
      </c>
      <c r="S130" s="59">
        <f t="shared" si="42"/>
        <v>57.744111701187848</v>
      </c>
      <c r="T130" s="58">
        <f t="shared" si="49"/>
        <v>-1.8272461503380404E-3</v>
      </c>
      <c r="U130" s="62"/>
      <c r="V130" s="56">
        <f>E130</f>
        <v>-179.9867824365665</v>
      </c>
      <c r="W130" s="55"/>
      <c r="AE130" s="55">
        <f>D130</f>
        <v>86.019999891250833</v>
      </c>
    </row>
    <row r="131" spans="1:31" s="54" customFormat="1" x14ac:dyDescent="0.2">
      <c r="A131" s="63">
        <v>1E-3</v>
      </c>
      <c r="B131" s="62">
        <f t="shared" si="25"/>
        <v>1.7453292519943296E-5</v>
      </c>
      <c r="C131" s="60">
        <f t="shared" si="26"/>
        <v>3.9800001087491634</v>
      </c>
      <c r="D131" s="60">
        <f t="shared" si="27"/>
        <v>86.019999891250833</v>
      </c>
      <c r="E131" s="61">
        <f t="shared" ref="E131:E162" si="50">DEGREES(ACOS((SIN(RADIANS(D131))*SIN($C$6)-SIN(C$5))/(COS(RADIANS(D131))*COS($C$6))))</f>
        <v>179.9867824365665</v>
      </c>
      <c r="F131" s="60">
        <f t="shared" si="29"/>
        <v>7.7450000597780049</v>
      </c>
      <c r="G131" s="60">
        <f t="shared" si="30"/>
        <v>82.254999940221992</v>
      </c>
      <c r="H131" s="61">
        <f t="shared" ref="H131:H162" si="51">DEGREES(ACOS((SIN(RADIANS(G131))*SIN($C$6)-SIN(G$5))/(COS(RADIANS(G131))*COS($C$6))))</f>
        <v>7.265524393672282E-3</v>
      </c>
      <c r="I131" s="60">
        <f t="shared" si="32"/>
        <v>19.47000002468436</v>
      </c>
      <c r="J131" s="60">
        <f t="shared" si="33"/>
        <v>70.529999975315633</v>
      </c>
      <c r="K131" s="61">
        <f t="shared" ref="K131:K162" si="52">DEGREES(ACOS((SIN(RADIANS(J131))*SIN($C$6)-SIN(J$5))/(COS(RADIANS(J131))*COS($C$6))))</f>
        <v>3.0001818524934805E-3</v>
      </c>
      <c r="L131" s="60">
        <f t="shared" si="35"/>
        <v>31.195000015553465</v>
      </c>
      <c r="M131" s="60">
        <f t="shared" si="36"/>
        <v>58.804999984446539</v>
      </c>
      <c r="N131" s="61">
        <f t="shared" ref="N131:N162" si="53">DEGREES(ACOS((SIN(RADIANS(M131))*SIN($C$6)-SIN(M$5))/(COS(RADIANS(M131))*COS($C$6))))</f>
        <v>1.8903952151573429E-3</v>
      </c>
      <c r="O131" s="60">
        <f t="shared" si="38"/>
        <v>42.920000011084213</v>
      </c>
      <c r="P131" s="60">
        <f t="shared" si="39"/>
        <v>47.079999988915787</v>
      </c>
      <c r="Q131" s="61">
        <f t="shared" ref="Q131:Q162" si="54">DEGREES(ACOS((SIN(RADIANS(P131))*SIN($C$6)-SIN(P$5))/(COS(RADIANS(P131))*COS($C$6))))</f>
        <v>1.3471942150837801E-3</v>
      </c>
      <c r="R131" s="60">
        <f t="shared" si="41"/>
        <v>32.255888298812152</v>
      </c>
      <c r="S131" s="59">
        <f t="shared" si="42"/>
        <v>57.744111701187848</v>
      </c>
      <c r="T131" s="58">
        <f t="shared" ref="T131:T162" si="55">DEGREES(ACOS((SIN(RADIANS(S131))*SIN($C$6)-SIN(S$5))/(COS(RADIANS(S131))*COS($C$6))))</f>
        <v>1.8272461503380404E-3</v>
      </c>
      <c r="U131" s="62"/>
      <c r="V131" s="71">
        <f>IF($B$6&gt;=0,0,180)</f>
        <v>0</v>
      </c>
      <c r="W131" s="55"/>
      <c r="AE131" s="55">
        <f>D131</f>
        <v>86.019999891250833</v>
      </c>
    </row>
    <row r="132" spans="1:31" x14ac:dyDescent="0.2">
      <c r="A132" s="67">
        <v>1</v>
      </c>
      <c r="B132" s="66">
        <f t="shared" si="25"/>
        <v>1.7453292519943295E-2</v>
      </c>
      <c r="C132" s="64">
        <f t="shared" si="26"/>
        <v>4.0873022683648284</v>
      </c>
      <c r="D132" s="64">
        <f t="shared" si="27"/>
        <v>85.912697731635177</v>
      </c>
      <c r="E132" s="65">
        <f t="shared" si="50"/>
        <v>167.01874952846271</v>
      </c>
      <c r="F132" s="64">
        <f t="shared" si="29"/>
        <v>7.8045489432558597</v>
      </c>
      <c r="G132" s="64">
        <f t="shared" si="30"/>
        <v>82.195451056744133</v>
      </c>
      <c r="H132" s="65">
        <f t="shared" si="51"/>
        <v>7.2292258434188774</v>
      </c>
      <c r="I132" s="64">
        <f t="shared" si="32"/>
        <v>19.494668708925097</v>
      </c>
      <c r="J132" s="64">
        <f t="shared" si="33"/>
        <v>70.505331291074896</v>
      </c>
      <c r="K132" s="65">
        <f t="shared" si="52"/>
        <v>2.9977470722889459</v>
      </c>
      <c r="L132" s="64">
        <f t="shared" si="35"/>
        <v>31.210549572848763</v>
      </c>
      <c r="M132" s="64">
        <f t="shared" si="36"/>
        <v>58.789450427151237</v>
      </c>
      <c r="N132" s="65">
        <f t="shared" si="53"/>
        <v>1.8897942349170249</v>
      </c>
      <c r="O132" s="64">
        <f t="shared" si="38"/>
        <v>42.931082772740417</v>
      </c>
      <c r="P132" s="64">
        <f t="shared" si="39"/>
        <v>47.068917227259583</v>
      </c>
      <c r="Q132" s="65">
        <f t="shared" si="54"/>
        <v>1.3469698341348708</v>
      </c>
      <c r="R132" s="64">
        <f t="shared" si="41"/>
        <v>32.270918671014364</v>
      </c>
      <c r="S132" s="59">
        <f t="shared" si="42"/>
        <v>57.729081328985636</v>
      </c>
      <c r="T132" s="58">
        <f t="shared" si="55"/>
        <v>1.8267037300800473</v>
      </c>
      <c r="U132" s="66"/>
      <c r="V132" s="53">
        <f>IF($B$6&gt;=0,0,180)</f>
        <v>0</v>
      </c>
      <c r="AE132" s="50">
        <f>G131</f>
        <v>82.254999940221992</v>
      </c>
    </row>
    <row r="133" spans="1:31" x14ac:dyDescent="0.2">
      <c r="A133" s="67">
        <v>2</v>
      </c>
      <c r="B133" s="66">
        <f t="shared" si="25"/>
        <v>3.4906585039886591E-2</v>
      </c>
      <c r="C133" s="64">
        <f t="shared" si="26"/>
        <v>4.3935093003569676</v>
      </c>
      <c r="D133" s="64">
        <f t="shared" si="27"/>
        <v>85.606490699643032</v>
      </c>
      <c r="E133" s="65">
        <f t="shared" si="50"/>
        <v>155.29513486718011</v>
      </c>
      <c r="F133" s="64">
        <f t="shared" si="29"/>
        <v>7.9805288836553148</v>
      </c>
      <c r="G133" s="64">
        <f t="shared" si="30"/>
        <v>82.01947111634469</v>
      </c>
      <c r="H133" s="65">
        <f t="shared" si="51"/>
        <v>14.248388110132282</v>
      </c>
      <c r="I133" s="64">
        <f t="shared" si="32"/>
        <v>19.56848801298527</v>
      </c>
      <c r="J133" s="64">
        <f t="shared" si="33"/>
        <v>70.43151198701473</v>
      </c>
      <c r="K133" s="65">
        <f t="shared" si="52"/>
        <v>5.9809801902237387</v>
      </c>
      <c r="L133" s="64">
        <f t="shared" si="35"/>
        <v>31.25715183177531</v>
      </c>
      <c r="M133" s="64">
        <f t="shared" si="36"/>
        <v>58.74284816822469</v>
      </c>
      <c r="N133" s="65">
        <f t="shared" si="53"/>
        <v>3.7759962214285898</v>
      </c>
      <c r="O133" s="64">
        <f t="shared" si="38"/>
        <v>42.964313901117443</v>
      </c>
      <c r="P133" s="64">
        <f t="shared" si="39"/>
        <v>47.035686098882557</v>
      </c>
      <c r="Q133" s="65">
        <f t="shared" si="54"/>
        <v>2.6925945798089361</v>
      </c>
      <c r="R133" s="64">
        <f t="shared" si="41"/>
        <v>32.315967847138701</v>
      </c>
      <c r="S133" s="59">
        <f t="shared" si="42"/>
        <v>57.684032152861299</v>
      </c>
      <c r="T133" s="58">
        <f t="shared" si="55"/>
        <v>3.6501600967025118</v>
      </c>
      <c r="U133" s="66"/>
      <c r="V133" s="53">
        <f>IF($B$6&gt;=0,0,180)</f>
        <v>0</v>
      </c>
      <c r="AE133" s="50">
        <f>J131</f>
        <v>70.529999975315633</v>
      </c>
    </row>
    <row r="134" spans="1:31" x14ac:dyDescent="0.2">
      <c r="A134" s="67">
        <v>3</v>
      </c>
      <c r="B134" s="66">
        <f t="shared" si="25"/>
        <v>5.235987755982989E-2</v>
      </c>
      <c r="C134" s="64">
        <f t="shared" si="26"/>
        <v>4.8611671759677488</v>
      </c>
      <c r="D134" s="64">
        <f t="shared" si="27"/>
        <v>85.138832824032249</v>
      </c>
      <c r="E134" s="65">
        <f t="shared" si="50"/>
        <v>145.48750652689046</v>
      </c>
      <c r="F134" s="64">
        <f t="shared" si="29"/>
        <v>8.2655026734657326</v>
      </c>
      <c r="G134" s="64">
        <f t="shared" si="30"/>
        <v>81.734497326534267</v>
      </c>
      <c r="H134" s="65">
        <f t="shared" si="51"/>
        <v>20.882566228864768</v>
      </c>
      <c r="I134" s="64">
        <f t="shared" si="32"/>
        <v>19.690904438782795</v>
      </c>
      <c r="J134" s="64">
        <f t="shared" si="33"/>
        <v>70.309095561217205</v>
      </c>
      <c r="K134" s="65">
        <f t="shared" si="52"/>
        <v>8.9356198740029633</v>
      </c>
      <c r="L134" s="64">
        <f t="shared" si="35"/>
        <v>31.334668088517429</v>
      </c>
      <c r="M134" s="64">
        <f t="shared" si="36"/>
        <v>58.665331911482568</v>
      </c>
      <c r="N134" s="65">
        <f t="shared" si="53"/>
        <v>5.6550564918421564</v>
      </c>
      <c r="O134" s="64">
        <f t="shared" si="38"/>
        <v>43.019641948338652</v>
      </c>
      <c r="P134" s="64">
        <f t="shared" si="39"/>
        <v>46.980358051661348</v>
      </c>
      <c r="Q134" s="65">
        <f t="shared" si="54"/>
        <v>4.0355374523288967</v>
      </c>
      <c r="R134" s="64">
        <f t="shared" si="41"/>
        <v>32.390910439040987</v>
      </c>
      <c r="S134" s="59">
        <f t="shared" si="42"/>
        <v>57.609089560959013</v>
      </c>
      <c r="T134" s="58">
        <f t="shared" si="55"/>
        <v>5.4671579044544574</v>
      </c>
      <c r="U134" s="66"/>
      <c r="V134" s="53">
        <f>IF($B$6&gt;=0,0,180)</f>
        <v>0</v>
      </c>
      <c r="AE134" s="50">
        <f>M131</f>
        <v>58.804999984446539</v>
      </c>
    </row>
    <row r="135" spans="1:31" x14ac:dyDescent="0.2">
      <c r="A135" s="67">
        <v>4</v>
      </c>
      <c r="B135" s="66">
        <f t="shared" si="25"/>
        <v>6.9813170079773182E-2</v>
      </c>
      <c r="C135" s="64">
        <f t="shared" si="26"/>
        <v>5.448846659932193</v>
      </c>
      <c r="D135" s="64">
        <f t="shared" si="27"/>
        <v>84.551153340067813</v>
      </c>
      <c r="E135" s="65">
        <f t="shared" si="50"/>
        <v>137.62828650002825</v>
      </c>
      <c r="F135" s="64">
        <f t="shared" si="29"/>
        <v>8.6486970596981045</v>
      </c>
      <c r="G135" s="64">
        <f t="shared" si="30"/>
        <v>81.351302940301892</v>
      </c>
      <c r="H135" s="65">
        <f t="shared" si="51"/>
        <v>27.013612935374727</v>
      </c>
      <c r="I135" s="64">
        <f t="shared" si="32"/>
        <v>19.861018244241247</v>
      </c>
      <c r="J135" s="64">
        <f t="shared" si="33"/>
        <v>70.138981755758749</v>
      </c>
      <c r="K135" s="65">
        <f t="shared" si="52"/>
        <v>11.848423613528603</v>
      </c>
      <c r="L135" s="64">
        <f t="shared" si="35"/>
        <v>31.442869474144828</v>
      </c>
      <c r="M135" s="64">
        <f t="shared" si="36"/>
        <v>58.557130525855172</v>
      </c>
      <c r="N135" s="65">
        <f t="shared" si="53"/>
        <v>7.5235098766822759</v>
      </c>
      <c r="O135" s="64">
        <f t="shared" si="38"/>
        <v>43.096981626498305</v>
      </c>
      <c r="P135" s="64">
        <f t="shared" si="39"/>
        <v>46.903018373501695</v>
      </c>
      <c r="Q135" s="65">
        <f t="shared" si="54"/>
        <v>5.3744781466549885</v>
      </c>
      <c r="R135" s="64">
        <f t="shared" si="41"/>
        <v>32.495539418179462</v>
      </c>
      <c r="S135" s="59">
        <f t="shared" si="42"/>
        <v>57.504460581820538</v>
      </c>
      <c r="T135" s="58">
        <f t="shared" si="55"/>
        <v>7.2745572948378996</v>
      </c>
      <c r="U135" s="66"/>
      <c r="V135" s="53">
        <f>IF($B$6&gt;=0,0,180)</f>
        <v>0</v>
      </c>
      <c r="AE135" s="50">
        <f>P131</f>
        <v>47.079999988915787</v>
      </c>
    </row>
    <row r="136" spans="1:31" x14ac:dyDescent="0.2">
      <c r="A136" s="67">
        <v>5</v>
      </c>
      <c r="B136" s="66">
        <f t="shared" si="25"/>
        <v>8.7266462599716474E-2</v>
      </c>
      <c r="C136" s="64">
        <f t="shared" si="26"/>
        <v>6.1220606755982265</v>
      </c>
      <c r="D136" s="64">
        <f t="shared" si="27"/>
        <v>83.87793932440178</v>
      </c>
      <c r="E136" s="65">
        <f t="shared" si="50"/>
        <v>131.43222715403084</v>
      </c>
      <c r="F136" s="64">
        <f t="shared" si="29"/>
        <v>9.1177286758771867</v>
      </c>
      <c r="G136" s="64">
        <f t="shared" si="30"/>
        <v>80.882271324122812</v>
      </c>
      <c r="H136" s="65">
        <f t="shared" si="51"/>
        <v>32.583528949641</v>
      </c>
      <c r="I136" s="64">
        <f t="shared" si="32"/>
        <v>20.077615472686549</v>
      </c>
      <c r="J136" s="64">
        <f t="shared" si="33"/>
        <v>69.922384527313454</v>
      </c>
      <c r="K136" s="65">
        <f t="shared" si="52"/>
        <v>14.707328710754236</v>
      </c>
      <c r="L136" s="64">
        <f t="shared" si="35"/>
        <v>31.581440274427177</v>
      </c>
      <c r="M136" s="64">
        <f t="shared" si="36"/>
        <v>58.41855972557282</v>
      </c>
      <c r="N136" s="65">
        <f t="shared" si="53"/>
        <v>9.3780145648242339</v>
      </c>
      <c r="O136" s="64">
        <f t="shared" si="38"/>
        <v>43.196214448427064</v>
      </c>
      <c r="P136" s="64">
        <f t="shared" si="39"/>
        <v>46.803785551572936</v>
      </c>
      <c r="Q136" s="65">
        <f t="shared" si="54"/>
        <v>6.7081207611887415</v>
      </c>
      <c r="R136" s="64">
        <f t="shared" si="41"/>
        <v>32.629568925722133</v>
      </c>
      <c r="S136" s="59">
        <f t="shared" si="42"/>
        <v>57.370431074277867</v>
      </c>
      <c r="T136" s="58">
        <f t="shared" si="55"/>
        <v>9.0693229679235614</v>
      </c>
      <c r="U136" s="66"/>
    </row>
    <row r="137" spans="1:31" x14ac:dyDescent="0.2">
      <c r="A137" s="67">
        <v>6</v>
      </c>
      <c r="B137" s="66">
        <f t="shared" si="25"/>
        <v>0.10471975511965978</v>
      </c>
      <c r="C137" s="64">
        <f t="shared" si="26"/>
        <v>6.8556340520924541</v>
      </c>
      <c r="D137" s="64">
        <f t="shared" si="27"/>
        <v>83.144365947907545</v>
      </c>
      <c r="E137" s="65">
        <f t="shared" si="50"/>
        <v>126.54809314768764</v>
      </c>
      <c r="F137" s="64">
        <f t="shared" si="29"/>
        <v>9.6600929061545884</v>
      </c>
      <c r="G137" s="64">
        <f t="shared" si="30"/>
        <v>80.339907093845412</v>
      </c>
      <c r="H137" s="65">
        <f t="shared" si="51"/>
        <v>37.584201890861522</v>
      </c>
      <c r="I137" s="64">
        <f t="shared" si="32"/>
        <v>20.33920910415268</v>
      </c>
      <c r="J137" s="64">
        <f t="shared" si="33"/>
        <v>69.660790895847327</v>
      </c>
      <c r="K137" s="65">
        <f t="shared" si="52"/>
        <v>17.50171549859672</v>
      </c>
      <c r="L137" s="64">
        <f t="shared" si="35"/>
        <v>31.74998244070547</v>
      </c>
      <c r="M137" s="64">
        <f t="shared" si="36"/>
        <v>58.250017559294534</v>
      </c>
      <c r="N137" s="65">
        <f t="shared" si="53"/>
        <v>11.215387644240948</v>
      </c>
      <c r="O137" s="64">
        <f t="shared" si="38"/>
        <v>43.317189624008783</v>
      </c>
      <c r="P137" s="64">
        <f t="shared" si="39"/>
        <v>46.682810375991217</v>
      </c>
      <c r="Q137" s="65">
        <f t="shared" si="54"/>
        <v>8.035201352390537</v>
      </c>
      <c r="R137" s="64">
        <f t="shared" si="41"/>
        <v>32.792638101911585</v>
      </c>
      <c r="S137" s="59">
        <f t="shared" si="42"/>
        <v>57.207361898088415</v>
      </c>
      <c r="T137" s="58">
        <f t="shared" si="55"/>
        <v>10.848554606859407</v>
      </c>
      <c r="U137" s="69"/>
    </row>
    <row r="138" spans="1:31" x14ac:dyDescent="0.2">
      <c r="A138" s="67">
        <v>7</v>
      </c>
      <c r="B138" s="66">
        <f t="shared" ref="B138:B201" si="56">RADIANS(A138)</f>
        <v>0.12217304763960307</v>
      </c>
      <c r="C138" s="64">
        <f t="shared" ref="C138:C201" si="57">DEGREES(ACOS(SIN(C$5)*SIN($C$6)+COS(C$5)*COS($C$6)*COS($B138)))</f>
        <v>7.6321565450066293</v>
      </c>
      <c r="D138" s="64">
        <f t="shared" ref="D138:D201" si="58">90-C138</f>
        <v>82.367843454993377</v>
      </c>
      <c r="E138" s="65">
        <f t="shared" si="50"/>
        <v>122.66758544809542</v>
      </c>
      <c r="F138" s="64">
        <f t="shared" ref="F138:F201" si="59">DEGREES(ACOS(SIN(G$5)*SIN($C$6)+COS(G$5)*COS($C$6)*COS($B138)))</f>
        <v>10.264160457500333</v>
      </c>
      <c r="G138" s="64">
        <f t="shared" ref="G138:G201" si="60">90-F138</f>
        <v>79.735839542499662</v>
      </c>
      <c r="H138" s="65">
        <f t="shared" si="51"/>
        <v>42.04165687396241</v>
      </c>
      <c r="I138" s="64">
        <f t="shared" ref="I138:I201" si="61">DEGREES(ACOS(SIN(J$5)*SIN($C$6)+COS(J$5)*COS($C$6)*COS($B138)))</f>
        <v>20.644086227321736</v>
      </c>
      <c r="J138" s="64">
        <f t="shared" ref="J138:J201" si="62">90-I138</f>
        <v>69.355913772678264</v>
      </c>
      <c r="K138" s="65">
        <f t="shared" si="52"/>
        <v>20.222580520399763</v>
      </c>
      <c r="L138" s="64">
        <f t="shared" ref="L138:L201" si="63">DEGREES(ACOS(SIN(M$5)*SIN($C$6)+COS(M$5)*COS($C$6)*COS($B138)))</f>
        <v>31.94802112912086</v>
      </c>
      <c r="M138" s="64">
        <f t="shared" ref="M138:M201" si="64">90-L138</f>
        <v>58.05197887087914</v>
      </c>
      <c r="N138" s="65">
        <f t="shared" si="53"/>
        <v>13.032636245256713</v>
      </c>
      <c r="O138" s="64">
        <f t="shared" ref="O138:O201" si="65">DEGREES(ACOS(SIN(P$5)*SIN($C$6)+COS(P$5)*COS($C$6)*COS($B138)))</f>
        <v>43.45972518531434</v>
      </c>
      <c r="P138" s="64">
        <f t="shared" ref="P138:P201" si="66">90-O138</f>
        <v>46.54027481468566</v>
      </c>
      <c r="Q138" s="65">
        <f t="shared" si="54"/>
        <v>9.354495013482337</v>
      </c>
      <c r="R138" s="64">
        <f t="shared" ref="R138:R201" si="67">DEGREES(ACOS(SIN(S$5)*SIN($C$6)+COS(S$5)*COS($C$6)*COS($B138)))</f>
        <v>32.984315802367583</v>
      </c>
      <c r="S138" s="59">
        <f t="shared" ref="S138:S201" si="68">90-R138</f>
        <v>57.015684197632417</v>
      </c>
      <c r="T138" s="58">
        <f t="shared" si="55"/>
        <v>12.609513792547268</v>
      </c>
      <c r="U138" s="69"/>
    </row>
    <row r="139" spans="1:31" x14ac:dyDescent="0.2">
      <c r="A139" s="67">
        <v>8</v>
      </c>
      <c r="B139" s="66">
        <f t="shared" si="56"/>
        <v>0.13962634015954636</v>
      </c>
      <c r="C139" s="64">
        <f t="shared" si="57"/>
        <v>8.439754180902435</v>
      </c>
      <c r="D139" s="64">
        <f t="shared" si="58"/>
        <v>81.56024581909756</v>
      </c>
      <c r="E139" s="65">
        <f t="shared" si="50"/>
        <v>119.54998651035864</v>
      </c>
      <c r="F139" s="64">
        <f t="shared" si="59"/>
        <v>10.91968369989228</v>
      </c>
      <c r="G139" s="64">
        <f t="shared" si="60"/>
        <v>79.080316300107725</v>
      </c>
      <c r="H139" s="65">
        <f t="shared" si="51"/>
        <v>46.001136488539636</v>
      </c>
      <c r="I139" s="64">
        <f t="shared" si="61"/>
        <v>20.990358041575938</v>
      </c>
      <c r="J139" s="64">
        <f t="shared" si="62"/>
        <v>69.009641958424055</v>
      </c>
      <c r="K139" s="65">
        <f t="shared" si="52"/>
        <v>22.862618917470154</v>
      </c>
      <c r="L139" s="64">
        <f t="shared" si="63"/>
        <v>32.175011094231031</v>
      </c>
      <c r="M139" s="64">
        <f t="shared" si="64"/>
        <v>57.824988905768969</v>
      </c>
      <c r="N139" s="65">
        <f t="shared" si="53"/>
        <v>14.826983628806484</v>
      </c>
      <c r="O139" s="64">
        <f t="shared" si="65"/>
        <v>43.623609321285578</v>
      </c>
      <c r="P139" s="64">
        <f t="shared" si="66"/>
        <v>46.376390678714422</v>
      </c>
      <c r="Q139" s="65">
        <f t="shared" si="54"/>
        <v>10.664822383515578</v>
      </c>
      <c r="R139" s="64">
        <f t="shared" si="67"/>
        <v>33.20410606189882</v>
      </c>
      <c r="S139" s="59">
        <f t="shared" si="68"/>
        <v>56.79589393810118</v>
      </c>
      <c r="T139" s="58">
        <f t="shared" si="55"/>
        <v>14.34964686155781</v>
      </c>
      <c r="U139" s="69"/>
    </row>
    <row r="140" spans="1:31" x14ac:dyDescent="0.2">
      <c r="A140" s="67">
        <v>9</v>
      </c>
      <c r="B140" s="66">
        <f t="shared" si="56"/>
        <v>0.15707963267948966</v>
      </c>
      <c r="C140" s="64">
        <f t="shared" si="57"/>
        <v>9.2702802252332273</v>
      </c>
      <c r="D140" s="64">
        <f t="shared" si="58"/>
        <v>80.729719774766778</v>
      </c>
      <c r="E140" s="65">
        <f t="shared" si="50"/>
        <v>117.01547630282172</v>
      </c>
      <c r="F140" s="64">
        <f t="shared" si="59"/>
        <v>11.617942618392913</v>
      </c>
      <c r="G140" s="64">
        <f t="shared" si="60"/>
        <v>78.382057381607083</v>
      </c>
      <c r="H140" s="65">
        <f t="shared" si="51"/>
        <v>49.515875722482889</v>
      </c>
      <c r="I140" s="64">
        <f t="shared" si="61"/>
        <v>21.376009731316415</v>
      </c>
      <c r="J140" s="64">
        <f t="shared" si="62"/>
        <v>68.623990268683585</v>
      </c>
      <c r="K140" s="65">
        <f t="shared" si="52"/>
        <v>25.416223540742156</v>
      </c>
      <c r="L140" s="64">
        <f t="shared" si="63"/>
        <v>32.430343745692468</v>
      </c>
      <c r="M140" s="64">
        <f t="shared" si="64"/>
        <v>57.569656254307532</v>
      </c>
      <c r="N140" s="65">
        <f t="shared" si="53"/>
        <v>16.595889802258306</v>
      </c>
      <c r="O140" s="64">
        <f t="shared" si="65"/>
        <v>43.808601899669213</v>
      </c>
      <c r="P140" s="64">
        <f t="shared" si="66"/>
        <v>46.191398100330787</v>
      </c>
      <c r="Q140" s="65">
        <f t="shared" si="54"/>
        <v>11.965055508268509</v>
      </c>
      <c r="R140" s="64">
        <f t="shared" si="67"/>
        <v>33.451454151417281</v>
      </c>
      <c r="S140" s="59">
        <f t="shared" si="68"/>
        <v>56.548545848582719</v>
      </c>
      <c r="T140" s="58">
        <f t="shared" si="55"/>
        <v>16.066603342429541</v>
      </c>
      <c r="U140" s="69"/>
    </row>
    <row r="141" spans="1:31" x14ac:dyDescent="0.2">
      <c r="A141" s="67">
        <v>10</v>
      </c>
      <c r="B141" s="66">
        <f t="shared" si="56"/>
        <v>0.17453292519943295</v>
      </c>
      <c r="C141" s="64">
        <f t="shared" si="57"/>
        <v>10.118060161798692</v>
      </c>
      <c r="D141" s="64">
        <f t="shared" si="58"/>
        <v>79.881939838201305</v>
      </c>
      <c r="E141" s="65">
        <f t="shared" si="50"/>
        <v>114.93145741497308</v>
      </c>
      <c r="F141" s="64">
        <f t="shared" si="59"/>
        <v>12.351677315626425</v>
      </c>
      <c r="G141" s="64">
        <f t="shared" si="60"/>
        <v>77.648322684373568</v>
      </c>
      <c r="H141" s="65">
        <f t="shared" si="51"/>
        <v>52.639894626591484</v>
      </c>
      <c r="I141" s="64">
        <f t="shared" si="61"/>
        <v>21.798947742546673</v>
      </c>
      <c r="J141" s="64">
        <f t="shared" si="62"/>
        <v>68.201052257453327</v>
      </c>
      <c r="K141" s="65">
        <f t="shared" si="52"/>
        <v>27.879414208704492</v>
      </c>
      <c r="L141" s="64">
        <f t="shared" si="63"/>
        <v>32.71335466907307</v>
      </c>
      <c r="M141" s="64">
        <f t="shared" si="64"/>
        <v>57.28664533092693</v>
      </c>
      <c r="N141" s="65">
        <f t="shared" si="53"/>
        <v>18.337066487492439</v>
      </c>
      <c r="O141" s="64">
        <f t="shared" si="65"/>
        <v>44.014436151518716</v>
      </c>
      <c r="P141" s="64">
        <f t="shared" si="66"/>
        <v>45.985563848481284</v>
      </c>
      <c r="Q141" s="65">
        <f t="shared" si="54"/>
        <v>13.254122991112126</v>
      </c>
      <c r="R141" s="64">
        <f t="shared" si="67"/>
        <v>33.72575306602576</v>
      </c>
      <c r="S141" s="59">
        <f t="shared" si="68"/>
        <v>56.27424693397424</v>
      </c>
      <c r="T141" s="58">
        <f t="shared" si="55"/>
        <v>17.758249791374393</v>
      </c>
      <c r="U141" s="69"/>
    </row>
    <row r="142" spans="1:31" x14ac:dyDescent="0.2">
      <c r="A142" s="67">
        <v>11</v>
      </c>
      <c r="B142" s="66">
        <f t="shared" si="56"/>
        <v>0.19198621771937624</v>
      </c>
      <c r="C142" s="64">
        <f t="shared" si="57"/>
        <v>10.979066861374841</v>
      </c>
      <c r="D142" s="64">
        <f t="shared" si="58"/>
        <v>79.020933138625153</v>
      </c>
      <c r="E142" s="65">
        <f t="shared" si="50"/>
        <v>113.19999936283273</v>
      </c>
      <c r="F142" s="64">
        <f t="shared" si="59"/>
        <v>13.11491982198485</v>
      </c>
      <c r="G142" s="64">
        <f t="shared" si="60"/>
        <v>76.885080178015144</v>
      </c>
      <c r="H142" s="65">
        <f t="shared" si="51"/>
        <v>55.423986890548193</v>
      </c>
      <c r="I142" s="64">
        <f t="shared" si="61"/>
        <v>22.257042621556511</v>
      </c>
      <c r="J142" s="64">
        <f t="shared" si="62"/>
        <v>67.742957378443492</v>
      </c>
      <c r="K142" s="65">
        <f t="shared" si="52"/>
        <v>30.249713740001805</v>
      </c>
      <c r="L142" s="64">
        <f t="shared" si="63"/>
        <v>33.023331413522008</v>
      </c>
      <c r="M142" s="64">
        <f t="shared" si="64"/>
        <v>56.976668586477992</v>
      </c>
      <c r="N142" s="65">
        <f t="shared" si="53"/>
        <v>20.048486494293481</v>
      </c>
      <c r="O142" s="64">
        <f t="shared" si="65"/>
        <v>44.240820491896372</v>
      </c>
      <c r="P142" s="64">
        <f t="shared" si="66"/>
        <v>45.759179508103628</v>
      </c>
      <c r="Q142" s="65">
        <f t="shared" si="54"/>
        <v>14.531014389532762</v>
      </c>
      <c r="R142" s="64">
        <f t="shared" si="67"/>
        <v>34.026350282037988</v>
      </c>
      <c r="S142" s="59">
        <f t="shared" si="68"/>
        <v>55.973649717962012</v>
      </c>
      <c r="T142" s="58">
        <f t="shared" si="55"/>
        <v>19.422679026435926</v>
      </c>
      <c r="U142" s="69"/>
    </row>
    <row r="143" spans="1:31" x14ac:dyDescent="0.2">
      <c r="A143" s="67">
        <v>12</v>
      </c>
      <c r="B143" s="66">
        <f t="shared" si="56"/>
        <v>0.20943951023931956</v>
      </c>
      <c r="C143" s="64">
        <f t="shared" si="57"/>
        <v>11.850385889980569</v>
      </c>
      <c r="D143" s="64">
        <f t="shared" si="58"/>
        <v>78.149614110019428</v>
      </c>
      <c r="E143" s="65">
        <f t="shared" si="50"/>
        <v>111.74816336410996</v>
      </c>
      <c r="F143" s="64">
        <f t="shared" si="59"/>
        <v>13.902795419431268</v>
      </c>
      <c r="G143" s="64">
        <f t="shared" si="60"/>
        <v>76.097204580568729</v>
      </c>
      <c r="H143" s="65">
        <f t="shared" si="51"/>
        <v>57.913865744152716</v>
      </c>
      <c r="I143" s="64">
        <f t="shared" si="61"/>
        <v>22.748166239142698</v>
      </c>
      <c r="J143" s="64">
        <f t="shared" si="62"/>
        <v>67.251833760857295</v>
      </c>
      <c r="K143" s="65">
        <f t="shared" si="52"/>
        <v>32.525988101668489</v>
      </c>
      <c r="L143" s="64">
        <f t="shared" si="63"/>
        <v>33.359521358894249</v>
      </c>
      <c r="M143" s="64">
        <f t="shared" si="64"/>
        <v>56.640478641105751</v>
      </c>
      <c r="N143" s="65">
        <f t="shared" si="53"/>
        <v>21.728387753750511</v>
      </c>
      <c r="O143" s="64">
        <f t="shared" si="65"/>
        <v>44.487440449424867</v>
      </c>
      <c r="P143" s="64">
        <f t="shared" si="66"/>
        <v>45.512559550575133</v>
      </c>
      <c r="Q143" s="65">
        <f t="shared" si="54"/>
        <v>15.794783830699552</v>
      </c>
      <c r="R143" s="64">
        <f t="shared" si="67"/>
        <v>34.352554626893792</v>
      </c>
      <c r="S143" s="59">
        <f t="shared" si="68"/>
        <v>55.647445373106208</v>
      </c>
      <c r="T143" s="58">
        <f t="shared" si="55"/>
        <v>21.058214919510306</v>
      </c>
      <c r="U143" s="69"/>
    </row>
    <row r="144" spans="1:31" x14ac:dyDescent="0.2">
      <c r="A144" s="67">
        <v>13</v>
      </c>
      <c r="B144" s="66">
        <f t="shared" si="56"/>
        <v>0.22689280275926285</v>
      </c>
      <c r="C144" s="64">
        <f t="shared" si="57"/>
        <v>12.729867415301875</v>
      </c>
      <c r="D144" s="64">
        <f t="shared" si="58"/>
        <v>77.270132584698132</v>
      </c>
      <c r="E144" s="65">
        <f t="shared" si="50"/>
        <v>110.52099799921166</v>
      </c>
      <c r="F144" s="64">
        <f t="shared" si="59"/>
        <v>14.711330545349336</v>
      </c>
      <c r="G144" s="64">
        <f t="shared" si="60"/>
        <v>75.288669454650659</v>
      </c>
      <c r="H144" s="65">
        <f t="shared" si="51"/>
        <v>60.149608472808005</v>
      </c>
      <c r="I144" s="64">
        <f t="shared" si="61"/>
        <v>23.270222836159444</v>
      </c>
      <c r="J144" s="64">
        <f t="shared" si="62"/>
        <v>66.729777163840552</v>
      </c>
      <c r="K144" s="65">
        <f t="shared" si="52"/>
        <v>34.708266789727915</v>
      </c>
      <c r="L144" s="64">
        <f t="shared" si="63"/>
        <v>33.721139491500658</v>
      </c>
      <c r="M144" s="64">
        <f t="shared" si="64"/>
        <v>56.278860508499342</v>
      </c>
      <c r="N144" s="65">
        <f t="shared" si="53"/>
        <v>23.37527243207753</v>
      </c>
      <c r="O144" s="64">
        <f t="shared" si="65"/>
        <v>44.753960677045583</v>
      </c>
      <c r="P144" s="64">
        <f t="shared" si="66"/>
        <v>45.246039322954417</v>
      </c>
      <c r="Q144" s="65">
        <f t="shared" si="54"/>
        <v>17.044552836751386</v>
      </c>
      <c r="R144" s="64">
        <f t="shared" si="67"/>
        <v>34.703643117607946</v>
      </c>
      <c r="S144" s="59">
        <f t="shared" si="68"/>
        <v>55.296356882392054</v>
      </c>
      <c r="T144" s="58">
        <f t="shared" si="55"/>
        <v>22.6634130410281</v>
      </c>
      <c r="U144" s="69"/>
    </row>
    <row r="145" spans="1:32" x14ac:dyDescent="0.2">
      <c r="A145" s="67">
        <v>14</v>
      </c>
      <c r="B145" s="66">
        <f t="shared" si="56"/>
        <v>0.24434609527920614</v>
      </c>
      <c r="C145" s="64">
        <f t="shared" si="57"/>
        <v>13.61589672933831</v>
      </c>
      <c r="D145" s="64">
        <f t="shared" si="58"/>
        <v>76.384103270661683</v>
      </c>
      <c r="E145" s="65">
        <f t="shared" si="50"/>
        <v>109.47657941226102</v>
      </c>
      <c r="F145" s="64">
        <f t="shared" si="59"/>
        <v>15.53728336721521</v>
      </c>
      <c r="G145" s="64">
        <f t="shared" si="60"/>
        <v>74.46271663278479</v>
      </c>
      <c r="H145" s="65">
        <f t="shared" si="51"/>
        <v>62.165805432620694</v>
      </c>
      <c r="I145" s="64">
        <f t="shared" si="61"/>
        <v>23.821173833442078</v>
      </c>
      <c r="J145" s="64">
        <f t="shared" si="62"/>
        <v>66.178826166557926</v>
      </c>
      <c r="K145" s="65">
        <f t="shared" si="52"/>
        <v>36.797557093037263</v>
      </c>
      <c r="L145" s="64">
        <f t="shared" si="63"/>
        <v>34.107375939180869</v>
      </c>
      <c r="M145" s="64">
        <f t="shared" si="64"/>
        <v>55.892624060819131</v>
      </c>
      <c r="N145" s="65">
        <f t="shared" si="53"/>
        <v>24.987901669916447</v>
      </c>
      <c r="O145" s="64">
        <f t="shared" si="65"/>
        <v>45.040027016695603</v>
      </c>
      <c r="P145" s="64">
        <f t="shared" si="66"/>
        <v>44.959972983304397</v>
      </c>
      <c r="Q145" s="65">
        <f t="shared" si="54"/>
        <v>18.279512366757608</v>
      </c>
      <c r="R145" s="64">
        <f t="shared" si="67"/>
        <v>35.07886763928169</v>
      </c>
      <c r="S145" s="59">
        <f t="shared" si="68"/>
        <v>54.92113236071831</v>
      </c>
      <c r="T145" s="58">
        <f t="shared" si="55"/>
        <v>24.237057557962007</v>
      </c>
      <c r="U145" s="69"/>
    </row>
    <row r="146" spans="1:32" s="54" customFormat="1" x14ac:dyDescent="0.2">
      <c r="A146" s="63">
        <v>15</v>
      </c>
      <c r="B146" s="62">
        <f t="shared" si="56"/>
        <v>0.26179938779914941</v>
      </c>
      <c r="C146" s="60">
        <f t="shared" si="57"/>
        <v>14.507240504023496</v>
      </c>
      <c r="D146" s="60">
        <f t="shared" si="58"/>
        <v>75.4927594959765</v>
      </c>
      <c r="E146" s="61">
        <f t="shared" si="50"/>
        <v>108.58251426328621</v>
      </c>
      <c r="F146" s="60">
        <f t="shared" si="59"/>
        <v>16.378001561546121</v>
      </c>
      <c r="G146" s="60">
        <f t="shared" si="60"/>
        <v>73.621998438453886</v>
      </c>
      <c r="H146" s="61">
        <f t="shared" si="51"/>
        <v>63.992043954640742</v>
      </c>
      <c r="I146" s="60">
        <f t="shared" si="61"/>
        <v>24.399056727679543</v>
      </c>
      <c r="J146" s="60">
        <f t="shared" si="62"/>
        <v>65.60094327232045</v>
      </c>
      <c r="K146" s="61">
        <f t="shared" si="52"/>
        <v>38.795662845742264</v>
      </c>
      <c r="L146" s="60">
        <f t="shared" si="63"/>
        <v>34.517403141050671</v>
      </c>
      <c r="M146" s="60">
        <f t="shared" si="64"/>
        <v>55.482596858949329</v>
      </c>
      <c r="N146" s="61">
        <f t="shared" si="53"/>
        <v>26.565286574438442</v>
      </c>
      <c r="O146" s="60">
        <f t="shared" si="65"/>
        <v>45.34526859155649</v>
      </c>
      <c r="P146" s="60">
        <f t="shared" si="66"/>
        <v>44.65473140844351</v>
      </c>
      <c r="Q146" s="61">
        <f t="shared" si="54"/>
        <v>19.498924097135607</v>
      </c>
      <c r="R146" s="60">
        <f t="shared" si="67"/>
        <v>35.477461353967712</v>
      </c>
      <c r="S146" s="59">
        <f t="shared" si="68"/>
        <v>54.522538646032288</v>
      </c>
      <c r="T146" s="58">
        <f t="shared" si="55"/>
        <v>25.778154860372474</v>
      </c>
      <c r="U146" s="70"/>
      <c r="V146" s="56">
        <f>E146</f>
        <v>108.58251426328621</v>
      </c>
      <c r="W146" s="55"/>
      <c r="AF146" s="55">
        <f>D146</f>
        <v>75.4927594959765</v>
      </c>
    </row>
    <row r="147" spans="1:32" x14ac:dyDescent="0.2">
      <c r="A147" s="67">
        <v>16</v>
      </c>
      <c r="B147" s="66">
        <f t="shared" si="56"/>
        <v>0.27925268031909273</v>
      </c>
      <c r="C147" s="64">
        <f t="shared" si="57"/>
        <v>15.402941977857463</v>
      </c>
      <c r="D147" s="64">
        <f t="shared" si="58"/>
        <v>74.597058022142534</v>
      </c>
      <c r="E147" s="65">
        <f t="shared" si="50"/>
        <v>107.81346328042919</v>
      </c>
      <c r="F147" s="64">
        <f t="shared" si="59"/>
        <v>17.231306237484763</v>
      </c>
      <c r="G147" s="64">
        <f t="shared" si="60"/>
        <v>72.768693762515241</v>
      </c>
      <c r="H147" s="65">
        <f t="shared" si="51"/>
        <v>65.65351477130055</v>
      </c>
      <c r="I147" s="64">
        <f t="shared" si="61"/>
        <v>25.001998644895242</v>
      </c>
      <c r="J147" s="64">
        <f t="shared" si="62"/>
        <v>64.998001355104762</v>
      </c>
      <c r="K147" s="65">
        <f t="shared" si="52"/>
        <v>40.705015174167457</v>
      </c>
      <c r="L147" s="64">
        <f t="shared" si="63"/>
        <v>34.950382553333959</v>
      </c>
      <c r="M147" s="64">
        <f t="shared" si="64"/>
        <v>55.049617446666041</v>
      </c>
      <c r="N147" s="65">
        <f t="shared" si="53"/>
        <v>28.106676133419288</v>
      </c>
      <c r="O147" s="64">
        <f t="shared" si="65"/>
        <v>45.669299900977343</v>
      </c>
      <c r="P147" s="64">
        <f t="shared" si="66"/>
        <v>44.330700099022657</v>
      </c>
      <c r="Q147" s="65">
        <f t="shared" si="54"/>
        <v>20.702120975325052</v>
      </c>
      <c r="R147" s="64">
        <f t="shared" si="67"/>
        <v>35.898644750495336</v>
      </c>
      <c r="S147" s="59">
        <f t="shared" si="68"/>
        <v>54.101355249504664</v>
      </c>
      <c r="T147" s="58">
        <f t="shared" si="55"/>
        <v>27.285924435557497</v>
      </c>
      <c r="U147" s="69"/>
      <c r="V147" s="53">
        <f>H146</f>
        <v>63.992043954640742</v>
      </c>
      <c r="AF147" s="50">
        <f>G146</f>
        <v>73.621998438453886</v>
      </c>
    </row>
    <row r="148" spans="1:32" x14ac:dyDescent="0.2">
      <c r="A148" s="67">
        <v>17</v>
      </c>
      <c r="B148" s="66">
        <f t="shared" si="56"/>
        <v>0.29670597283903605</v>
      </c>
      <c r="C148" s="64">
        <f t="shared" si="57"/>
        <v>16.302248242816674</v>
      </c>
      <c r="D148" s="64">
        <f t="shared" si="58"/>
        <v>73.697751757183326</v>
      </c>
      <c r="E148" s="65">
        <f t="shared" si="50"/>
        <v>107.14937235599677</v>
      </c>
      <c r="F148" s="64">
        <f t="shared" si="59"/>
        <v>18.095398695964946</v>
      </c>
      <c r="G148" s="64">
        <f t="shared" si="60"/>
        <v>71.904601304035054</v>
      </c>
      <c r="H148" s="65">
        <f t="shared" si="51"/>
        <v>67.171627956504281</v>
      </c>
      <c r="I148" s="64">
        <f t="shared" si="61"/>
        <v>25.628225260601763</v>
      </c>
      <c r="J148" s="64">
        <f t="shared" si="62"/>
        <v>64.371774739398234</v>
      </c>
      <c r="K148" s="65">
        <f t="shared" si="52"/>
        <v>42.528519942436652</v>
      </c>
      <c r="L148" s="64">
        <f t="shared" si="63"/>
        <v>35.405470818629666</v>
      </c>
      <c r="M148" s="64">
        <f t="shared" si="64"/>
        <v>54.594529181370334</v>
      </c>
      <c r="N148" s="65">
        <f t="shared" si="53"/>
        <v>29.611542726389128</v>
      </c>
      <c r="O148" s="64">
        <f t="shared" si="65"/>
        <v>46.011722895042894</v>
      </c>
      <c r="P148" s="64">
        <f t="shared" si="66"/>
        <v>43.988277104957106</v>
      </c>
      <c r="Q148" s="65">
        <f t="shared" si="54"/>
        <v>21.888507092468686</v>
      </c>
      <c r="R148" s="64">
        <f t="shared" si="67"/>
        <v>36.341631266542365</v>
      </c>
      <c r="S148" s="59">
        <f t="shared" si="68"/>
        <v>53.658368733457635</v>
      </c>
      <c r="T148" s="58">
        <f t="shared" si="55"/>
        <v>28.759787524616939</v>
      </c>
      <c r="U148" s="69"/>
      <c r="V148" s="53">
        <f>K146</f>
        <v>38.795662845742264</v>
      </c>
      <c r="AF148" s="50">
        <f>J146</f>
        <v>65.60094327232045</v>
      </c>
    </row>
    <row r="149" spans="1:32" x14ac:dyDescent="0.2">
      <c r="A149" s="67">
        <v>18</v>
      </c>
      <c r="B149" s="66">
        <f t="shared" si="56"/>
        <v>0.31415926535897931</v>
      </c>
      <c r="C149" s="64">
        <f t="shared" si="57"/>
        <v>17.204558941155131</v>
      </c>
      <c r="D149" s="64">
        <f t="shared" si="58"/>
        <v>72.795441058844872</v>
      </c>
      <c r="E149" s="65">
        <f t="shared" si="50"/>
        <v>106.57419548177941</v>
      </c>
      <c r="F149" s="64">
        <f t="shared" si="59"/>
        <v>18.968786163633126</v>
      </c>
      <c r="G149" s="64">
        <f t="shared" si="60"/>
        <v>71.031213836366874</v>
      </c>
      <c r="H149" s="65">
        <f t="shared" si="51"/>
        <v>68.564583996603574</v>
      </c>
      <c r="I149" s="64">
        <f t="shared" si="61"/>
        <v>26.276065843813313</v>
      </c>
      <c r="J149" s="64">
        <f t="shared" si="62"/>
        <v>63.723934156186687</v>
      </c>
      <c r="K149" s="65">
        <f t="shared" si="52"/>
        <v>44.269424286019621</v>
      </c>
      <c r="L149" s="64">
        <f t="shared" si="63"/>
        <v>35.881825350550223</v>
      </c>
      <c r="M149" s="64">
        <f t="shared" si="64"/>
        <v>54.118174649449777</v>
      </c>
      <c r="N149" s="65">
        <f t="shared" si="53"/>
        <v>31.079565884041813</v>
      </c>
      <c r="O149" s="64">
        <f t="shared" si="65"/>
        <v>46.372129007952232</v>
      </c>
      <c r="P149" s="64">
        <f t="shared" si="66"/>
        <v>43.627870992047768</v>
      </c>
      <c r="Q149" s="65">
        <f t="shared" si="54"/>
        <v>23.057556929611195</v>
      </c>
      <c r="R149" s="64">
        <f t="shared" si="67"/>
        <v>36.805632434272468</v>
      </c>
      <c r="S149" s="59">
        <f t="shared" si="68"/>
        <v>53.194367565727532</v>
      </c>
      <c r="T149" s="58">
        <f t="shared" si="55"/>
        <v>30.199354087814765</v>
      </c>
      <c r="U149" s="69"/>
      <c r="V149" s="53">
        <f>N146</f>
        <v>26.565286574438442</v>
      </c>
      <c r="AF149" s="50">
        <f>M146</f>
        <v>55.482596858949329</v>
      </c>
    </row>
    <row r="150" spans="1:32" x14ac:dyDescent="0.2">
      <c r="A150" s="67">
        <v>19</v>
      </c>
      <c r="B150" s="66">
        <f t="shared" si="56"/>
        <v>0.33161255787892263</v>
      </c>
      <c r="C150" s="64">
        <f t="shared" si="57"/>
        <v>18.109389482625694</v>
      </c>
      <c r="D150" s="64">
        <f t="shared" si="58"/>
        <v>71.890610517374313</v>
      </c>
      <c r="E150" s="65">
        <f t="shared" si="50"/>
        <v>106.07496209988122</v>
      </c>
      <c r="F150" s="64">
        <f t="shared" si="59"/>
        <v>19.850222858548243</v>
      </c>
      <c r="G150" s="64">
        <f t="shared" si="60"/>
        <v>70.14977714145175</v>
      </c>
      <c r="H150" s="65">
        <f t="shared" si="51"/>
        <v>69.847878317593</v>
      </c>
      <c r="I150" s="64">
        <f t="shared" si="61"/>
        <v>26.943955165908488</v>
      </c>
      <c r="J150" s="64">
        <f t="shared" si="62"/>
        <v>63.056044834091509</v>
      </c>
      <c r="K150" s="65">
        <f t="shared" si="52"/>
        <v>45.93120285383187</v>
      </c>
      <c r="L150" s="64">
        <f t="shared" si="63"/>
        <v>36.378609307983972</v>
      </c>
      <c r="M150" s="64">
        <f t="shared" si="64"/>
        <v>53.621390692016028</v>
      </c>
      <c r="N150" s="65">
        <f t="shared" si="53"/>
        <v>32.510614900193914</v>
      </c>
      <c r="O150" s="64">
        <f t="shared" si="65"/>
        <v>46.75010113179809</v>
      </c>
      <c r="P150" s="64">
        <f t="shared" si="66"/>
        <v>43.24989886820191</v>
      </c>
      <c r="Q150" s="65">
        <f t="shared" si="54"/>
        <v>24.20881403844853</v>
      </c>
      <c r="R150" s="64">
        <f t="shared" si="67"/>
        <v>37.289862519456612</v>
      </c>
      <c r="S150" s="59">
        <f t="shared" si="68"/>
        <v>52.710137480543388</v>
      </c>
      <c r="T150" s="58">
        <f t="shared" si="55"/>
        <v>31.604408577251494</v>
      </c>
      <c r="U150" s="69"/>
      <c r="V150" s="53">
        <f>Q146</f>
        <v>19.498924097135607</v>
      </c>
      <c r="AF150" s="50">
        <f>P146</f>
        <v>44.65473140844351</v>
      </c>
    </row>
    <row r="151" spans="1:32" x14ac:dyDescent="0.2">
      <c r="A151" s="67">
        <v>20</v>
      </c>
      <c r="B151" s="66">
        <f t="shared" si="56"/>
        <v>0.3490658503988659</v>
      </c>
      <c r="C151" s="64">
        <f t="shared" si="57"/>
        <v>19.016344271623858</v>
      </c>
      <c r="D151" s="64">
        <f t="shared" si="58"/>
        <v>70.983655728376135</v>
      </c>
      <c r="E151" s="65">
        <f t="shared" si="50"/>
        <v>105.64108798205984</v>
      </c>
      <c r="F151" s="64">
        <f t="shared" si="59"/>
        <v>20.738663249441402</v>
      </c>
      <c r="G151" s="64">
        <f t="shared" si="60"/>
        <v>69.261336750558598</v>
      </c>
      <c r="H151" s="65">
        <f t="shared" si="51"/>
        <v>71.034734803826183</v>
      </c>
      <c r="I151" s="64">
        <f t="shared" si="61"/>
        <v>27.630432957564118</v>
      </c>
      <c r="J151" s="64">
        <f t="shared" si="62"/>
        <v>62.369567042435882</v>
      </c>
      <c r="K151" s="65">
        <f t="shared" si="52"/>
        <v>47.517463131607421</v>
      </c>
      <c r="L151" s="64">
        <f t="shared" si="63"/>
        <v>36.894995952676098</v>
      </c>
      <c r="M151" s="64">
        <f t="shared" si="64"/>
        <v>53.105004047323902</v>
      </c>
      <c r="N151" s="65">
        <f t="shared" si="53"/>
        <v>33.904730837632876</v>
      </c>
      <c r="O151" s="64">
        <f t="shared" si="65"/>
        <v>47.145215514899988</v>
      </c>
      <c r="P151" s="64">
        <f t="shared" si="66"/>
        <v>42.854784485100012</v>
      </c>
      <c r="Q151" s="65">
        <f t="shared" si="54"/>
        <v>25.341889222014832</v>
      </c>
      <c r="R151" s="64">
        <f t="shared" si="67"/>
        <v>37.793542640603434</v>
      </c>
      <c r="S151" s="59">
        <f t="shared" si="68"/>
        <v>52.206457359396566</v>
      </c>
      <c r="T151" s="58">
        <f t="shared" si="55"/>
        <v>32.974894973036619</v>
      </c>
      <c r="U151" s="69"/>
    </row>
    <row r="152" spans="1:32" x14ac:dyDescent="0.2">
      <c r="A152" s="67">
        <v>21</v>
      </c>
      <c r="B152" s="66">
        <f t="shared" si="56"/>
        <v>0.36651914291880922</v>
      </c>
      <c r="C152" s="64">
        <f t="shared" si="57"/>
        <v>19.925096943558877</v>
      </c>
      <c r="D152" s="64">
        <f t="shared" si="58"/>
        <v>70.074903056441116</v>
      </c>
      <c r="E152" s="65">
        <f t="shared" si="50"/>
        <v>105.26386016844658</v>
      </c>
      <c r="F152" s="64">
        <f t="shared" si="59"/>
        <v>21.63322493025473</v>
      </c>
      <c r="G152" s="64">
        <f t="shared" si="60"/>
        <v>68.366775069745273</v>
      </c>
      <c r="H152" s="65">
        <f t="shared" si="51"/>
        <v>72.136472198899398</v>
      </c>
      <c r="I152" s="64">
        <f t="shared" si="61"/>
        <v>28.334141516187646</v>
      </c>
      <c r="J152" s="64">
        <f t="shared" si="62"/>
        <v>61.665858483812357</v>
      </c>
      <c r="K152" s="65">
        <f t="shared" si="52"/>
        <v>49.031868418487377</v>
      </c>
      <c r="L152" s="64">
        <f t="shared" si="63"/>
        <v>37.430172400077581</v>
      </c>
      <c r="M152" s="64">
        <f t="shared" si="64"/>
        <v>52.569827599922419</v>
      </c>
      <c r="N152" s="65">
        <f t="shared" si="53"/>
        <v>35.262108396614259</v>
      </c>
      <c r="O152" s="64">
        <f t="shared" si="65"/>
        <v>47.557043571462145</v>
      </c>
      <c r="P152" s="64">
        <f t="shared" si="66"/>
        <v>42.442956428537855</v>
      </c>
      <c r="Q152" s="65">
        <f t="shared" si="54"/>
        <v>26.456458283002039</v>
      </c>
      <c r="R152" s="64">
        <f t="shared" si="67"/>
        <v>38.315904368898074</v>
      </c>
      <c r="S152" s="59">
        <f t="shared" si="68"/>
        <v>51.684095631101926</v>
      </c>
      <c r="T152" s="58">
        <f t="shared" si="55"/>
        <v>34.310901487199402</v>
      </c>
      <c r="U152" s="69"/>
    </row>
    <row r="153" spans="1:32" x14ac:dyDescent="0.2">
      <c r="A153" s="67">
        <v>22</v>
      </c>
      <c r="B153" s="66">
        <f t="shared" si="56"/>
        <v>0.38397243543875248</v>
      </c>
      <c r="C153" s="64">
        <f t="shared" si="57"/>
        <v>20.835375582498155</v>
      </c>
      <c r="D153" s="64">
        <f t="shared" si="58"/>
        <v>69.164624417501841</v>
      </c>
      <c r="E153" s="65">
        <f t="shared" si="50"/>
        <v>104.93604770929979</v>
      </c>
      <c r="F153" s="64">
        <f t="shared" si="59"/>
        <v>22.533159047277707</v>
      </c>
      <c r="G153" s="64">
        <f t="shared" si="60"/>
        <v>67.466840952722293</v>
      </c>
      <c r="H153" s="65">
        <f t="shared" si="51"/>
        <v>73.162810778908579</v>
      </c>
      <c r="I153" s="64">
        <f t="shared" si="61"/>
        <v>29.053821976330628</v>
      </c>
      <c r="J153" s="64">
        <f t="shared" si="62"/>
        <v>60.946178023669376</v>
      </c>
      <c r="K153" s="65">
        <f t="shared" si="52"/>
        <v>50.478076582869306</v>
      </c>
      <c r="L153" s="64">
        <f t="shared" si="63"/>
        <v>37.983342786408258</v>
      </c>
      <c r="M153" s="64">
        <f t="shared" si="64"/>
        <v>52.016657213591742</v>
      </c>
      <c r="N153" s="65">
        <f t="shared" si="53"/>
        <v>36.583078038135731</v>
      </c>
      <c r="O153" s="64">
        <f t="shared" si="65"/>
        <v>47.985153591922419</v>
      </c>
      <c r="P153" s="64">
        <f t="shared" si="66"/>
        <v>42.014846408077581</v>
      </c>
      <c r="Q153" s="65">
        <f t="shared" si="54"/>
        <v>27.552259407868142</v>
      </c>
      <c r="R153" s="64">
        <f t="shared" si="67"/>
        <v>38.856192821543189</v>
      </c>
      <c r="S153" s="59">
        <f t="shared" si="68"/>
        <v>51.143807178456811</v>
      </c>
      <c r="T153" s="58">
        <f t="shared" si="55"/>
        <v>35.612645282351643</v>
      </c>
      <c r="U153" s="69"/>
    </row>
    <row r="154" spans="1:32" x14ac:dyDescent="0.2">
      <c r="A154" s="67">
        <v>23</v>
      </c>
      <c r="B154" s="66">
        <f t="shared" si="56"/>
        <v>0.4014257279586958</v>
      </c>
      <c r="C154" s="64">
        <f t="shared" si="57"/>
        <v>21.746951528567312</v>
      </c>
      <c r="D154" s="64">
        <f t="shared" si="58"/>
        <v>68.253048471432692</v>
      </c>
      <c r="E154" s="65">
        <f t="shared" si="50"/>
        <v>104.65160435014073</v>
      </c>
      <c r="F154" s="64">
        <f t="shared" si="59"/>
        <v>23.437826653462221</v>
      </c>
      <c r="G154" s="64">
        <f t="shared" si="60"/>
        <v>66.562173346537776</v>
      </c>
      <c r="H154" s="65">
        <f t="shared" si="51"/>
        <v>74.122127646271551</v>
      </c>
      <c r="I154" s="64">
        <f t="shared" si="61"/>
        <v>29.788309665989281</v>
      </c>
      <c r="J154" s="64">
        <f t="shared" si="62"/>
        <v>60.211690334010719</v>
      </c>
      <c r="K154" s="65">
        <f t="shared" si="52"/>
        <v>51.859692540661385</v>
      </c>
      <c r="L154" s="64">
        <f t="shared" si="63"/>
        <v>38.553730884736467</v>
      </c>
      <c r="M154" s="64">
        <f t="shared" si="64"/>
        <v>51.446269115263533</v>
      </c>
      <c r="N154" s="65">
        <f t="shared" si="53"/>
        <v>37.868088677955534</v>
      </c>
      <c r="O154" s="64">
        <f t="shared" si="65"/>
        <v>48.429112345868077</v>
      </c>
      <c r="P154" s="64">
        <f t="shared" si="66"/>
        <v>41.570887654131923</v>
      </c>
      <c r="Q154" s="65">
        <f t="shared" si="54"/>
        <v>28.629090253729746</v>
      </c>
      <c r="R154" s="64">
        <f t="shared" si="67"/>
        <v>39.413669270419135</v>
      </c>
      <c r="S154" s="59">
        <f t="shared" si="68"/>
        <v>50.586330729580865</v>
      </c>
      <c r="T154" s="58">
        <f t="shared" si="55"/>
        <v>36.880457493306039</v>
      </c>
      <c r="U154" s="69"/>
    </row>
    <row r="155" spans="1:32" x14ac:dyDescent="0.2">
      <c r="A155" s="67">
        <v>24</v>
      </c>
      <c r="B155" s="66">
        <f t="shared" si="56"/>
        <v>0.41887902047863912</v>
      </c>
      <c r="C155" s="64">
        <f t="shared" si="57"/>
        <v>22.659630806360674</v>
      </c>
      <c r="D155" s="64">
        <f t="shared" si="58"/>
        <v>67.340369193639333</v>
      </c>
      <c r="E155" s="65">
        <f t="shared" si="50"/>
        <v>104.40543914895787</v>
      </c>
      <c r="F155" s="64">
        <f t="shared" si="59"/>
        <v>24.34667971958692</v>
      </c>
      <c r="G155" s="64">
        <f t="shared" si="60"/>
        <v>65.653320280413084</v>
      </c>
      <c r="H155" s="65">
        <f t="shared" si="51"/>
        <v>75.021668706203201</v>
      </c>
      <c r="I155" s="64">
        <f t="shared" si="61"/>
        <v>30.536528888398344</v>
      </c>
      <c r="J155" s="64">
        <f t="shared" si="62"/>
        <v>59.463471111601656</v>
      </c>
      <c r="K155" s="65">
        <f t="shared" si="52"/>
        <v>53.180232398143872</v>
      </c>
      <c r="L155" s="64">
        <f t="shared" si="63"/>
        <v>39.140582209847992</v>
      </c>
      <c r="M155" s="64">
        <f t="shared" si="64"/>
        <v>50.859417790152008</v>
      </c>
      <c r="N155" s="65">
        <f t="shared" si="53"/>
        <v>39.117691195055485</v>
      </c>
      <c r="O155" s="64">
        <f t="shared" si="65"/>
        <v>48.888486571764915</v>
      </c>
      <c r="P155" s="64">
        <f t="shared" si="66"/>
        <v>41.111513428235085</v>
      </c>
      <c r="Q155" s="65">
        <f t="shared" si="54"/>
        <v>29.686804802515642</v>
      </c>
      <c r="R155" s="64">
        <f t="shared" si="67"/>
        <v>39.987613294962777</v>
      </c>
      <c r="S155" s="59">
        <f t="shared" si="68"/>
        <v>50.012386705037223</v>
      </c>
      <c r="T155" s="58">
        <f t="shared" si="55"/>
        <v>38.114768782396872</v>
      </c>
      <c r="U155" s="69"/>
    </row>
    <row r="156" spans="1:32" x14ac:dyDescent="0.2">
      <c r="A156" s="67">
        <v>25</v>
      </c>
      <c r="B156" s="66">
        <f t="shared" si="56"/>
        <v>0.43633231299858238</v>
      </c>
      <c r="C156" s="64">
        <f t="shared" si="57"/>
        <v>23.57324749062365</v>
      </c>
      <c r="D156" s="64">
        <f t="shared" si="58"/>
        <v>66.426752509376342</v>
      </c>
      <c r="E156" s="65">
        <f t="shared" si="50"/>
        <v>104.19323781443035</v>
      </c>
      <c r="F156" s="64">
        <f t="shared" si="59"/>
        <v>25.259245813305476</v>
      </c>
      <c r="G156" s="64">
        <f t="shared" si="60"/>
        <v>64.740754186694517</v>
      </c>
      <c r="H156" s="65">
        <f t="shared" si="51"/>
        <v>75.867724562665728</v>
      </c>
      <c r="I156" s="64">
        <f t="shared" si="61"/>
        <v>31.297487395078196</v>
      </c>
      <c r="J156" s="64">
        <f t="shared" si="62"/>
        <v>58.702512604921807</v>
      </c>
      <c r="K156" s="65">
        <f t="shared" si="52"/>
        <v>54.44309731691741</v>
      </c>
      <c r="L156" s="64">
        <f t="shared" si="63"/>
        <v>39.74316565610166</v>
      </c>
      <c r="M156" s="64">
        <f t="shared" si="64"/>
        <v>50.25683434389834</v>
      </c>
      <c r="N156" s="65">
        <f t="shared" si="53"/>
        <v>40.332522932246462</v>
      </c>
      <c r="O156" s="64">
        <f t="shared" si="65"/>
        <v>49.362844349937376</v>
      </c>
      <c r="P156" s="64">
        <f t="shared" si="66"/>
        <v>40.637155650062624</v>
      </c>
      <c r="Q156" s="65">
        <f t="shared" si="54"/>
        <v>30.725310043234234</v>
      </c>
      <c r="R156" s="64">
        <f t="shared" si="67"/>
        <v>40.577324513021139</v>
      </c>
      <c r="S156" s="59">
        <f t="shared" si="68"/>
        <v>49.422675486978861</v>
      </c>
      <c r="T156" s="58">
        <f t="shared" si="55"/>
        <v>39.31609560532948</v>
      </c>
      <c r="U156" s="69"/>
    </row>
    <row r="157" spans="1:32" x14ac:dyDescent="0.2">
      <c r="A157" s="67">
        <v>26</v>
      </c>
      <c r="B157" s="66">
        <f t="shared" si="56"/>
        <v>0.4537856055185257</v>
      </c>
      <c r="C157" s="64">
        <f t="shared" si="57"/>
        <v>24.487658520334183</v>
      </c>
      <c r="D157" s="64">
        <f t="shared" si="58"/>
        <v>65.512341479665821</v>
      </c>
      <c r="E157" s="65">
        <f t="shared" si="50"/>
        <v>104.01132229711212</v>
      </c>
      <c r="F157" s="64">
        <f t="shared" si="59"/>
        <v>26.175115676943786</v>
      </c>
      <c r="G157" s="64">
        <f t="shared" si="60"/>
        <v>63.82488432305621</v>
      </c>
      <c r="H157" s="65">
        <f t="shared" si="51"/>
        <v>76.665776574694519</v>
      </c>
      <c r="I157" s="64">
        <f t="shared" si="61"/>
        <v>32.070270752744996</v>
      </c>
      <c r="J157" s="64">
        <f t="shared" si="62"/>
        <v>57.929729247255004</v>
      </c>
      <c r="K157" s="65">
        <f t="shared" si="52"/>
        <v>55.651555339930219</v>
      </c>
      <c r="L157" s="64">
        <f t="shared" si="63"/>
        <v>40.360774714731633</v>
      </c>
      <c r="M157" s="64">
        <f t="shared" si="64"/>
        <v>49.639225285268367</v>
      </c>
      <c r="N157" s="65">
        <f t="shared" si="53"/>
        <v>41.513293308320442</v>
      </c>
      <c r="O157" s="64">
        <f t="shared" si="65"/>
        <v>49.851756357221099</v>
      </c>
      <c r="P157" s="64">
        <f t="shared" si="66"/>
        <v>40.148243642778901</v>
      </c>
      <c r="Q157" s="65">
        <f t="shared" si="54"/>
        <v>31.744562538757208</v>
      </c>
      <c r="R157" s="64">
        <f t="shared" si="67"/>
        <v>41.182123926429583</v>
      </c>
      <c r="S157" s="59">
        <f t="shared" si="68"/>
        <v>48.817876073570417</v>
      </c>
      <c r="T157" s="58">
        <f t="shared" si="55"/>
        <v>40.485027315475875</v>
      </c>
      <c r="U157" s="69"/>
    </row>
    <row r="158" spans="1:32" x14ac:dyDescent="0.2">
      <c r="A158" s="67">
        <v>27</v>
      </c>
      <c r="B158" s="66">
        <f t="shared" si="56"/>
        <v>0.47123889803846897</v>
      </c>
      <c r="C158" s="64">
        <f t="shared" si="57"/>
        <v>25.402739607348419</v>
      </c>
      <c r="D158" s="64">
        <f t="shared" si="58"/>
        <v>64.597260392651577</v>
      </c>
      <c r="E158" s="65">
        <f t="shared" si="50"/>
        <v>103.85653950783926</v>
      </c>
      <c r="F158" s="64">
        <f t="shared" si="59"/>
        <v>27.093933105335733</v>
      </c>
      <c r="G158" s="64">
        <f t="shared" si="60"/>
        <v>62.906066894664264</v>
      </c>
      <c r="H158" s="65">
        <f t="shared" si="51"/>
        <v>77.420618329271122</v>
      </c>
      <c r="I158" s="64">
        <f t="shared" si="61"/>
        <v>32.854036754222825</v>
      </c>
      <c r="J158" s="64">
        <f t="shared" si="62"/>
        <v>57.145963245777175</v>
      </c>
      <c r="K158" s="65">
        <f t="shared" si="52"/>
        <v>56.808729629492881</v>
      </c>
      <c r="L158" s="64">
        <f t="shared" si="63"/>
        <v>40.9927283175494</v>
      </c>
      <c r="M158" s="64">
        <f t="shared" si="64"/>
        <v>49.0072716824506</v>
      </c>
      <c r="N158" s="65">
        <f t="shared" si="53"/>
        <v>42.660770611237687</v>
      </c>
      <c r="O158" s="64">
        <f t="shared" si="65"/>
        <v>50.354797003465947</v>
      </c>
      <c r="P158" s="64">
        <f t="shared" si="66"/>
        <v>39.645202996534053</v>
      </c>
      <c r="Q158" s="65">
        <f t="shared" si="54"/>
        <v>32.744564928471718</v>
      </c>
      <c r="R158" s="64">
        <f t="shared" si="67"/>
        <v>41.801354919484218</v>
      </c>
      <c r="S158" s="59">
        <f t="shared" si="68"/>
        <v>48.198645080515782</v>
      </c>
      <c r="T158" s="58">
        <f t="shared" si="55"/>
        <v>41.622214191504249</v>
      </c>
      <c r="U158" s="69"/>
    </row>
    <row r="159" spans="1:32" x14ac:dyDescent="0.2">
      <c r="A159" s="67">
        <v>28</v>
      </c>
      <c r="B159" s="66">
        <f t="shared" si="56"/>
        <v>0.48869219055841229</v>
      </c>
      <c r="C159" s="64">
        <f t="shared" si="57"/>
        <v>26.31838198055679</v>
      </c>
      <c r="D159" s="64">
        <f t="shared" si="58"/>
        <v>63.681618019443206</v>
      </c>
      <c r="E159" s="65">
        <f t="shared" si="50"/>
        <v>103.72617241720803</v>
      </c>
      <c r="F159" s="64">
        <f t="shared" si="59"/>
        <v>28.015386656620564</v>
      </c>
      <c r="G159" s="64">
        <f t="shared" si="60"/>
        <v>61.984613343379436</v>
      </c>
      <c r="H159" s="65">
        <f t="shared" si="51"/>
        <v>78.136456894266118</v>
      </c>
      <c r="I159" s="64">
        <f t="shared" si="61"/>
        <v>33.648009980946334</v>
      </c>
      <c r="J159" s="64">
        <f t="shared" si="62"/>
        <v>56.351990019053666</v>
      </c>
      <c r="K159" s="65">
        <f t="shared" si="52"/>
        <v>57.917591786309373</v>
      </c>
      <c r="L159" s="64">
        <f t="shared" si="63"/>
        <v>41.638371353101796</v>
      </c>
      <c r="M159" s="64">
        <f t="shared" si="64"/>
        <v>48.361628646898204</v>
      </c>
      <c r="N159" s="65">
        <f t="shared" si="53"/>
        <v>43.775770000376987</v>
      </c>
      <c r="O159" s="64">
        <f t="shared" si="65"/>
        <v>50.871545451591217</v>
      </c>
      <c r="P159" s="64">
        <f t="shared" si="66"/>
        <v>39.128454548408783</v>
      </c>
      <c r="Q159" s="65">
        <f t="shared" si="54"/>
        <v>33.725362412746946</v>
      </c>
      <c r="R159" s="64">
        <f t="shared" si="67"/>
        <v>42.434383948613743</v>
      </c>
      <c r="S159" s="59">
        <f t="shared" si="68"/>
        <v>47.565616051386257</v>
      </c>
      <c r="T159" s="58">
        <f t="shared" si="55"/>
        <v>42.728356436444095</v>
      </c>
      <c r="U159" s="68"/>
    </row>
    <row r="160" spans="1:32" x14ac:dyDescent="0.2">
      <c r="A160" s="67">
        <v>29</v>
      </c>
      <c r="B160" s="66">
        <f t="shared" si="56"/>
        <v>0.50614548307835561</v>
      </c>
      <c r="C160" s="64">
        <f t="shared" si="57"/>
        <v>27.234489773829871</v>
      </c>
      <c r="D160" s="64">
        <f t="shared" si="58"/>
        <v>62.765510226170129</v>
      </c>
      <c r="E160" s="65">
        <f t="shared" si="50"/>
        <v>103.61786850127879</v>
      </c>
      <c r="F160" s="64">
        <f t="shared" si="59"/>
        <v>28.939202830487744</v>
      </c>
      <c r="G160" s="64">
        <f t="shared" si="60"/>
        <v>61.060797169512256</v>
      </c>
      <c r="H160" s="65">
        <f t="shared" si="51"/>
        <v>78.816997442445569</v>
      </c>
      <c r="I160" s="64">
        <f t="shared" si="61"/>
        <v>34.451476590867273</v>
      </c>
      <c r="J160" s="64">
        <f t="shared" si="62"/>
        <v>55.548523409132727</v>
      </c>
      <c r="K160" s="65">
        <f t="shared" si="52"/>
        <v>58.980959127630975</v>
      </c>
      <c r="L160" s="64">
        <f t="shared" si="63"/>
        <v>42.297074899398901</v>
      </c>
      <c r="M160" s="64">
        <f t="shared" si="64"/>
        <v>47.702925100601099</v>
      </c>
      <c r="N160" s="65">
        <f t="shared" si="53"/>
        <v>44.859142712499036</v>
      </c>
      <c r="O160" s="64">
        <f t="shared" si="65"/>
        <v>51.401586524182626</v>
      </c>
      <c r="P160" s="64">
        <f t="shared" si="66"/>
        <v>38.598413475817374</v>
      </c>
      <c r="Q160" s="65">
        <f t="shared" si="54"/>
        <v>34.687039259585234</v>
      </c>
      <c r="R160" s="64">
        <f t="shared" si="67"/>
        <v>43.08060096068121</v>
      </c>
      <c r="S160" s="59">
        <f t="shared" si="68"/>
        <v>46.91939903931879</v>
      </c>
      <c r="T160" s="58">
        <f t="shared" si="55"/>
        <v>43.804194165718314</v>
      </c>
      <c r="U160" s="66"/>
    </row>
    <row r="161" spans="1:34" s="54" customFormat="1" x14ac:dyDescent="0.2">
      <c r="A161" s="63">
        <v>30</v>
      </c>
      <c r="B161" s="62">
        <f t="shared" si="56"/>
        <v>0.52359877559829882</v>
      </c>
      <c r="C161" s="60">
        <f t="shared" si="57"/>
        <v>28.150977914416455</v>
      </c>
      <c r="D161" s="60">
        <f t="shared" si="58"/>
        <v>61.849022085583542</v>
      </c>
      <c r="E161" s="61">
        <f t="shared" si="50"/>
        <v>103.52958174146512</v>
      </c>
      <c r="F161" s="60">
        <f t="shared" si="59"/>
        <v>29.865140426778346</v>
      </c>
      <c r="G161" s="60">
        <f t="shared" si="60"/>
        <v>60.134859573221654</v>
      </c>
      <c r="H161" s="61">
        <f t="shared" si="51"/>
        <v>79.46551418687632</v>
      </c>
      <c r="I161" s="60">
        <f t="shared" si="61"/>
        <v>35.263779379300516</v>
      </c>
      <c r="J161" s="60">
        <f t="shared" si="62"/>
        <v>54.736220620699484</v>
      </c>
      <c r="K161" s="61">
        <f t="shared" si="52"/>
        <v>60.001494993983066</v>
      </c>
      <c r="L161" s="60">
        <f t="shared" si="63"/>
        <v>42.968236214644193</v>
      </c>
      <c r="M161" s="60">
        <f t="shared" si="64"/>
        <v>47.031763785355807</v>
      </c>
      <c r="N161" s="61">
        <f t="shared" si="53"/>
        <v>45.911766440125575</v>
      </c>
      <c r="O161" s="60">
        <f t="shared" si="65"/>
        <v>51.944511500681614</v>
      </c>
      <c r="P161" s="60">
        <f t="shared" si="66"/>
        <v>38.055488499318386</v>
      </c>
      <c r="Q161" s="61">
        <f t="shared" si="54"/>
        <v>35.62971536825917</v>
      </c>
      <c r="R161" s="60">
        <f t="shared" si="67"/>
        <v>43.739419575713804</v>
      </c>
      <c r="S161" s="59">
        <f t="shared" si="68"/>
        <v>46.260580424286196</v>
      </c>
      <c r="T161" s="58">
        <f t="shared" si="55"/>
        <v>44.850498377017061</v>
      </c>
      <c r="U161" s="62"/>
      <c r="V161" s="56">
        <f>E161</f>
        <v>103.52958174146512</v>
      </c>
      <c r="W161" s="55"/>
      <c r="AG161" s="55">
        <f>D161</f>
        <v>61.849022085583542</v>
      </c>
    </row>
    <row r="162" spans="1:34" x14ac:dyDescent="0.2">
      <c r="A162" s="67">
        <v>31</v>
      </c>
      <c r="B162" s="66">
        <f t="shared" si="56"/>
        <v>0.54105206811824214</v>
      </c>
      <c r="C162" s="64">
        <f t="shared" si="57"/>
        <v>29.067770403599436</v>
      </c>
      <c r="D162" s="64">
        <f t="shared" si="58"/>
        <v>60.93222959640056</v>
      </c>
      <c r="E162" s="65">
        <f t="shared" si="50"/>
        <v>103.45952529768897</v>
      </c>
      <c r="F162" s="64">
        <f t="shared" si="59"/>
        <v>30.792985858026864</v>
      </c>
      <c r="G162" s="64">
        <f t="shared" si="60"/>
        <v>59.207014141973133</v>
      </c>
      <c r="H162" s="65">
        <f t="shared" si="51"/>
        <v>80.08491002908552</v>
      </c>
      <c r="I162" s="64">
        <f t="shared" si="61"/>
        <v>36.084313140199114</v>
      </c>
      <c r="J162" s="64">
        <f t="shared" si="62"/>
        <v>53.915686859800886</v>
      </c>
      <c r="K162" s="65">
        <f t="shared" si="52"/>
        <v>60.981711323381496</v>
      </c>
      <c r="L162" s="64">
        <f t="shared" si="63"/>
        <v>43.651278524236027</v>
      </c>
      <c r="M162" s="64">
        <f t="shared" si="64"/>
        <v>46.348721475763973</v>
      </c>
      <c r="N162" s="65">
        <f t="shared" si="53"/>
        <v>46.934536831684689</v>
      </c>
      <c r="O162" s="64">
        <f t="shared" si="65"/>
        <v>52.49991881006158</v>
      </c>
      <c r="P162" s="64">
        <f t="shared" si="66"/>
        <v>37.50008118993842</v>
      </c>
      <c r="Q162" s="65">
        <f t="shared" si="54"/>
        <v>36.55354291930864</v>
      </c>
      <c r="R162" s="64">
        <f t="shared" si="67"/>
        <v>44.410277067688618</v>
      </c>
      <c r="S162" s="59">
        <f t="shared" si="68"/>
        <v>45.589722932311382</v>
      </c>
      <c r="T162" s="58">
        <f t="shared" si="55"/>
        <v>45.868062875647865</v>
      </c>
      <c r="U162" s="66"/>
      <c r="V162" s="53">
        <f>H161</f>
        <v>79.46551418687632</v>
      </c>
      <c r="AG162" s="50">
        <f>G161</f>
        <v>60.134859573221654</v>
      </c>
    </row>
    <row r="163" spans="1:34" x14ac:dyDescent="0.2">
      <c r="A163" s="67">
        <v>32</v>
      </c>
      <c r="B163" s="66">
        <f t="shared" si="56"/>
        <v>0.55850536063818546</v>
      </c>
      <c r="C163" s="64">
        <f t="shared" si="57"/>
        <v>29.984798907203196</v>
      </c>
      <c r="D163" s="64">
        <f t="shared" si="58"/>
        <v>60.015201092796801</v>
      </c>
      <c r="E163" s="65">
        <f t="shared" ref="E163:E194" si="69">DEGREES(ACOS((SIN(RADIANS(D163))*SIN($C$6)-SIN(C$5))/(COS(RADIANS(D163))*COS($C$6))))</f>
        <v>103.40613264792286</v>
      </c>
      <c r="F163" s="64">
        <f t="shared" si="59"/>
        <v>31.722549236604287</v>
      </c>
      <c r="G163" s="64">
        <f t="shared" si="60"/>
        <v>58.277450763395713</v>
      </c>
      <c r="H163" s="65">
        <f t="shared" ref="H163:H194" si="70">DEGREES(ACOS((SIN(RADIANS(G163))*SIN($C$6)-SIN(G$5))/(COS(RADIANS(G163))*COS($C$6))))</f>
        <v>80.677766879423757</v>
      </c>
      <c r="I163" s="64">
        <f t="shared" si="61"/>
        <v>36.912520340370271</v>
      </c>
      <c r="J163" s="64">
        <f t="shared" si="62"/>
        <v>53.087479659629729</v>
      </c>
      <c r="K163" s="65">
        <f t="shared" ref="K163:K194" si="71">DEGREES(ACOS((SIN(RADIANS(J163))*SIN($C$6)-SIN(J$5))/(COS(RADIANS(J163))*COS($C$6))))</f>
        <v>61.923972878405841</v>
      </c>
      <c r="L163" s="64">
        <f t="shared" si="63"/>
        <v>44.345650638876364</v>
      </c>
      <c r="M163" s="64">
        <f t="shared" si="64"/>
        <v>45.654349361123636</v>
      </c>
      <c r="N163" s="65">
        <f t="shared" ref="N163:N194" si="72">DEGREES(ACOS((SIN(RADIANS(M163))*SIN($C$6)-SIN(M$5))/(COS(RADIANS(M163))*COS($C$6))))</f>
        <v>47.928360049108278</v>
      </c>
      <c r="O163" s="64">
        <f t="shared" si="65"/>
        <v>53.067414624530379</v>
      </c>
      <c r="P163" s="64">
        <f t="shared" si="66"/>
        <v>36.932585375469621</v>
      </c>
      <c r="Q163" s="65">
        <f t="shared" ref="Q163:Q194" si="73">DEGREES(ACOS((SIN(RADIANS(P163))*SIN($C$6)-SIN(P$5))/(COS(RADIANS(P163))*COS($C$6))))</f>
        <v>37.45870313510013</v>
      </c>
      <c r="R163" s="64">
        <f t="shared" si="67"/>
        <v>45.092634174479393</v>
      </c>
      <c r="S163" s="59">
        <f t="shared" si="68"/>
        <v>44.907365825520607</v>
      </c>
      <c r="T163" s="58">
        <f t="shared" ref="T163:T194" si="74">DEGREES(ACOS((SIN(RADIANS(S163))*SIN($C$6)-SIN(S$5))/(COS(RADIANS(S163))*COS($C$6))))</f>
        <v>46.857697114567912</v>
      </c>
      <c r="U163" s="66"/>
      <c r="V163" s="53">
        <f>K161</f>
        <v>60.001494993983066</v>
      </c>
      <c r="AG163" s="50">
        <f>J161</f>
        <v>54.736220620699484</v>
      </c>
    </row>
    <row r="164" spans="1:34" x14ac:dyDescent="0.2">
      <c r="A164" s="67">
        <v>33</v>
      </c>
      <c r="B164" s="66">
        <f t="shared" si="56"/>
        <v>0.57595865315812877</v>
      </c>
      <c r="C164" s="64">
        <f t="shared" si="57"/>
        <v>30.902001592651263</v>
      </c>
      <c r="D164" s="64">
        <f t="shared" si="58"/>
        <v>59.09799840734874</v>
      </c>
      <c r="E164" s="65">
        <f t="shared" si="69"/>
        <v>103.36802549023905</v>
      </c>
      <c r="F164" s="64">
        <f t="shared" si="59"/>
        <v>32.653661093778069</v>
      </c>
      <c r="G164" s="64">
        <f t="shared" si="60"/>
        <v>57.346338906221931</v>
      </c>
      <c r="H164" s="65">
        <f t="shared" si="70"/>
        <v>81.246388249008675</v>
      </c>
      <c r="I164" s="64">
        <f t="shared" si="61"/>
        <v>37.747887108210605</v>
      </c>
      <c r="J164" s="64">
        <f t="shared" si="62"/>
        <v>52.252112891789395</v>
      </c>
      <c r="K164" s="65">
        <f t="shared" si="71"/>
        <v>62.830502635655947</v>
      </c>
      <c r="L164" s="64">
        <f t="shared" si="63"/>
        <v>45.050826435090208</v>
      </c>
      <c r="M164" s="64">
        <f t="shared" si="64"/>
        <v>44.949173564909792</v>
      </c>
      <c r="N164" s="65">
        <f t="shared" si="72"/>
        <v>48.894146309680501</v>
      </c>
      <c r="O164" s="64">
        <f t="shared" si="65"/>
        <v>53.646613360260574</v>
      </c>
      <c r="P164" s="64">
        <f t="shared" si="66"/>
        <v>36.353386639739426</v>
      </c>
      <c r="Q164" s="65">
        <f t="shared" si="73"/>
        <v>38.345403170312196</v>
      </c>
      <c r="R164" s="64">
        <f t="shared" si="67"/>
        <v>45.785974765351995</v>
      </c>
      <c r="S164" s="59">
        <f t="shared" si="68"/>
        <v>44.214025234648005</v>
      </c>
      <c r="T164" s="58">
        <f t="shared" si="74"/>
        <v>47.820219898042239</v>
      </c>
      <c r="U164" s="66"/>
      <c r="V164" s="53">
        <f>N161</f>
        <v>45.911766440125575</v>
      </c>
      <c r="AG164" s="50">
        <f>M161</f>
        <v>47.031763785355807</v>
      </c>
    </row>
    <row r="165" spans="1:34" x14ac:dyDescent="0.2">
      <c r="A165" s="67">
        <v>34</v>
      </c>
      <c r="B165" s="66">
        <f t="shared" si="56"/>
        <v>0.59341194567807209</v>
      </c>
      <c r="C165" s="64">
        <f t="shared" si="57"/>
        <v>31.819322163558162</v>
      </c>
      <c r="D165" s="64">
        <f t="shared" si="58"/>
        <v>58.180677836441838</v>
      </c>
      <c r="E165" s="65">
        <f t="shared" si="69"/>
        <v>103.34398708197291</v>
      </c>
      <c r="F165" s="64">
        <f t="shared" si="59"/>
        <v>33.586169616650203</v>
      </c>
      <c r="G165" s="64">
        <f t="shared" si="60"/>
        <v>56.413830383349797</v>
      </c>
      <c r="H165" s="65">
        <f t="shared" si="70"/>
        <v>81.792835420251521</v>
      </c>
      <c r="I165" s="64">
        <f t="shared" si="61"/>
        <v>38.589939530780811</v>
      </c>
      <c r="J165" s="64">
        <f t="shared" si="62"/>
        <v>51.410060469219189</v>
      </c>
      <c r="K165" s="65">
        <f t="shared" si="71"/>
        <v>63.703387950758071</v>
      </c>
      <c r="L165" s="64">
        <f t="shared" si="63"/>
        <v>45.766304225954151</v>
      </c>
      <c r="M165" s="64">
        <f t="shared" si="64"/>
        <v>44.233695774045849</v>
      </c>
      <c r="N165" s="65">
        <f t="shared" si="72"/>
        <v>49.832804333949909</v>
      </c>
      <c r="O165" s="64">
        <f t="shared" si="65"/>
        <v>54.237138091449332</v>
      </c>
      <c r="P165" s="64">
        <f t="shared" si="66"/>
        <v>35.762861908550668</v>
      </c>
      <c r="Q165" s="65">
        <f t="shared" si="73"/>
        <v>39.213873147264678</v>
      </c>
      <c r="R165" s="64">
        <f t="shared" si="67"/>
        <v>46.489805391603682</v>
      </c>
      <c r="S165" s="59">
        <f t="shared" si="68"/>
        <v>43.510194608396318</v>
      </c>
      <c r="T165" s="58">
        <f t="shared" si="74"/>
        <v>48.756453891115306</v>
      </c>
      <c r="U165" s="66"/>
      <c r="V165" s="53">
        <f>Q161</f>
        <v>35.62971536825917</v>
      </c>
      <c r="AG165" s="50">
        <f>P161</f>
        <v>38.055488499318386</v>
      </c>
    </row>
    <row r="166" spans="1:34" x14ac:dyDescent="0.2">
      <c r="A166" s="67">
        <v>35</v>
      </c>
      <c r="B166" s="66">
        <f t="shared" si="56"/>
        <v>0.6108652381980153</v>
      </c>
      <c r="C166" s="64">
        <f t="shared" si="57"/>
        <v>32.736709053610802</v>
      </c>
      <c r="D166" s="64">
        <f t="shared" si="58"/>
        <v>57.263290946389198</v>
      </c>
      <c r="E166" s="65">
        <f t="shared" si="69"/>
        <v>103.33293997767244</v>
      </c>
      <c r="F166" s="64">
        <f t="shared" si="59"/>
        <v>34.519938311415054</v>
      </c>
      <c r="G166" s="64">
        <f t="shared" si="60"/>
        <v>55.480061688584946</v>
      </c>
      <c r="H166" s="65">
        <f t="shared" si="70"/>
        <v>82.31895826594608</v>
      </c>
      <c r="I166" s="64">
        <f t="shared" si="61"/>
        <v>39.438240247735465</v>
      </c>
      <c r="J166" s="64">
        <f t="shared" si="62"/>
        <v>50.561759752264535</v>
      </c>
      <c r="K166" s="65">
        <f t="shared" si="71"/>
        <v>64.544587197488653</v>
      </c>
      <c r="L166" s="64">
        <f t="shared" si="63"/>
        <v>46.49160604645062</v>
      </c>
      <c r="M166" s="64">
        <f t="shared" si="64"/>
        <v>43.50839395354938</v>
      </c>
      <c r="N166" s="65">
        <f t="shared" si="72"/>
        <v>50.745236619638959</v>
      </c>
      <c r="O166" s="64">
        <f t="shared" si="65"/>
        <v>54.838620884168826</v>
      </c>
      <c r="P166" s="64">
        <f t="shared" si="66"/>
        <v>35.161379115831174</v>
      </c>
      <c r="Q166" s="65">
        <f t="shared" si="73"/>
        <v>40.064363346990831</v>
      </c>
      <c r="R166" s="64">
        <f t="shared" si="67"/>
        <v>47.203654743170517</v>
      </c>
      <c r="S166" s="59">
        <f t="shared" si="68"/>
        <v>42.796345256829483</v>
      </c>
      <c r="T166" s="58">
        <f t="shared" si="74"/>
        <v>49.66722087321638</v>
      </c>
      <c r="U166" s="66"/>
    </row>
    <row r="167" spans="1:34" x14ac:dyDescent="0.2">
      <c r="A167" s="67">
        <v>36</v>
      </c>
      <c r="B167" s="66">
        <f t="shared" si="56"/>
        <v>0.62831853071795862</v>
      </c>
      <c r="C167" s="64">
        <f t="shared" si="57"/>
        <v>33.654114749685142</v>
      </c>
      <c r="D167" s="64">
        <f t="shared" si="58"/>
        <v>56.345885250314858</v>
      </c>
      <c r="E167" s="65">
        <f t="shared" si="69"/>
        <v>103.33392734688282</v>
      </c>
      <c r="F167" s="64">
        <f t="shared" si="59"/>
        <v>35.454844019096157</v>
      </c>
      <c r="G167" s="64">
        <f t="shared" si="60"/>
        <v>54.545155980903843</v>
      </c>
      <c r="H167" s="65">
        <f t="shared" si="70"/>
        <v>82.826421594804074</v>
      </c>
      <c r="I167" s="64">
        <f t="shared" si="61"/>
        <v>40.292385327187468</v>
      </c>
      <c r="J167" s="64">
        <f t="shared" si="62"/>
        <v>49.707614672812532</v>
      </c>
      <c r="K167" s="65">
        <f t="shared" si="71"/>
        <v>65.355936649180734</v>
      </c>
      <c r="L167" s="64">
        <f t="shared" si="63"/>
        <v>47.226276874673175</v>
      </c>
      <c r="M167" s="64">
        <f t="shared" si="64"/>
        <v>42.773723125326825</v>
      </c>
      <c r="N167" s="65">
        <f t="shared" si="72"/>
        <v>51.632335462006637</v>
      </c>
      <c r="O167" s="64">
        <f t="shared" si="65"/>
        <v>55.450703056505908</v>
      </c>
      <c r="P167" s="64">
        <f t="shared" si="66"/>
        <v>34.549296943494092</v>
      </c>
      <c r="Q167" s="65">
        <f t="shared" si="73"/>
        <v>40.897141563373594</v>
      </c>
      <c r="R167" s="64">
        <f t="shared" si="67"/>
        <v>47.92707303134911</v>
      </c>
      <c r="S167" s="59">
        <f t="shared" si="68"/>
        <v>42.07292696865089</v>
      </c>
      <c r="T167" s="58">
        <f t="shared" si="74"/>
        <v>50.553337672668647</v>
      </c>
      <c r="U167" s="66"/>
    </row>
    <row r="168" spans="1:34" x14ac:dyDescent="0.2">
      <c r="A168" s="67">
        <v>37</v>
      </c>
      <c r="B168" s="66">
        <f t="shared" si="56"/>
        <v>0.64577182323790194</v>
      </c>
      <c r="C168" s="64">
        <f t="shared" si="57"/>
        <v>34.57149522041825</v>
      </c>
      <c r="D168" s="64">
        <f t="shared" si="58"/>
        <v>55.42850477958175</v>
      </c>
      <c r="E168" s="65">
        <f t="shared" si="69"/>
        <v>103.34609722167868</v>
      </c>
      <c r="F168" s="64">
        <f t="shared" si="59"/>
        <v>36.39077522394242</v>
      </c>
      <c r="G168" s="64">
        <f t="shared" si="60"/>
        <v>53.60922477605758</v>
      </c>
      <c r="H168" s="65">
        <f t="shared" si="70"/>
        <v>83.31672774553067</v>
      </c>
      <c r="I168" s="64">
        <f t="shared" si="61"/>
        <v>41.152001406550298</v>
      </c>
      <c r="J168" s="64">
        <f t="shared" si="62"/>
        <v>48.847998593449702</v>
      </c>
      <c r="K168" s="65">
        <f t="shared" si="71"/>
        <v>66.139157426735693</v>
      </c>
      <c r="L168" s="64">
        <f t="shared" si="63"/>
        <v>47.969883807146545</v>
      </c>
      <c r="M168" s="64">
        <f t="shared" si="64"/>
        <v>42.030116192853455</v>
      </c>
      <c r="N168" s="65">
        <f t="shared" si="72"/>
        <v>52.494979643432671</v>
      </c>
      <c r="O168" s="64">
        <f t="shared" si="65"/>
        <v>56.073035371425355</v>
      </c>
      <c r="P168" s="64">
        <f t="shared" si="66"/>
        <v>33.926964628574645</v>
      </c>
      <c r="Q168" s="65">
        <f t="shared" si="73"/>
        <v>41.712490624534162</v>
      </c>
      <c r="R168" s="64">
        <f t="shared" si="67"/>
        <v>48.659631315241334</v>
      </c>
      <c r="S168" s="59">
        <f t="shared" si="68"/>
        <v>41.340368684758666</v>
      </c>
      <c r="T168" s="58">
        <f t="shared" si="74"/>
        <v>51.415612719128589</v>
      </c>
      <c r="U168" s="66"/>
    </row>
    <row r="169" spans="1:34" x14ac:dyDescent="0.2">
      <c r="A169" s="67">
        <v>38</v>
      </c>
      <c r="B169" s="66">
        <f t="shared" si="56"/>
        <v>0.66322511575784526</v>
      </c>
      <c r="C169" s="64">
        <f t="shared" si="57"/>
        <v>35.488809431298961</v>
      </c>
      <c r="D169" s="64">
        <f t="shared" si="58"/>
        <v>54.511190568701039</v>
      </c>
      <c r="E169" s="65">
        <f t="shared" si="69"/>
        <v>103.36868915473734</v>
      </c>
      <c r="F169" s="64">
        <f t="shared" si="59"/>
        <v>37.327630605812359</v>
      </c>
      <c r="G169" s="64">
        <f t="shared" si="60"/>
        <v>52.672369394187641</v>
      </c>
      <c r="H169" s="65">
        <f t="shared" si="70"/>
        <v>83.791236025017369</v>
      </c>
      <c r="I169" s="64">
        <f t="shared" si="61"/>
        <v>42.016743080396992</v>
      </c>
      <c r="J169" s="64">
        <f t="shared" si="62"/>
        <v>47.983256919603008</v>
      </c>
      <c r="K169" s="65">
        <f t="shared" si="71"/>
        <v>66.895862382473751</v>
      </c>
      <c r="L169" s="64">
        <f t="shared" si="63"/>
        <v>48.722015203820881</v>
      </c>
      <c r="M169" s="64">
        <f t="shared" si="64"/>
        <v>41.277984796179119</v>
      </c>
      <c r="N169" s="65">
        <f t="shared" si="72"/>
        <v>53.334031718587902</v>
      </c>
      <c r="O169" s="64">
        <f t="shared" si="65"/>
        <v>56.705278168644305</v>
      </c>
      <c r="P169" s="64">
        <f t="shared" si="66"/>
        <v>33.294721831355695</v>
      </c>
      <c r="Q169" s="65">
        <f t="shared" si="73"/>
        <v>42.510706082960191</v>
      </c>
      <c r="R169" s="64">
        <f t="shared" si="67"/>
        <v>49.400920787168488</v>
      </c>
      <c r="S169" s="59">
        <f t="shared" si="68"/>
        <v>40.599079212831512</v>
      </c>
      <c r="T169" s="58">
        <f t="shared" si="74"/>
        <v>52.254843152606981</v>
      </c>
      <c r="U169" s="66"/>
    </row>
    <row r="170" spans="1:34" x14ac:dyDescent="0.2">
      <c r="A170" s="67">
        <v>39</v>
      </c>
      <c r="B170" s="66">
        <f t="shared" si="56"/>
        <v>0.68067840827778847</v>
      </c>
      <c r="C170" s="64">
        <f t="shared" si="57"/>
        <v>36.406018931104491</v>
      </c>
      <c r="D170" s="64">
        <f t="shared" si="58"/>
        <v>53.593981068895509</v>
      </c>
      <c r="E170" s="65">
        <f t="shared" si="69"/>
        <v>103.40102287085401</v>
      </c>
      <c r="F170" s="64">
        <f t="shared" si="59"/>
        <v>38.265317796774461</v>
      </c>
      <c r="G170" s="64">
        <f t="shared" si="60"/>
        <v>51.734682203225539</v>
      </c>
      <c r="H170" s="65">
        <f t="shared" si="70"/>
        <v>84.251179483296212</v>
      </c>
      <c r="I170" s="64">
        <f t="shared" si="61"/>
        <v>42.886290517113473</v>
      </c>
      <c r="J170" s="64">
        <f t="shared" si="62"/>
        <v>47.113709482886527</v>
      </c>
      <c r="K170" s="65">
        <f t="shared" si="71"/>
        <v>67.627562824657375</v>
      </c>
      <c r="L170" s="64">
        <f t="shared" si="63"/>
        <v>49.482279815858533</v>
      </c>
      <c r="M170" s="64">
        <f t="shared" si="64"/>
        <v>40.517720184141467</v>
      </c>
      <c r="N170" s="65">
        <f t="shared" si="72"/>
        <v>54.150335826011236</v>
      </c>
      <c r="O170" s="64">
        <f t="shared" si="65"/>
        <v>57.347101441591654</v>
      </c>
      <c r="P170" s="64">
        <f t="shared" si="66"/>
        <v>32.652898558408346</v>
      </c>
      <c r="Q170" s="65">
        <f t="shared" si="73"/>
        <v>43.292094073570773</v>
      </c>
      <c r="R170" s="64">
        <f t="shared" si="67"/>
        <v>50.150552030132147</v>
      </c>
      <c r="S170" s="59">
        <f t="shared" si="68"/>
        <v>39.849447969867853</v>
      </c>
      <c r="T170" s="58">
        <f t="shared" si="74"/>
        <v>53.071812430342234</v>
      </c>
      <c r="U170" s="66"/>
    </row>
    <row r="171" spans="1:34" x14ac:dyDescent="0.2">
      <c r="A171" s="67">
        <v>40</v>
      </c>
      <c r="B171" s="66">
        <f t="shared" si="56"/>
        <v>0.69813170079773179</v>
      </c>
      <c r="C171" s="64">
        <f t="shared" si="57"/>
        <v>37.323087497454239</v>
      </c>
      <c r="D171" s="64">
        <f t="shared" si="58"/>
        <v>52.676912502545761</v>
      </c>
      <c r="E171" s="65">
        <f t="shared" si="69"/>
        <v>103.44248857496358</v>
      </c>
      <c r="F171" s="64">
        <f t="shared" si="59"/>
        <v>39.203752309288475</v>
      </c>
      <c r="G171" s="64">
        <f t="shared" si="60"/>
        <v>50.796247690711525</v>
      </c>
      <c r="H171" s="65">
        <f t="shared" si="70"/>
        <v>84.697679433966542</v>
      </c>
      <c r="I171" s="64">
        <f t="shared" si="61"/>
        <v>43.760347286388154</v>
      </c>
      <c r="J171" s="64">
        <f t="shared" si="62"/>
        <v>46.239652713611846</v>
      </c>
      <c r="K171" s="65">
        <f t="shared" si="71"/>
        <v>68.335675015508571</v>
      </c>
      <c r="L171" s="64">
        <f t="shared" si="63"/>
        <v>50.250305907154903</v>
      </c>
      <c r="M171" s="64">
        <f t="shared" si="64"/>
        <v>39.749694092845097</v>
      </c>
      <c r="N171" s="65">
        <f t="shared" si="72"/>
        <v>54.944715961895866</v>
      </c>
      <c r="O171" s="64">
        <f t="shared" si="65"/>
        <v>57.9981848652614</v>
      </c>
      <c r="P171" s="64">
        <f t="shared" si="66"/>
        <v>32.0018151347386</v>
      </c>
      <c r="Q171" s="65">
        <f t="shared" si="73"/>
        <v>44.056969337010642</v>
      </c>
      <c r="R171" s="64">
        <f t="shared" si="67"/>
        <v>50.90815425843136</v>
      </c>
      <c r="S171" s="59">
        <f t="shared" si="68"/>
        <v>39.09184574156864</v>
      </c>
      <c r="T171" s="58">
        <f t="shared" si="74"/>
        <v>53.867288376100483</v>
      </c>
      <c r="U171" s="66"/>
    </row>
    <row r="172" spans="1:34" x14ac:dyDescent="0.2">
      <c r="A172" s="67">
        <v>41</v>
      </c>
      <c r="B172" s="66">
        <f t="shared" si="56"/>
        <v>0.71558499331767511</v>
      </c>
      <c r="C172" s="64">
        <f t="shared" si="57"/>
        <v>38.239980831570634</v>
      </c>
      <c r="D172" s="64">
        <f t="shared" si="58"/>
        <v>51.760019168429366</v>
      </c>
      <c r="E172" s="65">
        <f t="shared" si="69"/>
        <v>103.49253864304612</v>
      </c>
      <c r="F172" s="64">
        <f t="shared" si="59"/>
        <v>40.142856609078436</v>
      </c>
      <c r="G172" s="64">
        <f t="shared" si="60"/>
        <v>49.857143390921564</v>
      </c>
      <c r="H172" s="65">
        <f t="shared" si="70"/>
        <v>85.131758060198209</v>
      </c>
      <c r="I172" s="64">
        <f t="shared" si="61"/>
        <v>44.638638380198927</v>
      </c>
      <c r="J172" s="64">
        <f t="shared" si="62"/>
        <v>45.361361619801073</v>
      </c>
      <c r="K172" s="65">
        <f t="shared" si="71"/>
        <v>69.02152639734274</v>
      </c>
      <c r="L172" s="64">
        <f t="shared" si="63"/>
        <v>51.025740378611005</v>
      </c>
      <c r="M172" s="64">
        <f t="shared" si="64"/>
        <v>38.974259621388995</v>
      </c>
      <c r="N172" s="65">
        <f t="shared" si="72"/>
        <v>55.717974657128444</v>
      </c>
      <c r="O172" s="64">
        <f t="shared" si="65"/>
        <v>58.658217780466273</v>
      </c>
      <c r="P172" s="64">
        <f t="shared" si="66"/>
        <v>31.341782219533727</v>
      </c>
      <c r="Q172" s="65">
        <f t="shared" si="73"/>
        <v>44.805653403914185</v>
      </c>
      <c r="R172" s="64">
        <f t="shared" si="67"/>
        <v>51.673374550779819</v>
      </c>
      <c r="S172" s="59">
        <f t="shared" si="68"/>
        <v>38.326625449220181</v>
      </c>
      <c r="T172" s="58">
        <f t="shared" si="74"/>
        <v>54.64202162021359</v>
      </c>
      <c r="U172" s="66"/>
    </row>
    <row r="173" spans="1:34" x14ac:dyDescent="0.2">
      <c r="A173" s="67">
        <v>42</v>
      </c>
      <c r="B173" s="66">
        <f t="shared" si="56"/>
        <v>0.73303828583761843</v>
      </c>
      <c r="C173" s="64">
        <f t="shared" si="57"/>
        <v>39.156666294172815</v>
      </c>
      <c r="D173" s="64">
        <f t="shared" si="58"/>
        <v>50.843333705827185</v>
      </c>
      <c r="E173" s="65">
        <f t="shared" si="69"/>
        <v>103.55068047258307</v>
      </c>
      <c r="F173" s="64">
        <f t="shared" si="59"/>
        <v>41.082559310455224</v>
      </c>
      <c r="G173" s="64">
        <f t="shared" si="60"/>
        <v>48.917440689544776</v>
      </c>
      <c r="H173" s="65">
        <f t="shared" si="70"/>
        <v>85.554349390185664</v>
      </c>
      <c r="I173" s="64">
        <f t="shared" si="61"/>
        <v>45.520908410810144</v>
      </c>
      <c r="J173" s="64">
        <f t="shared" si="62"/>
        <v>44.479091589189856</v>
      </c>
      <c r="K173" s="65">
        <f t="shared" si="71"/>
        <v>69.686361518266153</v>
      </c>
      <c r="L173" s="64">
        <f t="shared" si="63"/>
        <v>51.808247902492766</v>
      </c>
      <c r="M173" s="64">
        <f t="shared" si="64"/>
        <v>38.191752097507234</v>
      </c>
      <c r="N173" s="65">
        <f t="shared" si="72"/>
        <v>56.470892003925762</v>
      </c>
      <c r="O173" s="64">
        <f t="shared" si="65"/>
        <v>59.326899139670317</v>
      </c>
      <c r="P173" s="64">
        <f t="shared" si="66"/>
        <v>30.673100860329683</v>
      </c>
      <c r="Q173" s="65">
        <f t="shared" si="73"/>
        <v>45.538472934648127</v>
      </c>
      <c r="R173" s="64">
        <f t="shared" si="67"/>
        <v>52.445877083698178</v>
      </c>
      <c r="S173" s="59">
        <f t="shared" si="68"/>
        <v>37.554122916301822</v>
      </c>
      <c r="T173" s="58">
        <f t="shared" si="74"/>
        <v>55.396744382638907</v>
      </c>
      <c r="U173" s="66"/>
    </row>
    <row r="174" spans="1:34" x14ac:dyDescent="0.2">
      <c r="A174" s="67">
        <v>43</v>
      </c>
      <c r="B174" s="66">
        <f t="shared" si="56"/>
        <v>0.75049157835756175</v>
      </c>
      <c r="C174" s="64">
        <f t="shared" si="57"/>
        <v>40.073112675890506</v>
      </c>
      <c r="D174" s="64">
        <f t="shared" si="58"/>
        <v>49.926887324109494</v>
      </c>
      <c r="E174" s="65">
        <f t="shared" si="69"/>
        <v>103.61647030939822</v>
      </c>
      <c r="F174" s="64">
        <f t="shared" si="59"/>
        <v>42.022794475619278</v>
      </c>
      <c r="G174" s="64">
        <f t="shared" si="60"/>
        <v>47.977205524380722</v>
      </c>
      <c r="H174" s="65">
        <f t="shared" si="70"/>
        <v>85.966308879715967</v>
      </c>
      <c r="I174" s="64">
        <f t="shared" si="61"/>
        <v>46.406919970280086</v>
      </c>
      <c r="J174" s="64">
        <f t="shared" si="62"/>
        <v>43.593080029719914</v>
      </c>
      <c r="K174" s="65">
        <f t="shared" si="71"/>
        <v>70.331347641725742</v>
      </c>
      <c r="L174" s="64">
        <f t="shared" si="63"/>
        <v>52.597510072750673</v>
      </c>
      <c r="M174" s="64">
        <f t="shared" si="64"/>
        <v>37.402489927249327</v>
      </c>
      <c r="N174" s="65">
        <f t="shared" si="72"/>
        <v>57.204224983621522</v>
      </c>
      <c r="O174" s="64">
        <f t="shared" si="65"/>
        <v>60.003937419233651</v>
      </c>
      <c r="P174" s="64">
        <f t="shared" si="66"/>
        <v>29.996062580766349</v>
      </c>
      <c r="Q174" s="65">
        <f t="shared" si="73"/>
        <v>46.255758208093624</v>
      </c>
      <c r="R174" s="64">
        <f t="shared" si="67"/>
        <v>53.225342371572523</v>
      </c>
      <c r="S174" s="59">
        <f t="shared" si="68"/>
        <v>36.774657628427477</v>
      </c>
      <c r="T174" s="58">
        <f t="shared" si="74"/>
        <v>56.132169555374041</v>
      </c>
      <c r="U174" s="66"/>
    </row>
    <row r="175" spans="1:34" x14ac:dyDescent="0.2">
      <c r="A175" s="67">
        <v>44</v>
      </c>
      <c r="B175" s="66">
        <f t="shared" si="56"/>
        <v>0.76794487087750496</v>
      </c>
      <c r="C175" s="64">
        <f t="shared" si="57"/>
        <v>40.989289996757307</v>
      </c>
      <c r="D175" s="64">
        <f t="shared" si="58"/>
        <v>49.010710003242693</v>
      </c>
      <c r="E175" s="65">
        <f t="shared" si="69"/>
        <v>103.68950789996575</v>
      </c>
      <c r="F175" s="64">
        <f t="shared" si="59"/>
        <v>42.963501002548334</v>
      </c>
      <c r="G175" s="64">
        <f t="shared" si="60"/>
        <v>47.036498997451666</v>
      </c>
      <c r="H175" s="65">
        <f t="shared" si="70"/>
        <v>86.368421801425043</v>
      </c>
      <c r="I175" s="64">
        <f t="shared" si="61"/>
        <v>47.29645213703806</v>
      </c>
      <c r="J175" s="64">
        <f t="shared" si="62"/>
        <v>42.70354786296194</v>
      </c>
      <c r="K175" s="65">
        <f t="shared" si="71"/>
        <v>70.957580033878898</v>
      </c>
      <c r="L175" s="64">
        <f t="shared" si="63"/>
        <v>53.39322457591517</v>
      </c>
      <c r="M175" s="64">
        <f t="shared" si="64"/>
        <v>36.60677542408483</v>
      </c>
      <c r="N175" s="65">
        <f t="shared" si="72"/>
        <v>57.918707052164606</v>
      </c>
      <c r="O175" s="64">
        <f t="shared" si="65"/>
        <v>60.689050502552526</v>
      </c>
      <c r="P175" s="64">
        <f t="shared" si="66"/>
        <v>29.310949497447474</v>
      </c>
      <c r="Q175" s="65">
        <f t="shared" si="73"/>
        <v>46.957841752332435</v>
      </c>
      <c r="R175" s="64">
        <f t="shared" si="67"/>
        <v>54.011466518561882</v>
      </c>
      <c r="S175" s="59">
        <f t="shared" si="68"/>
        <v>35.988533481438118</v>
      </c>
      <c r="T175" s="58">
        <f t="shared" si="74"/>
        <v>56.848990044572865</v>
      </c>
      <c r="U175" s="66"/>
    </row>
    <row r="176" spans="1:34" s="54" customFormat="1" x14ac:dyDescent="0.2">
      <c r="A176" s="63">
        <v>45</v>
      </c>
      <c r="B176" s="62">
        <f t="shared" si="56"/>
        <v>0.78539816339744828</v>
      </c>
      <c r="C176" s="60">
        <f t="shared" si="57"/>
        <v>41.905169330284494</v>
      </c>
      <c r="D176" s="60">
        <f t="shared" si="58"/>
        <v>48.094830669715506</v>
      </c>
      <c r="E176" s="61">
        <f t="shared" si="69"/>
        <v>103.76943184428926</v>
      </c>
      <c r="F176" s="60">
        <f t="shared" si="59"/>
        <v>43.90462208859266</v>
      </c>
      <c r="G176" s="60">
        <f t="shared" si="60"/>
        <v>46.09537791140734</v>
      </c>
      <c r="H176" s="61">
        <f t="shared" si="70"/>
        <v>86.761410608834467</v>
      </c>
      <c r="I176" s="60">
        <f t="shared" si="61"/>
        <v>48.189299116169984</v>
      </c>
      <c r="J176" s="60">
        <f t="shared" si="62"/>
        <v>41.810700883830016</v>
      </c>
      <c r="K176" s="61">
        <f t="shared" si="71"/>
        <v>71.566086929930492</v>
      </c>
      <c r="L176" s="60">
        <f t="shared" si="63"/>
        <v>54.195104386109321</v>
      </c>
      <c r="M176" s="60">
        <f t="shared" si="64"/>
        <v>35.804895613890679</v>
      </c>
      <c r="N176" s="61">
        <f t="shared" si="72"/>
        <v>58.615047944628685</v>
      </c>
      <c r="O176" s="60">
        <f t="shared" si="65"/>
        <v>61.381965538224257</v>
      </c>
      <c r="P176" s="60">
        <f t="shared" si="66"/>
        <v>28.618034461775743</v>
      </c>
      <c r="Q176" s="61">
        <f t="shared" si="73"/>
        <v>47.645057109621348</v>
      </c>
      <c r="R176" s="60">
        <f t="shared" si="67"/>
        <v>54.803960486488968</v>
      </c>
      <c r="S176" s="59">
        <f t="shared" si="68"/>
        <v>35.196039513511032</v>
      </c>
      <c r="T176" s="58">
        <f t="shared" si="74"/>
        <v>57.547878336598295</v>
      </c>
      <c r="U176" s="62"/>
      <c r="V176" s="56">
        <f>E176</f>
        <v>103.76943184428926</v>
      </c>
      <c r="W176" s="55"/>
      <c r="AH176" s="55">
        <f>D176</f>
        <v>48.094830669715506</v>
      </c>
    </row>
    <row r="177" spans="1:35" x14ac:dyDescent="0.2">
      <c r="A177" s="67">
        <v>46</v>
      </c>
      <c r="B177" s="66">
        <f t="shared" si="56"/>
        <v>0.8028514559173916</v>
      </c>
      <c r="C177" s="64">
        <f t="shared" si="57"/>
        <v>42.820722648379189</v>
      </c>
      <c r="D177" s="64">
        <f t="shared" si="58"/>
        <v>47.179277351620811</v>
      </c>
      <c r="E177" s="65">
        <f t="shared" si="69"/>
        <v>103.85591554555432</v>
      </c>
      <c r="F177" s="64">
        <f t="shared" si="59"/>
        <v>44.846104758966106</v>
      </c>
      <c r="G177" s="64">
        <f t="shared" si="60"/>
        <v>45.153895241033894</v>
      </c>
      <c r="H177" s="65">
        <f t="shared" si="70"/>
        <v>87.145941417162049</v>
      </c>
      <c r="I177" s="64">
        <f t="shared" si="61"/>
        <v>49.085269001118007</v>
      </c>
      <c r="J177" s="64">
        <f t="shared" si="62"/>
        <v>40.914730998881993</v>
      </c>
      <c r="K177" s="65">
        <f t="shared" si="71"/>
        <v>72.157834185806436</v>
      </c>
      <c r="L177" s="64">
        <f t="shared" si="63"/>
        <v>55.002876986807792</v>
      </c>
      <c r="M177" s="64">
        <f t="shared" si="64"/>
        <v>34.997123013192208</v>
      </c>
      <c r="N177" s="65">
        <f t="shared" si="72"/>
        <v>59.293933664451416</v>
      </c>
      <c r="O177" s="64">
        <f t="shared" si="65"/>
        <v>62.082418777021111</v>
      </c>
      <c r="P177" s="64">
        <f t="shared" si="66"/>
        <v>27.917581222978889</v>
      </c>
      <c r="Q177" s="65">
        <f t="shared" si="73"/>
        <v>48.317737727745317</v>
      </c>
      <c r="R177" s="64">
        <f t="shared" si="67"/>
        <v>55.602549381944669</v>
      </c>
      <c r="S177" s="59">
        <f t="shared" si="68"/>
        <v>34.397450618055331</v>
      </c>
      <c r="T177" s="58">
        <f t="shared" si="74"/>
        <v>58.229486255951571</v>
      </c>
      <c r="U177" s="66"/>
      <c r="V177" s="53">
        <f>H176</f>
        <v>86.761410608834467</v>
      </c>
      <c r="AH177" s="50">
        <f>G176</f>
        <v>46.09537791140734</v>
      </c>
    </row>
    <row r="178" spans="1:35" x14ac:dyDescent="0.2">
      <c r="A178" s="67">
        <v>47</v>
      </c>
      <c r="B178" s="66">
        <f t="shared" si="56"/>
        <v>0.82030474843733492</v>
      </c>
      <c r="C178" s="64">
        <f t="shared" si="57"/>
        <v>43.735922683990623</v>
      </c>
      <c r="D178" s="64">
        <f t="shared" si="58"/>
        <v>46.264077316009377</v>
      </c>
      <c r="E178" s="65">
        <f t="shared" si="69"/>
        <v>103.94866366994144</v>
      </c>
      <c r="F178" s="64">
        <f t="shared" si="59"/>
        <v>45.787899451025893</v>
      </c>
      <c r="G178" s="64">
        <f t="shared" si="60"/>
        <v>44.212100548974107</v>
      </c>
      <c r="H178" s="65">
        <f t="shared" si="70"/>
        <v>87.522629721200573</v>
      </c>
      <c r="I178" s="64">
        <f t="shared" si="61"/>
        <v>49.984182645531391</v>
      </c>
      <c r="J178" s="64">
        <f t="shared" si="62"/>
        <v>40.015817354468609</v>
      </c>
      <c r="K178" s="65">
        <f t="shared" si="71"/>
        <v>72.733729625226104</v>
      </c>
      <c r="L178" s="64">
        <f t="shared" si="63"/>
        <v>55.816283621205962</v>
      </c>
      <c r="M178" s="64">
        <f t="shared" si="64"/>
        <v>34.183716378794038</v>
      </c>
      <c r="N178" s="65">
        <f t="shared" si="72"/>
        <v>59.95602662720011</v>
      </c>
      <c r="O178" s="64">
        <f t="shared" si="65"/>
        <v>62.790155391118915</v>
      </c>
      <c r="P178" s="64">
        <f t="shared" si="66"/>
        <v>27.209844608881085</v>
      </c>
      <c r="Q178" s="65">
        <f t="shared" si="73"/>
        <v>48.97621596970221</v>
      </c>
      <c r="R178" s="64">
        <f t="shared" si="67"/>
        <v>56.406971765065059</v>
      </c>
      <c r="S178" s="59">
        <f t="shared" si="68"/>
        <v>33.593028234934941</v>
      </c>
      <c r="T178" s="58">
        <f t="shared" si="74"/>
        <v>58.894444886501063</v>
      </c>
      <c r="U178" s="66"/>
      <c r="V178" s="53">
        <f>K176</f>
        <v>71.566086929930492</v>
      </c>
      <c r="AH178" s="50">
        <f>J176</f>
        <v>41.810700883830016</v>
      </c>
    </row>
    <row r="179" spans="1:35" x14ac:dyDescent="0.2">
      <c r="A179" s="67">
        <v>48</v>
      </c>
      <c r="B179" s="66">
        <f t="shared" si="56"/>
        <v>0.83775804095727824</v>
      </c>
      <c r="C179" s="64">
        <f t="shared" si="57"/>
        <v>44.650742808873709</v>
      </c>
      <c r="D179" s="64">
        <f t="shared" si="58"/>
        <v>45.349257191126291</v>
      </c>
      <c r="E179" s="65">
        <f t="shared" si="69"/>
        <v>104.04740904404655</v>
      </c>
      <c r="F179" s="64">
        <f t="shared" si="59"/>
        <v>46.729959646643763</v>
      </c>
      <c r="G179" s="64">
        <f t="shared" si="60"/>
        <v>43.270040353356237</v>
      </c>
      <c r="H179" s="65">
        <f t="shared" si="70"/>
        <v>87.892045452466363</v>
      </c>
      <c r="I179" s="64">
        <f t="shared" si="61"/>
        <v>50.885872634986434</v>
      </c>
      <c r="J179" s="64">
        <f t="shared" si="62"/>
        <v>39.114127365013566</v>
      </c>
      <c r="K179" s="65">
        <f t="shared" si="71"/>
        <v>73.294627094748904</v>
      </c>
      <c r="L179" s="64">
        <f t="shared" si="63"/>
        <v>56.635078572422373</v>
      </c>
      <c r="M179" s="64">
        <f t="shared" si="64"/>
        <v>33.364921427577627</v>
      </c>
      <c r="N179" s="65">
        <f t="shared" si="72"/>
        <v>60.601965932386584</v>
      </c>
      <c r="O179" s="64">
        <f t="shared" si="65"/>
        <v>63.504929278703081</v>
      </c>
      <c r="P179" s="64">
        <f t="shared" si="66"/>
        <v>26.495070721296919</v>
      </c>
      <c r="Q179" s="65">
        <f t="shared" si="73"/>
        <v>49.620822233664946</v>
      </c>
      <c r="R179" s="64">
        <f t="shared" si="67"/>
        <v>57.216978981784315</v>
      </c>
      <c r="S179" s="59">
        <f t="shared" si="68"/>
        <v>32.783021018215685</v>
      </c>
      <c r="T179" s="58">
        <f t="shared" si="74"/>
        <v>59.543364630668073</v>
      </c>
      <c r="U179" s="66"/>
      <c r="V179" s="53">
        <f>N176</f>
        <v>58.615047944628685</v>
      </c>
      <c r="AH179" s="50">
        <f>M176</f>
        <v>35.804895613890679</v>
      </c>
    </row>
    <row r="180" spans="1:35" x14ac:dyDescent="0.2">
      <c r="A180" s="67">
        <v>49</v>
      </c>
      <c r="B180" s="66">
        <f t="shared" si="56"/>
        <v>0.85521133347722145</v>
      </c>
      <c r="C180" s="64">
        <f t="shared" si="57"/>
        <v>45.565156924274476</v>
      </c>
      <c r="D180" s="64">
        <f t="shared" si="58"/>
        <v>44.434843075725524</v>
      </c>
      <c r="E180" s="65">
        <f t="shared" si="69"/>
        <v>104.15190992890805</v>
      </c>
      <c r="F180" s="64">
        <f t="shared" si="59"/>
        <v>47.672241546141073</v>
      </c>
      <c r="G180" s="64">
        <f t="shared" si="60"/>
        <v>42.327758453858927</v>
      </c>
      <c r="H180" s="65">
        <f t="shared" si="70"/>
        <v>88.254717462690124</v>
      </c>
      <c r="I180" s="64">
        <f t="shared" si="61"/>
        <v>51.790182349214696</v>
      </c>
      <c r="J180" s="64">
        <f t="shared" si="62"/>
        <v>38.209817650785304</v>
      </c>
      <c r="K180" s="65">
        <f t="shared" si="71"/>
        <v>73.841330240976276</v>
      </c>
      <c r="L180" s="64">
        <f t="shared" si="63"/>
        <v>57.459028474229115</v>
      </c>
      <c r="M180" s="64">
        <f t="shared" si="64"/>
        <v>32.540971525770885</v>
      </c>
      <c r="N180" s="65">
        <f t="shared" si="72"/>
        <v>61.232367740232277</v>
      </c>
      <c r="O180" s="64">
        <f t="shared" si="65"/>
        <v>64.226502856765649</v>
      </c>
      <c r="P180" s="64">
        <f t="shared" si="66"/>
        <v>25.773497143234351</v>
      </c>
      <c r="Q180" s="65">
        <f t="shared" si="73"/>
        <v>50.251884175265417</v>
      </c>
      <c r="R180" s="64">
        <f t="shared" si="67"/>
        <v>58.032334520813777</v>
      </c>
      <c r="S180" s="59">
        <f t="shared" si="68"/>
        <v>31.967665479186223</v>
      </c>
      <c r="T180" s="58">
        <f t="shared" si="74"/>
        <v>60.176835384205205</v>
      </c>
      <c r="U180" s="66"/>
      <c r="V180" s="53">
        <f>Q176</f>
        <v>47.645057109621348</v>
      </c>
      <c r="AH180" s="50">
        <f>P176</f>
        <v>28.618034461775743</v>
      </c>
    </row>
    <row r="181" spans="1:35" x14ac:dyDescent="0.2">
      <c r="A181" s="67">
        <v>50</v>
      </c>
      <c r="B181" s="66">
        <f t="shared" si="56"/>
        <v>0.87266462599716477</v>
      </c>
      <c r="C181" s="64">
        <f t="shared" si="57"/>
        <v>46.479139362682766</v>
      </c>
      <c r="D181" s="64">
        <f t="shared" si="58"/>
        <v>43.520860637317234</v>
      </c>
      <c r="E181" s="65">
        <f t="shared" si="69"/>
        <v>104.26194761916811</v>
      </c>
      <c r="F181" s="64">
        <f t="shared" si="59"/>
        <v>48.614703778235807</v>
      </c>
      <c r="G181" s="64">
        <f t="shared" si="60"/>
        <v>41.385296221764193</v>
      </c>
      <c r="H181" s="65">
        <f t="shared" si="70"/>
        <v>88.61113750803554</v>
      </c>
      <c r="I181" s="64">
        <f t="shared" si="61"/>
        <v>52.696965106336201</v>
      </c>
      <c r="J181" s="64">
        <f t="shared" si="62"/>
        <v>37.303034893663799</v>
      </c>
      <c r="K181" s="65">
        <f t="shared" si="71"/>
        <v>74.374596025007492</v>
      </c>
      <c r="L181" s="64">
        <f t="shared" si="63"/>
        <v>58.287911652570891</v>
      </c>
      <c r="M181" s="64">
        <f t="shared" si="64"/>
        <v>31.712088347429109</v>
      </c>
      <c r="N181" s="65">
        <f t="shared" si="72"/>
        <v>61.847825733326189</v>
      </c>
      <c r="O181" s="64">
        <f t="shared" si="65"/>
        <v>64.954646844615723</v>
      </c>
      <c r="P181" s="64">
        <f t="shared" si="66"/>
        <v>25.045353155384277</v>
      </c>
      <c r="Q181" s="65">
        <f t="shared" si="73"/>
        <v>50.869726024428253</v>
      </c>
      <c r="R181" s="64">
        <f t="shared" si="67"/>
        <v>58.852813396136746</v>
      </c>
      <c r="S181" s="59">
        <f t="shared" si="68"/>
        <v>31.147186603863254</v>
      </c>
      <c r="T181" s="58">
        <f t="shared" si="74"/>
        <v>60.795426806921711</v>
      </c>
      <c r="U181" s="66"/>
    </row>
    <row r="182" spans="1:35" x14ac:dyDescent="0.2">
      <c r="A182" s="67">
        <v>51</v>
      </c>
      <c r="B182" s="66">
        <f t="shared" si="56"/>
        <v>0.89011791851710809</v>
      </c>
      <c r="C182" s="64">
        <f t="shared" si="57"/>
        <v>47.392664799080642</v>
      </c>
      <c r="D182" s="64">
        <f t="shared" si="58"/>
        <v>42.607335200919358</v>
      </c>
      <c r="E182" s="65">
        <f t="shared" si="69"/>
        <v>104.37732432378907</v>
      </c>
      <c r="F182" s="64">
        <f t="shared" si="59"/>
        <v>49.557307141263898</v>
      </c>
      <c r="G182" s="64">
        <f t="shared" si="60"/>
        <v>40.442692858736102</v>
      </c>
      <c r="H182" s="65">
        <f t="shared" si="70"/>
        <v>88.961763797761918</v>
      </c>
      <c r="I182" s="64">
        <f t="shared" si="61"/>
        <v>53.60608338138703</v>
      </c>
      <c r="J182" s="64">
        <f t="shared" si="62"/>
        <v>36.39391661861297</v>
      </c>
      <c r="K182" s="65">
        <f t="shared" si="71"/>
        <v>74.895137989647409</v>
      </c>
      <c r="L182" s="64">
        <f t="shared" si="63"/>
        <v>59.121517497782548</v>
      </c>
      <c r="M182" s="64">
        <f t="shared" si="64"/>
        <v>30.878482502217452</v>
      </c>
      <c r="N182" s="65">
        <f t="shared" si="72"/>
        <v>62.448911645839999</v>
      </c>
      <c r="O182" s="64">
        <f t="shared" si="65"/>
        <v>65.689140040353351</v>
      </c>
      <c r="P182" s="64">
        <f t="shared" si="66"/>
        <v>24.310859959646649</v>
      </c>
      <c r="Q182" s="65">
        <f t="shared" si="73"/>
        <v>51.474667989232636</v>
      </c>
      <c r="R182" s="64">
        <f t="shared" si="67"/>
        <v>59.678201555424806</v>
      </c>
      <c r="S182" s="59">
        <f t="shared" si="68"/>
        <v>30.321798444575194</v>
      </c>
      <c r="T182" s="58">
        <f t="shared" si="74"/>
        <v>61.399688672174719</v>
      </c>
      <c r="U182" s="69"/>
    </row>
    <row r="183" spans="1:35" x14ac:dyDescent="0.2">
      <c r="A183" s="67">
        <v>52</v>
      </c>
      <c r="B183" s="66">
        <f t="shared" si="56"/>
        <v>0.90757121103705141</v>
      </c>
      <c r="C183" s="64">
        <f t="shared" si="57"/>
        <v>48.30570817034819</v>
      </c>
      <c r="D183" s="64">
        <f t="shared" si="58"/>
        <v>41.69429182965181</v>
      </c>
      <c r="E183" s="65">
        <f t="shared" si="69"/>
        <v>104.49786129130662</v>
      </c>
      <c r="F183" s="64">
        <f t="shared" si="59"/>
        <v>50.500014371620182</v>
      </c>
      <c r="G183" s="64">
        <f t="shared" si="60"/>
        <v>39.499985628379818</v>
      </c>
      <c r="H183" s="65">
        <f t="shared" si="70"/>
        <v>89.307024162052173</v>
      </c>
      <c r="I183" s="64">
        <f t="shared" si="61"/>
        <v>54.517408092157666</v>
      </c>
      <c r="J183" s="64">
        <f t="shared" si="62"/>
        <v>35.482591907842334</v>
      </c>
      <c r="K183" s="65">
        <f t="shared" si="71"/>
        <v>75.403629294881128</v>
      </c>
      <c r="L183" s="64">
        <f t="shared" si="63"/>
        <v>59.95964586713287</v>
      </c>
      <c r="M183" s="64">
        <f t="shared" si="64"/>
        <v>30.04035413286713</v>
      </c>
      <c r="N183" s="65">
        <f t="shared" si="72"/>
        <v>63.036175845386005</v>
      </c>
      <c r="O183" s="64">
        <f t="shared" si="65"/>
        <v>66.429769092302266</v>
      </c>
      <c r="P183" s="64">
        <f t="shared" si="66"/>
        <v>23.570230907697734</v>
      </c>
      <c r="Q183" s="65">
        <f t="shared" si="73"/>
        <v>52.067025739580103</v>
      </c>
      <c r="R183" s="64">
        <f t="shared" si="67"/>
        <v>60.50829531446788</v>
      </c>
      <c r="S183" s="59">
        <f t="shared" si="68"/>
        <v>29.49170468553212</v>
      </c>
      <c r="T183" s="58">
        <f t="shared" si="74"/>
        <v>61.990151280166131</v>
      </c>
      <c r="U183" s="69"/>
    </row>
    <row r="184" spans="1:35" x14ac:dyDescent="0.2">
      <c r="A184" s="67">
        <v>53</v>
      </c>
      <c r="B184" s="66">
        <f t="shared" si="56"/>
        <v>0.92502450355699462</v>
      </c>
      <c r="C184" s="64">
        <f t="shared" si="57"/>
        <v>49.218244601683949</v>
      </c>
      <c r="D184" s="64">
        <f t="shared" si="58"/>
        <v>40.781755398316051</v>
      </c>
      <c r="E184" s="65">
        <f t="shared" si="69"/>
        <v>104.62339714807541</v>
      </c>
      <c r="F184" s="64">
        <f t="shared" si="59"/>
        <v>51.44278993593862</v>
      </c>
      <c r="G184" s="64">
        <f t="shared" si="60"/>
        <v>38.55721006406138</v>
      </c>
      <c r="H184" s="65">
        <f t="shared" si="70"/>
        <v>89.647318886120942</v>
      </c>
      <c r="I184" s="64">
        <f t="shared" si="61"/>
        <v>55.430817946024312</v>
      </c>
      <c r="J184" s="64">
        <f t="shared" si="62"/>
        <v>34.569182053975688</v>
      </c>
      <c r="K184" s="65">
        <f t="shared" si="71"/>
        <v>75.900705536868642</v>
      </c>
      <c r="L184" s="64">
        <f t="shared" si="63"/>
        <v>60.802106517101336</v>
      </c>
      <c r="M184" s="64">
        <f t="shared" si="64"/>
        <v>29.197893482898664</v>
      </c>
      <c r="N184" s="65">
        <f t="shared" si="72"/>
        <v>63.610147954749145</v>
      </c>
      <c r="O184" s="64">
        <f t="shared" si="65"/>
        <v>67.17632826716283</v>
      </c>
      <c r="P184" s="64">
        <f t="shared" si="66"/>
        <v>22.82367173283717</v>
      </c>
      <c r="Q184" s="65">
        <f t="shared" si="73"/>
        <v>52.647109963783372</v>
      </c>
      <c r="R184" s="64">
        <f t="shared" si="67"/>
        <v>61.342900817453895</v>
      </c>
      <c r="S184" s="59">
        <f t="shared" si="68"/>
        <v>28.657099182546105</v>
      </c>
      <c r="T184" s="58">
        <f t="shared" si="74"/>
        <v>62.567325922074986</v>
      </c>
      <c r="U184" s="69"/>
    </row>
    <row r="185" spans="1:35" x14ac:dyDescent="0.2">
      <c r="A185" s="67">
        <v>54</v>
      </c>
      <c r="B185" s="66">
        <f t="shared" si="56"/>
        <v>0.94247779607693793</v>
      </c>
      <c r="C185" s="64">
        <f t="shared" si="57"/>
        <v>50.130249339059738</v>
      </c>
      <c r="D185" s="64">
        <f t="shared" si="58"/>
        <v>39.869750660940262</v>
      </c>
      <c r="E185" s="65">
        <f t="shared" si="69"/>
        <v>104.75378642254591</v>
      </c>
      <c r="F185" s="64">
        <f t="shared" si="59"/>
        <v>52.385599844015665</v>
      </c>
      <c r="G185" s="64">
        <f t="shared" si="60"/>
        <v>37.614400155984335</v>
      </c>
      <c r="H185" s="65">
        <f t="shared" si="70"/>
        <v>89.983023251270382</v>
      </c>
      <c r="I185" s="64">
        <f t="shared" si="61"/>
        <v>56.346198842061185</v>
      </c>
      <c r="J185" s="64">
        <f t="shared" si="62"/>
        <v>33.653801157938815</v>
      </c>
      <c r="K185" s="65">
        <f t="shared" si="71"/>
        <v>76.386967365254065</v>
      </c>
      <c r="L185" s="64">
        <f t="shared" si="63"/>
        <v>61.648718564622804</v>
      </c>
      <c r="M185" s="64">
        <f t="shared" si="64"/>
        <v>28.351281435377196</v>
      </c>
      <c r="N185" s="65">
        <f t="shared" si="72"/>
        <v>64.171337502615401</v>
      </c>
      <c r="O185" s="64">
        <f t="shared" si="65"/>
        <v>67.92861921642951</v>
      </c>
      <c r="P185" s="64">
        <f t="shared" si="66"/>
        <v>22.07138078357049</v>
      </c>
      <c r="Q185" s="65">
        <f t="shared" si="73"/>
        <v>53.215225991550376</v>
      </c>
      <c r="R185" s="64">
        <f t="shared" si="67"/>
        <v>62.181833522730173</v>
      </c>
      <c r="S185" s="59">
        <f t="shared" si="68"/>
        <v>27.818166477269827</v>
      </c>
      <c r="T185" s="58">
        <f t="shared" si="74"/>
        <v>63.131705383830649</v>
      </c>
      <c r="U185" s="69"/>
    </row>
    <row r="186" spans="1:35" x14ac:dyDescent="0.2">
      <c r="A186" s="67">
        <v>55</v>
      </c>
      <c r="B186" s="66">
        <f t="shared" si="56"/>
        <v>0.95993108859688125</v>
      </c>
      <c r="C186" s="64">
        <f t="shared" si="57"/>
        <v>51.041697686865874</v>
      </c>
      <c r="D186" s="64">
        <f t="shared" si="58"/>
        <v>38.958302313134126</v>
      </c>
      <c r="E186" s="65">
        <f t="shared" si="69"/>
        <v>104.88889823246203</v>
      </c>
      <c r="F186" s="64">
        <f t="shared" si="59"/>
        <v>53.328411479890008</v>
      </c>
      <c r="G186" s="64">
        <f t="shared" si="60"/>
        <v>36.671588520109992</v>
      </c>
      <c r="H186" s="65">
        <f t="shared" si="70"/>
        <v>90.314489818082166</v>
      </c>
      <c r="I186" s="64">
        <f t="shared" si="61"/>
        <v>57.263443323271787</v>
      </c>
      <c r="J186" s="64">
        <f t="shared" si="62"/>
        <v>32.736556676728213</v>
      </c>
      <c r="K186" s="65">
        <f t="shared" si="71"/>
        <v>76.862982912990972</v>
      </c>
      <c r="L186" s="64">
        <f t="shared" si="63"/>
        <v>62.499309976405883</v>
      </c>
      <c r="M186" s="64">
        <f t="shared" si="64"/>
        <v>27.500690023594117</v>
      </c>
      <c r="N186" s="65">
        <f t="shared" si="72"/>
        <v>64.720234594079727</v>
      </c>
      <c r="O186" s="64">
        <f t="shared" si="65"/>
        <v>68.686450742420803</v>
      </c>
      <c r="P186" s="64">
        <f t="shared" si="66"/>
        <v>21.313549257579197</v>
      </c>
      <c r="Q186" s="65">
        <f t="shared" si="73"/>
        <v>53.771673477215309</v>
      </c>
      <c r="R186" s="64">
        <f t="shared" si="67"/>
        <v>63.024917713515549</v>
      </c>
      <c r="S186" s="59">
        <f t="shared" si="68"/>
        <v>26.975082286484451</v>
      </c>
      <c r="T186" s="58">
        <f t="shared" si="74"/>
        <v>63.683764479907424</v>
      </c>
      <c r="U186" s="69"/>
    </row>
    <row r="187" spans="1:35" x14ac:dyDescent="0.2">
      <c r="A187" s="67">
        <v>56</v>
      </c>
      <c r="B187" s="66">
        <f t="shared" si="56"/>
        <v>0.97738438111682457</v>
      </c>
      <c r="C187" s="64">
        <f t="shared" si="57"/>
        <v>51.952564950017681</v>
      </c>
      <c r="D187" s="64">
        <f t="shared" si="58"/>
        <v>38.047435049982319</v>
      </c>
      <c r="E187" s="65">
        <f t="shared" si="69"/>
        <v>105.02861511511298</v>
      </c>
      <c r="F187" s="64">
        <f t="shared" si="59"/>
        <v>54.271193448839426</v>
      </c>
      <c r="G187" s="64">
        <f t="shared" si="60"/>
        <v>35.728806551160574</v>
      </c>
      <c r="H187" s="65">
        <f t="shared" si="70"/>
        <v>90.64205048226566</v>
      </c>
      <c r="I187" s="64">
        <f t="shared" si="61"/>
        <v>58.182450074276204</v>
      </c>
      <c r="J187" s="64">
        <f t="shared" si="62"/>
        <v>31.817549925723796</v>
      </c>
      <c r="K187" s="65">
        <f t="shared" si="71"/>
        <v>77.329290052206161</v>
      </c>
      <c r="L187" s="64">
        <f t="shared" si="63"/>
        <v>63.353717085336513</v>
      </c>
      <c r="M187" s="64">
        <f t="shared" si="64"/>
        <v>26.646282914663487</v>
      </c>
      <c r="N187" s="65">
        <f t="shared" si="72"/>
        <v>65.25731059316989</v>
      </c>
      <c r="O187" s="64">
        <f t="shared" si="65"/>
        <v>69.449638565087781</v>
      </c>
      <c r="P187" s="64">
        <f t="shared" si="66"/>
        <v>20.550361434912219</v>
      </c>
      <c r="Q187" s="65">
        <f t="shared" si="73"/>
        <v>54.316746137448462</v>
      </c>
      <c r="R187" s="64">
        <f t="shared" si="67"/>
        <v>63.871986032907621</v>
      </c>
      <c r="S187" s="59">
        <f t="shared" si="68"/>
        <v>26.128013967092379</v>
      </c>
      <c r="T187" s="58">
        <f t="shared" si="74"/>
        <v>64.223960608915746</v>
      </c>
      <c r="U187" s="69"/>
    </row>
    <row r="188" spans="1:35" x14ac:dyDescent="0.2">
      <c r="A188" s="67">
        <v>57</v>
      </c>
      <c r="B188" s="66">
        <f t="shared" si="56"/>
        <v>0.99483767363676789</v>
      </c>
      <c r="C188" s="64">
        <f t="shared" si="57"/>
        <v>52.862826379890606</v>
      </c>
      <c r="D188" s="64">
        <f t="shared" si="58"/>
        <v>37.137173620109394</v>
      </c>
      <c r="E188" s="65">
        <f t="shared" si="69"/>
        <v>105.1728319835177</v>
      </c>
      <c r="F188" s="64">
        <f t="shared" si="59"/>
        <v>55.213915438350242</v>
      </c>
      <c r="G188" s="64">
        <f t="shared" si="60"/>
        <v>34.786084561649758</v>
      </c>
      <c r="H188" s="65">
        <f t="shared" si="70"/>
        <v>90.966018329694677</v>
      </c>
      <c r="I188" s="64">
        <f t="shared" si="61"/>
        <v>59.10312346024164</v>
      </c>
      <c r="J188" s="64">
        <f t="shared" si="62"/>
        <v>30.89687653975836</v>
      </c>
      <c r="K188" s="65">
        <f t="shared" si="71"/>
        <v>77.786398488894406</v>
      </c>
      <c r="L188" s="64">
        <f t="shared" si="63"/>
        <v>64.211784132913479</v>
      </c>
      <c r="M188" s="64">
        <f t="shared" si="64"/>
        <v>25.788215867086521</v>
      </c>
      <c r="N188" s="65">
        <f t="shared" si="72"/>
        <v>65.783018810888777</v>
      </c>
      <c r="O188" s="64">
        <f t="shared" si="65"/>
        <v>70.218005090605942</v>
      </c>
      <c r="P188" s="64">
        <f t="shared" si="66"/>
        <v>19.781994909394058</v>
      </c>
      <c r="Q188" s="65">
        <f t="shared" si="73"/>
        <v>54.850731538060089</v>
      </c>
      <c r="R188" s="64">
        <f t="shared" si="67"/>
        <v>64.722879042434457</v>
      </c>
      <c r="S188" s="59">
        <f t="shared" si="68"/>
        <v>25.277120957565543</v>
      </c>
      <c r="T188" s="58">
        <f t="shared" si="74"/>
        <v>64.752734323992968</v>
      </c>
      <c r="U188" s="69"/>
    </row>
    <row r="189" spans="1:35" x14ac:dyDescent="0.2">
      <c r="A189" s="67">
        <v>58</v>
      </c>
      <c r="B189" s="66">
        <f t="shared" si="56"/>
        <v>1.0122909661567112</v>
      </c>
      <c r="C189" s="64">
        <f t="shared" si="57"/>
        <v>53.772457123532952</v>
      </c>
      <c r="D189" s="64">
        <f t="shared" si="58"/>
        <v>36.227542876467048</v>
      </c>
      <c r="E189" s="65">
        <f t="shared" si="69"/>
        <v>105.32145519374491</v>
      </c>
      <c r="F189" s="64">
        <f t="shared" si="59"/>
        <v>56.156548091367007</v>
      </c>
      <c r="G189" s="64">
        <f t="shared" si="60"/>
        <v>33.843451908632993</v>
      </c>
      <c r="H189" s="65">
        <f t="shared" si="70"/>
        <v>91.286689313752618</v>
      </c>
      <c r="I189" s="64">
        <f t="shared" si="61"/>
        <v>60.025373103250999</v>
      </c>
      <c r="J189" s="64">
        <f t="shared" si="62"/>
        <v>29.974626896749001</v>
      </c>
      <c r="K189" s="65">
        <f t="shared" si="71"/>
        <v>78.234791708485005</v>
      </c>
      <c r="L189" s="64">
        <f t="shared" si="63"/>
        <v>65.073362836621428</v>
      </c>
      <c r="M189" s="64">
        <f t="shared" si="64"/>
        <v>24.926637163378572</v>
      </c>
      <c r="N189" s="65">
        <f t="shared" si="72"/>
        <v>66.297795193379045</v>
      </c>
      <c r="O189" s="64">
        <f t="shared" si="65"/>
        <v>70.991379182606252</v>
      </c>
      <c r="P189" s="64">
        <f t="shared" si="66"/>
        <v>19.008620817393748</v>
      </c>
      <c r="Q189" s="65">
        <f t="shared" si="73"/>
        <v>55.373910924889671</v>
      </c>
      <c r="R189" s="64">
        <f t="shared" si="67"/>
        <v>65.577444803331105</v>
      </c>
      <c r="S189" s="59">
        <f t="shared" si="68"/>
        <v>24.422555196668895</v>
      </c>
      <c r="T189" s="58">
        <f t="shared" si="74"/>
        <v>65.270509912075269</v>
      </c>
      <c r="U189" s="69"/>
    </row>
    <row r="190" spans="1:35" x14ac:dyDescent="0.2">
      <c r="A190" s="67">
        <v>59</v>
      </c>
      <c r="B190" s="66">
        <f t="shared" si="56"/>
        <v>1.0297442586766545</v>
      </c>
      <c r="C190" s="64">
        <f t="shared" si="57"/>
        <v>54.681432175674068</v>
      </c>
      <c r="D190" s="64">
        <f t="shared" si="58"/>
        <v>35.318567824325932</v>
      </c>
      <c r="E190" s="65">
        <f t="shared" si="69"/>
        <v>105.47440171055227</v>
      </c>
      <c r="F190" s="64">
        <f t="shared" si="59"/>
        <v>57.099062890344371</v>
      </c>
      <c r="G190" s="64">
        <f t="shared" si="60"/>
        <v>32.900937109655629</v>
      </c>
      <c r="H190" s="65">
        <f t="shared" si="70"/>
        <v>91.604343775176076</v>
      </c>
      <c r="I190" s="64">
        <f t="shared" si="61"/>
        <v>60.949113492670712</v>
      </c>
      <c r="J190" s="64">
        <f t="shared" si="62"/>
        <v>29.050886507329288</v>
      </c>
      <c r="K190" s="65">
        <f t="shared" si="71"/>
        <v>78.674928783565136</v>
      </c>
      <c r="L190" s="64">
        <f t="shared" si="63"/>
        <v>65.938311981125153</v>
      </c>
      <c r="M190" s="64">
        <f t="shared" si="64"/>
        <v>24.061688018874847</v>
      </c>
      <c r="N190" s="65">
        <f t="shared" si="72"/>
        <v>66.802059005765742</v>
      </c>
      <c r="O190" s="64">
        <f t="shared" si="65"/>
        <v>71.769595936769321</v>
      </c>
      <c r="P190" s="64">
        <f t="shared" si="66"/>
        <v>18.230404063230679</v>
      </c>
      <c r="Q190" s="65">
        <f t="shared" si="73"/>
        <v>55.886559094138846</v>
      </c>
      <c r="R190" s="64">
        <f t="shared" si="67"/>
        <v>66.435538479673582</v>
      </c>
      <c r="S190" s="59">
        <f t="shared" si="68"/>
        <v>23.564461520326418</v>
      </c>
      <c r="T190" s="58">
        <f t="shared" si="74"/>
        <v>65.777695977075908</v>
      </c>
      <c r="U190" s="69"/>
    </row>
    <row r="191" spans="1:35" s="54" customFormat="1" x14ac:dyDescent="0.2">
      <c r="A191" s="63">
        <v>60</v>
      </c>
      <c r="B191" s="62">
        <f t="shared" si="56"/>
        <v>1.0471975511965976</v>
      </c>
      <c r="C191" s="60">
        <f t="shared" si="57"/>
        <v>55.589726333104998</v>
      </c>
      <c r="D191" s="60">
        <f t="shared" si="58"/>
        <v>34.410273666895002</v>
      </c>
      <c r="E191" s="61">
        <f t="shared" si="69"/>
        <v>105.63159836021411</v>
      </c>
      <c r="F191" s="60">
        <f t="shared" si="59"/>
        <v>58.041432050807444</v>
      </c>
      <c r="G191" s="60">
        <f t="shared" si="60"/>
        <v>31.958567949192556</v>
      </c>
      <c r="H191" s="61">
        <f t="shared" si="70"/>
        <v>91.919247822068371</v>
      </c>
      <c r="I191" s="60">
        <f t="shared" si="61"/>
        <v>61.874263626410098</v>
      </c>
      <c r="J191" s="60">
        <f t="shared" si="62"/>
        <v>28.125736373589902</v>
      </c>
      <c r="K191" s="61">
        <f t="shared" si="71"/>
        <v>79.107246054303175</v>
      </c>
      <c r="L191" s="60">
        <f t="shared" si="63"/>
        <v>66.806497032163904</v>
      </c>
      <c r="M191" s="60">
        <f t="shared" si="64"/>
        <v>23.193502967836096</v>
      </c>
      <c r="N191" s="61">
        <f t="shared" si="72"/>
        <v>67.29621350805661</v>
      </c>
      <c r="O191" s="60">
        <f t="shared" si="65"/>
        <v>72.552496459388209</v>
      </c>
      <c r="P191" s="60">
        <f t="shared" si="66"/>
        <v>17.447503540611791</v>
      </c>
      <c r="Q191" s="61">
        <f t="shared" si="73"/>
        <v>56.388944297861826</v>
      </c>
      <c r="R191" s="60">
        <f t="shared" si="67"/>
        <v>67.297021962473082</v>
      </c>
      <c r="S191" s="59">
        <f t="shared" si="68"/>
        <v>22.702978037526918</v>
      </c>
      <c r="T191" s="58">
        <f t="shared" si="74"/>
        <v>66.274686022818855</v>
      </c>
      <c r="U191" s="70"/>
      <c r="V191" s="56">
        <f>E191</f>
        <v>105.63159836021411</v>
      </c>
      <c r="W191" s="55"/>
      <c r="AI191" s="55">
        <f>D191</f>
        <v>34.410273666895002</v>
      </c>
    </row>
    <row r="192" spans="1:35" x14ac:dyDescent="0.2">
      <c r="A192" s="67">
        <v>61</v>
      </c>
      <c r="B192" s="66">
        <f t="shared" si="56"/>
        <v>1.064650843716541</v>
      </c>
      <c r="C192" s="64">
        <f t="shared" si="57"/>
        <v>56.49731415105785</v>
      </c>
      <c r="D192" s="64">
        <f t="shared" si="58"/>
        <v>33.50268584894215</v>
      </c>
      <c r="E192" s="65">
        <f t="shared" si="69"/>
        <v>105.79298116085117</v>
      </c>
      <c r="F192" s="64">
        <f t="shared" si="59"/>
        <v>58.983628423284976</v>
      </c>
      <c r="G192" s="64">
        <f t="shared" si="60"/>
        <v>31.016371576715024</v>
      </c>
      <c r="H192" s="65">
        <f t="shared" si="70"/>
        <v>92.231654585583215</v>
      </c>
      <c r="I192" s="64">
        <f t="shared" si="61"/>
        <v>62.800746680262058</v>
      </c>
      <c r="J192" s="64">
        <f t="shared" si="62"/>
        <v>27.199253319737942</v>
      </c>
      <c r="K192" s="65">
        <f t="shared" si="71"/>
        <v>79.532158691393562</v>
      </c>
      <c r="L192" s="64">
        <f t="shared" si="63"/>
        <v>67.67778977203038</v>
      </c>
      <c r="M192" s="64">
        <f t="shared" si="64"/>
        <v>22.32221022796962</v>
      </c>
      <c r="N192" s="65">
        <f t="shared" si="72"/>
        <v>67.78064662018609</v>
      </c>
      <c r="O192" s="64">
        <f t="shared" si="65"/>
        <v>73.339927650399076</v>
      </c>
      <c r="P192" s="64">
        <f t="shared" si="66"/>
        <v>16.660072349600924</v>
      </c>
      <c r="Q192" s="65">
        <f t="shared" si="73"/>
        <v>56.881328180665918</v>
      </c>
      <c r="R192" s="64">
        <f t="shared" si="67"/>
        <v>68.161763513818102</v>
      </c>
      <c r="S192" s="59">
        <f t="shared" si="68"/>
        <v>21.838236486181898</v>
      </c>
      <c r="T192" s="58">
        <f t="shared" si="74"/>
        <v>66.761859032293188</v>
      </c>
      <c r="U192" s="69"/>
      <c r="V192" s="53">
        <f>H191</f>
        <v>91.919247822068371</v>
      </c>
      <c r="AI192" s="50">
        <f>G191</f>
        <v>31.958567949192556</v>
      </c>
    </row>
    <row r="193" spans="1:36" x14ac:dyDescent="0.2">
      <c r="A193" s="67">
        <v>62</v>
      </c>
      <c r="B193" s="66">
        <f t="shared" si="56"/>
        <v>1.0821041362364843</v>
      </c>
      <c r="C193" s="64">
        <f t="shared" si="57"/>
        <v>57.404169901253212</v>
      </c>
      <c r="D193" s="64">
        <f t="shared" si="58"/>
        <v>32.595830098746788</v>
      </c>
      <c r="E193" s="65">
        <f t="shared" si="69"/>
        <v>105.95849472181352</v>
      </c>
      <c r="F193" s="64">
        <f t="shared" si="59"/>
        <v>59.925625402614585</v>
      </c>
      <c r="G193" s="64">
        <f t="shared" si="60"/>
        <v>30.074374597385415</v>
      </c>
      <c r="H193" s="65">
        <f t="shared" si="70"/>
        <v>92.541805364903396</v>
      </c>
      <c r="I193" s="64">
        <f t="shared" si="61"/>
        <v>63.728489702782547</v>
      </c>
      <c r="J193" s="64">
        <f t="shared" si="62"/>
        <v>26.271510297217453</v>
      </c>
      <c r="K193" s="65">
        <f t="shared" si="71"/>
        <v>79.950062150654446</v>
      </c>
      <c r="L193" s="64">
        <f t="shared" si="63"/>
        <v>68.552067955536444</v>
      </c>
      <c r="M193" s="64">
        <f t="shared" si="64"/>
        <v>21.447932044463556</v>
      </c>
      <c r="N193" s="65">
        <f t="shared" si="72"/>
        <v>68.255731573897009</v>
      </c>
      <c r="O193" s="64">
        <f t="shared" si="65"/>
        <v>74.131741991285168</v>
      </c>
      <c r="P193" s="64">
        <f t="shared" si="66"/>
        <v>15.868258008714832</v>
      </c>
      <c r="Q193" s="65">
        <f t="shared" si="73"/>
        <v>57.363965743998477</v>
      </c>
      <c r="R193" s="64">
        <f t="shared" si="67"/>
        <v>69.029637430147517</v>
      </c>
      <c r="S193" s="59">
        <f t="shared" si="68"/>
        <v>20.970362569852483</v>
      </c>
      <c r="T193" s="58">
        <f t="shared" si="74"/>
        <v>67.239580040414552</v>
      </c>
      <c r="U193" s="69"/>
      <c r="V193" s="53">
        <f>K191</f>
        <v>79.107246054303175</v>
      </c>
      <c r="AI193" s="50">
        <f>J191</f>
        <v>28.125736373589902</v>
      </c>
    </row>
    <row r="194" spans="1:36" x14ac:dyDescent="0.2">
      <c r="A194" s="67">
        <v>63</v>
      </c>
      <c r="B194" s="66">
        <f t="shared" si="56"/>
        <v>1.0995574287564276</v>
      </c>
      <c r="C194" s="64">
        <f t="shared" si="57"/>
        <v>58.310267531320513</v>
      </c>
      <c r="D194" s="64">
        <f t="shared" si="58"/>
        <v>31.689732468679487</v>
      </c>
      <c r="E194" s="65">
        <f t="shared" si="69"/>
        <v>106.1280917047312</v>
      </c>
      <c r="F194" s="64">
        <f t="shared" si="59"/>
        <v>60.867396843737495</v>
      </c>
      <c r="G194" s="64">
        <f t="shared" si="60"/>
        <v>29.132603156262505</v>
      </c>
      <c r="H194" s="65">
        <f t="shared" si="70"/>
        <v>92.84993067351661</v>
      </c>
      <c r="I194" s="64">
        <f t="shared" si="61"/>
        <v>64.657423333407763</v>
      </c>
      <c r="J194" s="64">
        <f t="shared" si="62"/>
        <v>25.342576666592237</v>
      </c>
      <c r="K194" s="65">
        <f t="shared" si="71"/>
        <v>80.361333527752237</v>
      </c>
      <c r="L194" s="64">
        <f t="shared" si="63"/>
        <v>69.429214985392235</v>
      </c>
      <c r="M194" s="64">
        <f t="shared" si="64"/>
        <v>20.570785014607765</v>
      </c>
      <c r="N194" s="65">
        <f t="shared" si="72"/>
        <v>68.721827549672611</v>
      </c>
      <c r="O194" s="64">
        <f t="shared" si="65"/>
        <v>74.927797338176248</v>
      </c>
      <c r="P194" s="64">
        <f t="shared" si="66"/>
        <v>15.072202661823752</v>
      </c>
      <c r="Q194" s="65">
        <f t="shared" si="73"/>
        <v>57.837105334701697</v>
      </c>
      <c r="R194" s="64">
        <f t="shared" si="67"/>
        <v>69.900523723744783</v>
      </c>
      <c r="S194" s="59">
        <f t="shared" si="68"/>
        <v>20.099476276255217</v>
      </c>
      <c r="T194" s="58">
        <f t="shared" si="74"/>
        <v>67.708200698017862</v>
      </c>
      <c r="U194" s="69"/>
      <c r="V194" s="53">
        <f>N191</f>
        <v>67.29621350805661</v>
      </c>
      <c r="AI194" s="50">
        <f>M191</f>
        <v>23.193502967836096</v>
      </c>
    </row>
    <row r="195" spans="1:36" x14ac:dyDescent="0.2">
      <c r="A195" s="67">
        <v>64</v>
      </c>
      <c r="B195" s="66">
        <f t="shared" si="56"/>
        <v>1.1170107212763709</v>
      </c>
      <c r="C195" s="64">
        <f t="shared" si="57"/>
        <v>59.215580625328002</v>
      </c>
      <c r="D195" s="64">
        <f t="shared" si="58"/>
        <v>30.784419374671998</v>
      </c>
      <c r="E195" s="65">
        <f t="shared" ref="E195:E226" si="75">DEGREES(ACOS((SIN(RADIANS(D195))*SIN($C$6)-SIN(C$5))/(COS(RADIANS(D195))*COS($C$6))))</f>
        <v>106.30173233976426</v>
      </c>
      <c r="F195" s="64">
        <f t="shared" si="59"/>
        <v>61.808916983199509</v>
      </c>
      <c r="G195" s="64">
        <f t="shared" si="60"/>
        <v>28.191083016800491</v>
      </c>
      <c r="H195" s="65">
        <f t="shared" ref="H195:H226" si="76">DEGREES(ACOS((SIN(RADIANS(G195))*SIN($C$6)-SIN(G$5))/(COS(RADIANS(G195))*COS($C$6))))</f>
        <v>93.156251197382588</v>
      </c>
      <c r="I195" s="64">
        <f t="shared" si="61"/>
        <v>65.587481541723875</v>
      </c>
      <c r="J195" s="64">
        <f t="shared" si="62"/>
        <v>24.412518458276125</v>
      </c>
      <c r="K195" s="65">
        <f t="shared" ref="K195:K226" si="77">DEGREES(ACOS((SIN(RADIANS(J195))*SIN($C$6)-SIN(J$5))/(COS(RADIANS(J195))*COS($C$6))))</f>
        <v>80.766332820906456</v>
      </c>
      <c r="L195" s="64">
        <f t="shared" si="63"/>
        <v>70.309119605954962</v>
      </c>
      <c r="M195" s="64">
        <f t="shared" si="64"/>
        <v>19.690880394045038</v>
      </c>
      <c r="N195" s="65">
        <f t="shared" ref="N195:N226" si="78">DEGREES(ACOS((SIN(RADIANS(M195))*SIN($C$6)-SIN(M$5))/(COS(RADIANS(M195))*COS($C$6))))</f>
        <v>69.17928029737341</v>
      </c>
      <c r="O195" s="64">
        <f t="shared" si="65"/>
        <v>75.727956720392669</v>
      </c>
      <c r="P195" s="64">
        <f t="shared" si="66"/>
        <v>14.272043279607331</v>
      </c>
      <c r="Q195" s="65">
        <f t="shared" ref="Q195:Q226" si="79">DEGREES(ACOS((SIN(RADIANS(P195))*SIN($C$6)-SIN(P$5))/(COS(RADIANS(P195))*COS($C$6))))</f>
        <v>58.300988654804229</v>
      </c>
      <c r="R195" s="64">
        <f t="shared" si="67"/>
        <v>70.774307821555794</v>
      </c>
      <c r="S195" s="59">
        <f t="shared" si="68"/>
        <v>19.225692178444206</v>
      </c>
      <c r="T195" s="58">
        <f t="shared" ref="T195:T226" si="80">DEGREES(ACOS((SIN(RADIANS(S195))*SIN($C$6)-SIN(S$5))/(COS(RADIANS(S195))*COS($C$6))))</f>
        <v>68.168059825268273</v>
      </c>
      <c r="U195" s="69"/>
      <c r="V195" s="53">
        <f>Q191</f>
        <v>56.388944297861826</v>
      </c>
      <c r="AI195" s="50">
        <f>P191</f>
        <v>17.447503540611791</v>
      </c>
    </row>
    <row r="196" spans="1:36" x14ac:dyDescent="0.2">
      <c r="A196" s="67">
        <v>65</v>
      </c>
      <c r="B196" s="66">
        <f t="shared" si="56"/>
        <v>1.1344640137963142</v>
      </c>
      <c r="C196" s="64">
        <f t="shared" si="57"/>
        <v>60.120082365184231</v>
      </c>
      <c r="D196" s="64">
        <f t="shared" si="58"/>
        <v>29.879917634815769</v>
      </c>
      <c r="E196" s="65">
        <f t="shared" si="75"/>
        <v>106.47938399137617</v>
      </c>
      <c r="F196" s="64">
        <f t="shared" si="59"/>
        <v>62.750160365663447</v>
      </c>
      <c r="G196" s="64">
        <f t="shared" si="60"/>
        <v>27.249839634336553</v>
      </c>
      <c r="H196" s="65">
        <f t="shared" si="76"/>
        <v>93.460978674363247</v>
      </c>
      <c r="I196" s="64">
        <f t="shared" si="61"/>
        <v>66.518601385999759</v>
      </c>
      <c r="J196" s="64">
        <f t="shared" si="62"/>
        <v>23.481398614000241</v>
      </c>
      <c r="K196" s="65">
        <f t="shared" si="77"/>
        <v>81.165404108847198</v>
      </c>
      <c r="L196" s="64">
        <f t="shared" si="63"/>
        <v>71.191675614339061</v>
      </c>
      <c r="M196" s="64">
        <f t="shared" si="64"/>
        <v>18.808324385660939</v>
      </c>
      <c r="N196" s="65">
        <f t="shared" si="78"/>
        <v>69.628422739608979</v>
      </c>
      <c r="O196" s="64">
        <f t="shared" si="65"/>
        <v>76.532088144618214</v>
      </c>
      <c r="P196" s="64">
        <f t="shared" si="66"/>
        <v>13.467911855381786</v>
      </c>
      <c r="Q196" s="65">
        <f t="shared" si="79"/>
        <v>58.755850789786905</v>
      </c>
      <c r="R196" s="64">
        <f t="shared" si="67"/>
        <v>71.650880280452569</v>
      </c>
      <c r="S196" s="59">
        <f t="shared" si="68"/>
        <v>18.349119719547431</v>
      </c>
      <c r="T196" s="58">
        <f t="shared" si="80"/>
        <v>68.619483953076056</v>
      </c>
      <c r="U196" s="69"/>
    </row>
    <row r="197" spans="1:36" x14ac:dyDescent="0.2">
      <c r="A197" s="67">
        <v>66</v>
      </c>
      <c r="B197" s="66">
        <f t="shared" si="56"/>
        <v>1.1519173063162575</v>
      </c>
      <c r="C197" s="64">
        <f t="shared" si="57"/>
        <v>61.023745492697074</v>
      </c>
      <c r="D197" s="64">
        <f t="shared" si="58"/>
        <v>28.976254507302926</v>
      </c>
      <c r="E197" s="65">
        <f t="shared" si="75"/>
        <v>106.66102076864009</v>
      </c>
      <c r="F197" s="64">
        <f t="shared" si="59"/>
        <v>63.691101774812644</v>
      </c>
      <c r="G197" s="64">
        <f t="shared" si="60"/>
        <v>26.308898225187356</v>
      </c>
      <c r="H197" s="65">
        <f t="shared" si="76"/>
        <v>93.76431670322232</v>
      </c>
      <c r="I197" s="64">
        <f t="shared" si="61"/>
        <v>67.450722789267743</v>
      </c>
      <c r="J197" s="64">
        <f t="shared" si="62"/>
        <v>22.549277210732257</v>
      </c>
      <c r="K197" s="65">
        <f t="shared" si="77"/>
        <v>81.558876650753064</v>
      </c>
      <c r="L197" s="64">
        <f t="shared" si="63"/>
        <v>72.076781587916841</v>
      </c>
      <c r="M197" s="64">
        <f t="shared" si="64"/>
        <v>17.923218412083159</v>
      </c>
      <c r="N197" s="65">
        <f t="shared" si="78"/>
        <v>70.069575557191612</v>
      </c>
      <c r="O197" s="64">
        <f t="shared" si="65"/>
        <v>77.340064404830756</v>
      </c>
      <c r="P197" s="64">
        <f t="shared" si="66"/>
        <v>12.659935595169244</v>
      </c>
      <c r="Q197" s="65">
        <f t="shared" si="79"/>
        <v>59.201920252810517</v>
      </c>
      <c r="R197" s="64">
        <f t="shared" si="67"/>
        <v>72.530136518088611</v>
      </c>
      <c r="S197" s="59">
        <f t="shared" si="68"/>
        <v>17.469863481911389</v>
      </c>
      <c r="T197" s="58">
        <f t="shared" si="80"/>
        <v>69.062787851441684</v>
      </c>
      <c r="U197" s="69"/>
    </row>
    <row r="198" spans="1:36" x14ac:dyDescent="0.2">
      <c r="A198" s="67">
        <v>67</v>
      </c>
      <c r="B198" s="66">
        <f t="shared" si="56"/>
        <v>1.1693705988362009</v>
      </c>
      <c r="C198" s="64">
        <f t="shared" si="57"/>
        <v>61.926542272093585</v>
      </c>
      <c r="D198" s="64">
        <f t="shared" si="58"/>
        <v>28.073457727906415</v>
      </c>
      <c r="E198" s="65">
        <f t="shared" si="75"/>
        <v>106.84662317568313</v>
      </c>
      <c r="F198" s="64">
        <f t="shared" si="59"/>
        <v>64.631716168090875</v>
      </c>
      <c r="G198" s="64">
        <f t="shared" si="60"/>
        <v>25.368283831909125</v>
      </c>
      <c r="H198" s="65">
        <f t="shared" si="76"/>
        <v>94.066461489573555</v>
      </c>
      <c r="I198" s="64">
        <f t="shared" si="61"/>
        <v>68.383788331395166</v>
      </c>
      <c r="J198" s="64">
        <f t="shared" si="62"/>
        <v>21.616211668604834</v>
      </c>
      <c r="K198" s="65">
        <f t="shared" si="77"/>
        <v>81.947065914391445</v>
      </c>
      <c r="L198" s="64">
        <f t="shared" si="63"/>
        <v>72.964340627277963</v>
      </c>
      <c r="M198" s="64">
        <f t="shared" si="64"/>
        <v>17.035659372722037</v>
      </c>
      <c r="N198" s="65">
        <f t="shared" si="78"/>
        <v>70.503047756286392</v>
      </c>
      <c r="O198" s="64">
        <f t="shared" si="65"/>
        <v>78.151762898069506</v>
      </c>
      <c r="P198" s="64">
        <f t="shared" si="66"/>
        <v>11.848237101930494</v>
      </c>
      <c r="Q198" s="65">
        <f t="shared" si="79"/>
        <v>59.639419042625917</v>
      </c>
      <c r="R198" s="64">
        <f t="shared" si="67"/>
        <v>73.411976558518859</v>
      </c>
      <c r="S198" s="59">
        <f t="shared" si="68"/>
        <v>16.588023441481141</v>
      </c>
      <c r="T198" s="58">
        <f t="shared" si="80"/>
        <v>69.498275043949917</v>
      </c>
      <c r="U198" s="69"/>
    </row>
    <row r="199" spans="1:36" x14ac:dyDescent="0.2">
      <c r="A199" s="67">
        <v>68</v>
      </c>
      <c r="B199" s="66">
        <f t="shared" si="56"/>
        <v>1.1868238913561442</v>
      </c>
      <c r="C199" s="64">
        <f t="shared" si="57"/>
        <v>62.828444452822659</v>
      </c>
      <c r="D199" s="64">
        <f t="shared" si="58"/>
        <v>27.171555547177341</v>
      </c>
      <c r="E199" s="65">
        <f t="shared" si="75"/>
        <v>107.03617779839117</v>
      </c>
      <c r="F199" s="64">
        <f t="shared" si="59"/>
        <v>65.571978614780321</v>
      </c>
      <c r="G199" s="64">
        <f t="shared" si="60"/>
        <v>24.428021385219679</v>
      </c>
      <c r="H199" s="65">
        <f t="shared" si="76"/>
        <v>94.367602535344659</v>
      </c>
      <c r="I199" s="64">
        <f t="shared" si="61"/>
        <v>69.317743055731157</v>
      </c>
      <c r="J199" s="64">
        <f t="shared" si="62"/>
        <v>20.682256944268843</v>
      </c>
      <c r="K199" s="65">
        <f t="shared" si="77"/>
        <v>82.330274538214752</v>
      </c>
      <c r="L199" s="64">
        <f t="shared" si="63"/>
        <v>73.854260113757718</v>
      </c>
      <c r="M199" s="64">
        <f t="shared" si="64"/>
        <v>16.145739886242282</v>
      </c>
      <c r="N199" s="65">
        <f t="shared" si="78"/>
        <v>70.929137217096155</v>
      </c>
      <c r="O199" s="64">
        <f t="shared" si="65"/>
        <v>78.967065446076717</v>
      </c>
      <c r="P199" s="64">
        <f t="shared" si="66"/>
        <v>11.032934553923283</v>
      </c>
      <c r="Q199" s="65">
        <f t="shared" si="79"/>
        <v>60.068562713101038</v>
      </c>
      <c r="R199" s="64">
        <f t="shared" si="67"/>
        <v>74.29630479178681</v>
      </c>
      <c r="S199" s="59">
        <f t="shared" si="68"/>
        <v>15.70369520821319</v>
      </c>
      <c r="T199" s="58">
        <f t="shared" si="80"/>
        <v>69.926238307879188</v>
      </c>
      <c r="U199" s="69"/>
    </row>
    <row r="200" spans="1:36" x14ac:dyDescent="0.2">
      <c r="A200" s="67">
        <v>69</v>
      </c>
      <c r="B200" s="66">
        <f t="shared" si="56"/>
        <v>1.2042771838760873</v>
      </c>
      <c r="C200" s="64">
        <f t="shared" si="57"/>
        <v>63.729423232474481</v>
      </c>
      <c r="D200" s="64">
        <f t="shared" si="58"/>
        <v>26.270576767525519</v>
      </c>
      <c r="E200" s="65">
        <f t="shared" si="75"/>
        <v>107.22967702394814</v>
      </c>
      <c r="F200" s="64">
        <f t="shared" si="59"/>
        <v>66.511864236968393</v>
      </c>
      <c r="G200" s="64">
        <f t="shared" si="60"/>
        <v>23.488135763031607</v>
      </c>
      <c r="H200" s="65">
        <f t="shared" si="76"/>
        <v>94.667923277615458</v>
      </c>
      <c r="I200" s="64">
        <f t="shared" si="61"/>
        <v>70.25253428904</v>
      </c>
      <c r="J200" s="64">
        <f t="shared" si="62"/>
        <v>19.74746571096</v>
      </c>
      <c r="K200" s="65">
        <f t="shared" si="77"/>
        <v>82.708793232731239</v>
      </c>
      <c r="L200" s="64">
        <f t="shared" si="63"/>
        <v>74.746451480684556</v>
      </c>
      <c r="M200" s="64">
        <f t="shared" si="64"/>
        <v>15.253548519315444</v>
      </c>
      <c r="N200" s="65">
        <f t="shared" si="78"/>
        <v>71.348131224106353</v>
      </c>
      <c r="O200" s="64">
        <f t="shared" si="65"/>
        <v>79.785858122814332</v>
      </c>
      <c r="P200" s="64">
        <f t="shared" si="66"/>
        <v>10.214141877185668</v>
      </c>
      <c r="Q200" s="65">
        <f t="shared" si="79"/>
        <v>60.489560452497734</v>
      </c>
      <c r="R200" s="64">
        <f t="shared" si="67"/>
        <v>75.183029746712052</v>
      </c>
      <c r="S200" s="59">
        <f t="shared" si="68"/>
        <v>14.816970253287948</v>
      </c>
      <c r="T200" s="58">
        <f t="shared" si="80"/>
        <v>70.34696015960364</v>
      </c>
      <c r="U200" s="69"/>
    </row>
    <row r="201" spans="1:36" x14ac:dyDescent="0.2">
      <c r="A201" s="67">
        <v>70</v>
      </c>
      <c r="B201" s="66">
        <f t="shared" si="56"/>
        <v>1.2217304763960306</v>
      </c>
      <c r="C201" s="64">
        <f t="shared" si="57"/>
        <v>64.629449219663798</v>
      </c>
      <c r="D201" s="64">
        <f t="shared" si="58"/>
        <v>25.370550780336202</v>
      </c>
      <c r="E201" s="65">
        <f t="shared" si="75"/>
        <v>107.42711879017808</v>
      </c>
      <c r="F201" s="64">
        <f t="shared" si="59"/>
        <v>67.451348152996758</v>
      </c>
      <c r="G201" s="64">
        <f t="shared" si="60"/>
        <v>22.548651847003242</v>
      </c>
      <c r="H201" s="65">
        <f t="shared" si="76"/>
        <v>94.967601682066871</v>
      </c>
      <c r="I201" s="64">
        <f t="shared" si="61"/>
        <v>71.188111473547792</v>
      </c>
      <c r="J201" s="64">
        <f t="shared" si="62"/>
        <v>18.811888526452208</v>
      </c>
      <c r="K201" s="65">
        <f t="shared" si="77"/>
        <v>83.082901626069898</v>
      </c>
      <c r="L201" s="64">
        <f t="shared" si="63"/>
        <v>75.640829997539129</v>
      </c>
      <c r="M201" s="64">
        <f t="shared" si="64"/>
        <v>14.359170002460871</v>
      </c>
      <c r="N201" s="65">
        <f t="shared" si="78"/>
        <v>71.760306978070474</v>
      </c>
      <c r="O201" s="64">
        <f t="shared" si="65"/>
        <v>80.608031087825466</v>
      </c>
      <c r="P201" s="64">
        <f t="shared" si="66"/>
        <v>9.3919689121745336</v>
      </c>
      <c r="Q201" s="65">
        <f t="shared" si="79"/>
        <v>60.902615170812922</v>
      </c>
      <c r="R201" s="64">
        <f t="shared" si="67"/>
        <v>76.072063876144242</v>
      </c>
      <c r="S201" s="59">
        <f t="shared" si="68"/>
        <v>13.927936123855758</v>
      </c>
      <c r="T201" s="58">
        <f t="shared" si="80"/>
        <v>70.760713325142802</v>
      </c>
      <c r="U201" s="69"/>
    </row>
    <row r="202" spans="1:36" x14ac:dyDescent="0.2">
      <c r="A202" s="67">
        <v>71</v>
      </c>
      <c r="B202" s="66">
        <f t="shared" ref="B202:B251" si="81">RADIANS(A202)</f>
        <v>1.2391837689159739</v>
      </c>
      <c r="C202" s="64">
        <f t="shared" ref="C202:C251" si="82">DEGREES(ACOS(SIN(C$5)*SIN($C$6)+COS(C$5)*COS($C$6)*COS($B202)))</f>
        <v>65.528492396733824</v>
      </c>
      <c r="D202" s="64">
        <f t="shared" ref="D202:D251" si="83">90-C202</f>
        <v>24.471507603266176</v>
      </c>
      <c r="E202" s="65">
        <f t="shared" si="75"/>
        <v>107.62850636200226</v>
      </c>
      <c r="F202" s="64">
        <f t="shared" ref="F202:F251" si="84">DEGREES(ACOS(SIN(G$5)*SIN($C$6)+COS(G$5)*COS($C$6)*COS($B202)))</f>
        <v>68.390405423022045</v>
      </c>
      <c r="G202" s="64">
        <f t="shared" ref="G202:G251" si="85">90-F202</f>
        <v>21.609594576977955</v>
      </c>
      <c r="H202" s="65">
        <f t="shared" si="76"/>
        <v>95.26681079573153</v>
      </c>
      <c r="I202" s="64">
        <f t="shared" ref="I202:I251" si="86">DEGREES(ACOS(SIN(J$5)*SIN($C$6)+COS(J$5)*COS($C$6)*COS($B202)))</f>
        <v>72.124426010030646</v>
      </c>
      <c r="J202" s="64">
        <f t="shared" ref="J202:J251" si="87">90-I202</f>
        <v>17.875573989969354</v>
      </c>
      <c r="K202" s="65">
        <f t="shared" si="77"/>
        <v>83.452869058290133</v>
      </c>
      <c r="L202" s="64">
        <f t="shared" ref="L202:L251" si="88">DEGREES(ACOS(SIN(M$5)*SIN($C$6)+COS(M$5)*COS($C$6)*COS($B202)))</f>
        <v>76.537314566257194</v>
      </c>
      <c r="M202" s="64">
        <f t="shared" ref="M202:M251" si="89">90-L202</f>
        <v>13.462685433742806</v>
      </c>
      <c r="N202" s="65">
        <f t="shared" si="78"/>
        <v>72.165932090043938</v>
      </c>
      <c r="O202" s="64">
        <f t="shared" ref="O202:O251" si="90">DEGREES(ACOS(SIN(P$5)*SIN($C$6)+COS(P$5)*COS($C$6)*COS($B202)))</f>
        <v>81.433478425384124</v>
      </c>
      <c r="P202" s="64">
        <f t="shared" ref="P202:P251" si="91">90-O202</f>
        <v>8.5665215746158765</v>
      </c>
      <c r="Q202" s="65">
        <f t="shared" si="79"/>
        <v>61.307923593664206</v>
      </c>
      <c r="R202" s="64">
        <f t="shared" ref="R202:R251" si="92">DEGREES(ACOS(SIN(S$5)*SIN($C$6)+COS(S$5)*COS($C$6)*COS($B202)))</f>
        <v>76.963323353981238</v>
      </c>
      <c r="S202" s="59">
        <f t="shared" ref="S202:S251" si="93">90-R202</f>
        <v>13.036676646018762</v>
      </c>
      <c r="T202" s="58">
        <f t="shared" si="80"/>
        <v>71.167761195864486</v>
      </c>
      <c r="U202" s="69"/>
    </row>
    <row r="203" spans="1:36" x14ac:dyDescent="0.2">
      <c r="A203" s="67">
        <v>72</v>
      </c>
      <c r="B203" s="66">
        <f t="shared" si="81"/>
        <v>1.2566370614359172</v>
      </c>
      <c r="C203" s="64">
        <f t="shared" si="82"/>
        <v>66.426522082145809</v>
      </c>
      <c r="D203" s="64">
        <f t="shared" si="83"/>
        <v>23.573477917854191</v>
      </c>
      <c r="E203" s="65">
        <f t="shared" si="75"/>
        <v>107.83384813262721</v>
      </c>
      <c r="F203" s="64">
        <f t="shared" si="84"/>
        <v>69.329010996350888</v>
      </c>
      <c r="G203" s="64">
        <f t="shared" si="85"/>
        <v>20.670989003649112</v>
      </c>
      <c r="H203" s="65">
        <f t="shared" si="76"/>
        <v>95.565719263258273</v>
      </c>
      <c r="I203" s="64">
        <f t="shared" si="86"/>
        <v>73.061431110966751</v>
      </c>
      <c r="J203" s="64">
        <f t="shared" si="87"/>
        <v>16.938568889033249</v>
      </c>
      <c r="K203" s="65">
        <f t="shared" si="77"/>
        <v>83.818955328649267</v>
      </c>
      <c r="L203" s="64">
        <f t="shared" si="88"/>
        <v>77.435827528948948</v>
      </c>
      <c r="M203" s="64">
        <f t="shared" si="89"/>
        <v>12.564172471051052</v>
      </c>
      <c r="N203" s="65">
        <f t="shared" si="78"/>
        <v>72.5652650578796</v>
      </c>
      <c r="O203" s="64">
        <f t="shared" si="90"/>
        <v>82.262097989353975</v>
      </c>
      <c r="P203" s="64">
        <f t="shared" si="91"/>
        <v>7.7379020106460246</v>
      </c>
      <c r="Q203" s="65">
        <f t="shared" si="79"/>
        <v>61.705676361352737</v>
      </c>
      <c r="R203" s="64">
        <f t="shared" si="92"/>
        <v>77.856727883282289</v>
      </c>
      <c r="S203" s="59">
        <f t="shared" si="93"/>
        <v>12.143272116717711</v>
      </c>
      <c r="T203" s="58">
        <f t="shared" si="80"/>
        <v>71.568358269471119</v>
      </c>
      <c r="U203" s="69"/>
    </row>
    <row r="204" spans="1:36" x14ac:dyDescent="0.2">
      <c r="A204" s="67">
        <v>73</v>
      </c>
      <c r="B204" s="66">
        <f t="shared" si="81"/>
        <v>1.2740903539558606</v>
      </c>
      <c r="C204" s="64">
        <f t="shared" si="82"/>
        <v>67.32350689242665</v>
      </c>
      <c r="D204" s="64">
        <f t="shared" si="83"/>
        <v>22.67649310757335</v>
      </c>
      <c r="E204" s="65">
        <f t="shared" si="75"/>
        <v>108.04315744734411</v>
      </c>
      <c r="F204" s="64">
        <f t="shared" si="84"/>
        <v>70.267139660237959</v>
      </c>
      <c r="G204" s="64">
        <f t="shared" si="85"/>
        <v>19.732860339762041</v>
      </c>
      <c r="H204" s="65">
        <f t="shared" si="76"/>
        <v>95.864491810480217</v>
      </c>
      <c r="I204" s="64">
        <f t="shared" si="86"/>
        <v>73.999081662856653</v>
      </c>
      <c r="J204" s="64">
        <f t="shared" si="87"/>
        <v>16.000918337143347</v>
      </c>
      <c r="K204" s="65">
        <f t="shared" si="77"/>
        <v>84.181411399730251</v>
      </c>
      <c r="L204" s="64">
        <f t="shared" si="88"/>
        <v>78.336294486345921</v>
      </c>
      <c r="M204" s="64">
        <f t="shared" si="89"/>
        <v>11.663705513654079</v>
      </c>
      <c r="N204" s="65">
        <f t="shared" si="78"/>
        <v>72.958555725682729</v>
      </c>
      <c r="O204" s="64">
        <f t="shared" si="90"/>
        <v>83.093791253659134</v>
      </c>
      <c r="P204" s="64">
        <f t="shared" si="91"/>
        <v>6.9062087463408659</v>
      </c>
      <c r="Q204" s="65">
        <f t="shared" si="79"/>
        <v>62.096058131873676</v>
      </c>
      <c r="R204" s="64">
        <f t="shared" si="92"/>
        <v>78.752200514839188</v>
      </c>
      <c r="S204" s="59">
        <f t="shared" si="93"/>
        <v>11.247799485160812</v>
      </c>
      <c r="T204" s="58">
        <f t="shared" si="80"/>
        <v>71.962750576505599</v>
      </c>
      <c r="U204" s="68"/>
    </row>
    <row r="205" spans="1:36" x14ac:dyDescent="0.2">
      <c r="A205" s="67">
        <v>74</v>
      </c>
      <c r="B205" s="66">
        <f t="shared" si="81"/>
        <v>1.2915436464758039</v>
      </c>
      <c r="C205" s="64">
        <f t="shared" si="82"/>
        <v>68.219414703552772</v>
      </c>
      <c r="D205" s="64">
        <f t="shared" si="83"/>
        <v>21.780585296447228</v>
      </c>
      <c r="E205" s="65">
        <f t="shared" si="75"/>
        <v>108.25645244805381</v>
      </c>
      <c r="F205" s="64">
        <f t="shared" si="84"/>
        <v>71.204765989860576</v>
      </c>
      <c r="G205" s="64">
        <f t="shared" si="85"/>
        <v>18.795234010139424</v>
      </c>
      <c r="H205" s="65">
        <f t="shared" si="76"/>
        <v>96.163289698705583</v>
      </c>
      <c r="I205" s="64">
        <f t="shared" si="86"/>
        <v>74.937334096891632</v>
      </c>
      <c r="J205" s="64">
        <f t="shared" si="87"/>
        <v>15.062665903108368</v>
      </c>
      <c r="K205" s="65">
        <f t="shared" si="77"/>
        <v>84.54048006204934</v>
      </c>
      <c r="L205" s="64">
        <f t="shared" si="88"/>
        <v>79.238644126323933</v>
      </c>
      <c r="M205" s="64">
        <f t="shared" si="89"/>
        <v>10.761355873676067</v>
      </c>
      <c r="N205" s="65">
        <f t="shared" si="78"/>
        <v>73.346045726792212</v>
      </c>
      <c r="O205" s="64">
        <f t="shared" si="90"/>
        <v>83.9284631682536</v>
      </c>
      <c r="P205" s="64">
        <f t="shared" si="91"/>
        <v>6.0715368317463998</v>
      </c>
      <c r="Q205" s="65">
        <f t="shared" si="79"/>
        <v>62.479247686769391</v>
      </c>
      <c r="R205" s="64">
        <f t="shared" si="92"/>
        <v>79.649667475599742</v>
      </c>
      <c r="S205" s="59">
        <f t="shared" si="93"/>
        <v>10.350332524400258</v>
      </c>
      <c r="T205" s="58">
        <f t="shared" si="80"/>
        <v>72.351176092699276</v>
      </c>
      <c r="U205" s="66"/>
    </row>
    <row r="206" spans="1:36" s="54" customFormat="1" x14ac:dyDescent="0.2">
      <c r="A206" s="63">
        <v>75</v>
      </c>
      <c r="B206" s="62">
        <f t="shared" si="81"/>
        <v>1.3089969389957472</v>
      </c>
      <c r="C206" s="60">
        <f t="shared" si="82"/>
        <v>69.114212611652633</v>
      </c>
      <c r="D206" s="60">
        <f t="shared" si="83"/>
        <v>20.885787388347367</v>
      </c>
      <c r="E206" s="61">
        <f t="shared" si="75"/>
        <v>108.47375593683776</v>
      </c>
      <c r="F206" s="60">
        <f t="shared" si="84"/>
        <v>72.141864299203164</v>
      </c>
      <c r="G206" s="60">
        <f t="shared" si="85"/>
        <v>17.858135700796836</v>
      </c>
      <c r="H206" s="61">
        <f t="shared" si="76"/>
        <v>96.462271152822481</v>
      </c>
      <c r="I206" s="60">
        <f t="shared" si="86"/>
        <v>75.876146267216598</v>
      </c>
      <c r="J206" s="60">
        <f t="shared" si="87"/>
        <v>14.123853732783402</v>
      </c>
      <c r="K206" s="61">
        <f t="shared" si="77"/>
        <v>84.896396562503341</v>
      </c>
      <c r="L206" s="60">
        <f t="shared" si="88"/>
        <v>80.14280806188637</v>
      </c>
      <c r="M206" s="60">
        <f t="shared" si="89"/>
        <v>9.8571919381136297</v>
      </c>
      <c r="N206" s="61">
        <f t="shared" si="78"/>
        <v>73.727968910909283</v>
      </c>
      <c r="O206" s="60">
        <f t="shared" si="90"/>
        <v>84.766022020464817</v>
      </c>
      <c r="P206" s="60">
        <f t="shared" si="91"/>
        <v>5.2339779795351831</v>
      </c>
      <c r="Q206" s="61">
        <f t="shared" si="79"/>
        <v>62.855418038834927</v>
      </c>
      <c r="R206" s="60">
        <f t="shared" si="92"/>
        <v>80.549058006368952</v>
      </c>
      <c r="S206" s="59">
        <f t="shared" si="93"/>
        <v>9.4509419936310479</v>
      </c>
      <c r="T206" s="58">
        <f t="shared" si="80"/>
        <v>72.733865137556435</v>
      </c>
      <c r="U206" s="62"/>
      <c r="V206" s="56">
        <f>E206</f>
        <v>108.47375593683776</v>
      </c>
      <c r="W206" s="55"/>
      <c r="AJ206" s="55">
        <f>D206</f>
        <v>20.885787388347367</v>
      </c>
    </row>
    <row r="207" spans="1:36" x14ac:dyDescent="0.2">
      <c r="A207" s="67">
        <v>76</v>
      </c>
      <c r="B207" s="66">
        <f t="shared" si="81"/>
        <v>1.3264502315156905</v>
      </c>
      <c r="C207" s="64">
        <f t="shared" si="82"/>
        <v>70.007866892915231</v>
      </c>
      <c r="D207" s="64">
        <f t="shared" si="83"/>
        <v>19.992133107084769</v>
      </c>
      <c r="E207" s="65">
        <f t="shared" si="75"/>
        <v>108.69509525707653</v>
      </c>
      <c r="F207" s="64">
        <f t="shared" si="84"/>
        <v>73.078408592602472</v>
      </c>
      <c r="G207" s="64">
        <f t="shared" si="85"/>
        <v>16.921591407397528</v>
      </c>
      <c r="H207" s="65">
        <f t="shared" si="76"/>
        <v>96.761591766020132</v>
      </c>
      <c r="I207" s="64">
        <f t="shared" si="86"/>
        <v>76.815477336094844</v>
      </c>
      <c r="J207" s="64">
        <f t="shared" si="87"/>
        <v>13.184522663905156</v>
      </c>
      <c r="K207" s="65">
        <f t="shared" si="77"/>
        <v>85.249389199780879</v>
      </c>
      <c r="L207" s="64">
        <f t="shared" si="88"/>
        <v>81.048720678026797</v>
      </c>
      <c r="M207" s="64">
        <f t="shared" si="89"/>
        <v>8.9512793219732032</v>
      </c>
      <c r="N207" s="65">
        <f t="shared" si="78"/>
        <v>74.104551756038092</v>
      </c>
      <c r="O207" s="64">
        <f t="shared" si="90"/>
        <v>85.606379301575217</v>
      </c>
      <c r="P207" s="64">
        <f t="shared" si="91"/>
        <v>4.3936206984247832</v>
      </c>
      <c r="Q207" s="65">
        <f t="shared" si="79"/>
        <v>63.224736540785472</v>
      </c>
      <c r="R207" s="64">
        <f t="shared" si="92"/>
        <v>81.450304208242997</v>
      </c>
      <c r="S207" s="59">
        <f t="shared" si="93"/>
        <v>8.5496957917570029</v>
      </c>
      <c r="T207" s="58">
        <f t="shared" si="80"/>
        <v>73.111040759629461</v>
      </c>
      <c r="U207" s="66"/>
      <c r="V207" s="53">
        <f>H206</f>
        <v>96.462271152822481</v>
      </c>
      <c r="AJ207" s="50">
        <f>G206</f>
        <v>17.858135700796836</v>
      </c>
    </row>
    <row r="208" spans="1:36" x14ac:dyDescent="0.2">
      <c r="A208" s="67">
        <v>77</v>
      </c>
      <c r="B208" s="66">
        <f t="shared" si="81"/>
        <v>1.3439035240356338</v>
      </c>
      <c r="C208" s="64">
        <f t="shared" si="82"/>
        <v>70.900342962593655</v>
      </c>
      <c r="D208" s="64">
        <f t="shared" si="83"/>
        <v>19.099657037406345</v>
      </c>
      <c r="E208" s="65">
        <f t="shared" si="75"/>
        <v>108.92050219077829</v>
      </c>
      <c r="F208" s="64">
        <f t="shared" si="84"/>
        <v>74.014372516719192</v>
      </c>
      <c r="G208" s="64">
        <f t="shared" si="85"/>
        <v>15.985627483280808</v>
      </c>
      <c r="H208" s="65">
        <f t="shared" si="76"/>
        <v>97.061404883674484</v>
      </c>
      <c r="I208" s="64">
        <f t="shared" si="86"/>
        <v>77.755287665335814</v>
      </c>
      <c r="J208" s="64">
        <f t="shared" si="87"/>
        <v>12.244712334664186</v>
      </c>
      <c r="K208" s="65">
        <f t="shared" si="77"/>
        <v>85.599679889646765</v>
      </c>
      <c r="L208" s="64">
        <f t="shared" si="88"/>
        <v>81.956318986922511</v>
      </c>
      <c r="M208" s="64">
        <f t="shared" si="89"/>
        <v>8.0436810130774887</v>
      </c>
      <c r="N208" s="65">
        <f t="shared" si="78"/>
        <v>74.476013765936358</v>
      </c>
      <c r="O208" s="64">
        <f t="shared" si="90"/>
        <v>86.449449578499767</v>
      </c>
      <c r="P208" s="64">
        <f t="shared" si="91"/>
        <v>3.5505504215002333</v>
      </c>
      <c r="Q208" s="65">
        <f t="shared" si="79"/>
        <v>63.587364994089221</v>
      </c>
      <c r="R208" s="64">
        <f t="shared" si="92"/>
        <v>82.353340897260182</v>
      </c>
      <c r="S208" s="59">
        <f t="shared" si="93"/>
        <v>7.6466591027398181</v>
      </c>
      <c r="T208" s="58">
        <f t="shared" si="80"/>
        <v>73.482919108986394</v>
      </c>
      <c r="U208" s="66"/>
      <c r="V208" s="53">
        <f>K206</f>
        <v>84.896396562503341</v>
      </c>
      <c r="AJ208" s="50">
        <f>J206</f>
        <v>14.123853732783402</v>
      </c>
    </row>
    <row r="209" spans="1:37" x14ac:dyDescent="0.2">
      <c r="A209" s="67">
        <v>78</v>
      </c>
      <c r="B209" s="66">
        <f t="shared" si="81"/>
        <v>1.3613568165555769</v>
      </c>
      <c r="C209" s="64">
        <f t="shared" si="82"/>
        <v>71.791605332995772</v>
      </c>
      <c r="D209" s="64">
        <f t="shared" si="83"/>
        <v>18.208394667004228</v>
      </c>
      <c r="E209" s="65">
        <f t="shared" si="75"/>
        <v>109.15001287092107</v>
      </c>
      <c r="F209" s="64">
        <f t="shared" si="84"/>
        <v>74.949729312713856</v>
      </c>
      <c r="G209" s="64">
        <f t="shared" si="85"/>
        <v>15.050270687286144</v>
      </c>
      <c r="H209" s="65">
        <f t="shared" si="76"/>
        <v>97.361861968719779</v>
      </c>
      <c r="I209" s="64">
        <f t="shared" si="86"/>
        <v>78.695538713395379</v>
      </c>
      <c r="J209" s="64">
        <f t="shared" si="87"/>
        <v>11.304461286604621</v>
      </c>
      <c r="K209" s="65">
        <f t="shared" si="77"/>
        <v>85.947484702813696</v>
      </c>
      <c r="L209" s="64">
        <f t="shared" si="88"/>
        <v>82.865542490941635</v>
      </c>
      <c r="M209" s="64">
        <f t="shared" si="89"/>
        <v>7.1344575090583646</v>
      </c>
      <c r="N209" s="65">
        <f t="shared" si="78"/>
        <v>74.842567853799849</v>
      </c>
      <c r="O209" s="64">
        <f t="shared" si="90"/>
        <v>87.295150370409743</v>
      </c>
      <c r="P209" s="64">
        <f t="shared" si="91"/>
        <v>2.7048496295902567</v>
      </c>
      <c r="Q209" s="65">
        <f t="shared" si="79"/>
        <v>63.943459757248881</v>
      </c>
      <c r="R209" s="64">
        <f t="shared" si="92"/>
        <v>83.258105466780322</v>
      </c>
      <c r="S209" s="59">
        <f t="shared" si="93"/>
        <v>6.7418945332196785</v>
      </c>
      <c r="T209" s="58">
        <f t="shared" si="80"/>
        <v>73.849709797412771</v>
      </c>
      <c r="U209" s="66"/>
      <c r="V209" s="53">
        <f>N206</f>
        <v>73.727968910909283</v>
      </c>
      <c r="AJ209" s="50">
        <f>M206</f>
        <v>9.8571919381136297</v>
      </c>
    </row>
    <row r="210" spans="1:37" x14ac:dyDescent="0.2">
      <c r="A210" s="67">
        <v>79</v>
      </c>
      <c r="B210" s="66">
        <f t="shared" si="81"/>
        <v>1.3788101090755203</v>
      </c>
      <c r="C210" s="64">
        <f t="shared" si="82"/>
        <v>72.681617570355257</v>
      </c>
      <c r="D210" s="64">
        <f t="shared" si="83"/>
        <v>17.318382429644743</v>
      </c>
      <c r="E210" s="65">
        <f t="shared" si="75"/>
        <v>109.38366770773882</v>
      </c>
      <c r="F210" s="64">
        <f t="shared" si="84"/>
        <v>75.884451768415602</v>
      </c>
      <c r="G210" s="64">
        <f t="shared" si="85"/>
        <v>14.115548231584398</v>
      </c>
      <c r="H210" s="65">
        <f t="shared" si="76"/>
        <v>97.663112950629909</v>
      </c>
      <c r="I210" s="64">
        <f t="shared" si="86"/>
        <v>79.636192937602175</v>
      </c>
      <c r="J210" s="64">
        <f t="shared" si="87"/>
        <v>10.363807062397825</v>
      </c>
      <c r="K210" s="65">
        <f t="shared" si="77"/>
        <v>86.293014377938974</v>
      </c>
      <c r="L210" s="64">
        <f t="shared" si="88"/>
        <v>83.776333052976341</v>
      </c>
      <c r="M210" s="64">
        <f t="shared" si="89"/>
        <v>6.2236669470236592</v>
      </c>
      <c r="N210" s="65">
        <f t="shared" si="78"/>
        <v>75.204420712924161</v>
      </c>
      <c r="O210" s="64">
        <f t="shared" si="90"/>
        <v>88.143402030150241</v>
      </c>
      <c r="P210" s="64">
        <f t="shared" si="91"/>
        <v>1.8565979698497586</v>
      </c>
      <c r="Q210" s="65">
        <f t="shared" si="79"/>
        <v>64.293171852889401</v>
      </c>
      <c r="R210" s="64">
        <f t="shared" si="92"/>
        <v>84.16453775713056</v>
      </c>
      <c r="S210" s="59">
        <f t="shared" si="93"/>
        <v>5.8354622428694398</v>
      </c>
      <c r="T210" s="58">
        <f t="shared" si="80"/>
        <v>74.211616246920727</v>
      </c>
      <c r="U210" s="66"/>
      <c r="V210" s="53">
        <f>Q206</f>
        <v>62.855418038834927</v>
      </c>
      <c r="AJ210" s="50">
        <f>P206</f>
        <v>5.2339779795351831</v>
      </c>
    </row>
    <row r="211" spans="1:37" x14ac:dyDescent="0.2">
      <c r="A211" s="67">
        <v>80</v>
      </c>
      <c r="B211" s="66">
        <f t="shared" si="81"/>
        <v>1.3962634015954636</v>
      </c>
      <c r="C211" s="64">
        <f t="shared" si="82"/>
        <v>73.570342250477282</v>
      </c>
      <c r="D211" s="64">
        <f t="shared" si="83"/>
        <v>16.429657749522718</v>
      </c>
      <c r="E211" s="65">
        <f t="shared" si="75"/>
        <v>109.621511327992</v>
      </c>
      <c r="F211" s="64">
        <f t="shared" si="84"/>
        <v>76.818512170279945</v>
      </c>
      <c r="G211" s="64">
        <f t="shared" si="85"/>
        <v>13.181487829720055</v>
      </c>
      <c r="H211" s="65">
        <f t="shared" si="76"/>
        <v>97.965306559956133</v>
      </c>
      <c r="I211" s="64">
        <f t="shared" si="86"/>
        <v>80.577213701001355</v>
      </c>
      <c r="J211" s="64">
        <f t="shared" si="87"/>
        <v>9.4227862989986448</v>
      </c>
      <c r="K211" s="65">
        <f t="shared" si="77"/>
        <v>86.636474812124419</v>
      </c>
      <c r="L211" s="64">
        <f t="shared" si="88"/>
        <v>84.688634773642079</v>
      </c>
      <c r="M211" s="64">
        <f t="shared" si="89"/>
        <v>5.3113652263579212</v>
      </c>
      <c r="N211" s="65">
        <f t="shared" si="78"/>
        <v>75.561773175101479</v>
      </c>
      <c r="O211" s="64">
        <f t="shared" si="90"/>
        <v>88.994127630295054</v>
      </c>
      <c r="P211" s="64">
        <f t="shared" si="91"/>
        <v>1.0058723697049459</v>
      </c>
      <c r="Q211" s="65">
        <f t="shared" si="79"/>
        <v>64.636647073073348</v>
      </c>
      <c r="R211" s="64">
        <f t="shared" si="92"/>
        <v>85.072579932081041</v>
      </c>
      <c r="S211" s="59">
        <f t="shared" si="93"/>
        <v>4.927420067918959</v>
      </c>
      <c r="T211" s="58">
        <f t="shared" si="80"/>
        <v>74.568836027164636</v>
      </c>
      <c r="U211" s="66"/>
    </row>
    <row r="212" spans="1:37" x14ac:dyDescent="0.2">
      <c r="A212" s="67">
        <v>81</v>
      </c>
      <c r="B212" s="66">
        <f t="shared" si="81"/>
        <v>1.4137166941154069</v>
      </c>
      <c r="C212" s="64">
        <f t="shared" si="82"/>
        <v>74.457740913053513</v>
      </c>
      <c r="D212" s="64">
        <f t="shared" si="83"/>
        <v>15.542259086946487</v>
      </c>
      <c r="E212" s="65">
        <f t="shared" si="75"/>
        <v>109.86359252636267</v>
      </c>
      <c r="F212" s="64">
        <f t="shared" si="84"/>
        <v>77.751882254939275</v>
      </c>
      <c r="G212" s="64">
        <f t="shared" si="85"/>
        <v>12.248117745060725</v>
      </c>
      <c r="H212" s="65">
        <f t="shared" si="76"/>
        <v>98.268590650213397</v>
      </c>
      <c r="I212" s="64">
        <f t="shared" si="86"/>
        <v>81.518565183342702</v>
      </c>
      <c r="J212" s="64">
        <f t="shared" si="87"/>
        <v>8.4814348166572984</v>
      </c>
      <c r="K212" s="65">
        <f t="shared" si="77"/>
        <v>86.978067531154153</v>
      </c>
      <c r="L212" s="64">
        <f t="shared" si="88"/>
        <v>85.602393874909652</v>
      </c>
      <c r="M212" s="64">
        <f t="shared" si="89"/>
        <v>4.3976061250903484</v>
      </c>
      <c r="N212" s="65">
        <f t="shared" si="78"/>
        <v>75.914820557521551</v>
      </c>
      <c r="O212" s="64">
        <f t="shared" si="90"/>
        <v>89.847252853681667</v>
      </c>
      <c r="P212" s="64">
        <f t="shared" si="91"/>
        <v>0.15274714631833319</v>
      </c>
      <c r="Q212" s="65">
        <f t="shared" si="79"/>
        <v>64.974026082322069</v>
      </c>
      <c r="R212" s="64">
        <f t="shared" si="92"/>
        <v>85.982176361737217</v>
      </c>
      <c r="S212" s="59">
        <f t="shared" si="93"/>
        <v>4.017823638262783</v>
      </c>
      <c r="T212" s="58">
        <f t="shared" si="80"/>
        <v>74.921561182383485</v>
      </c>
      <c r="U212" s="66"/>
    </row>
    <row r="213" spans="1:37" x14ac:dyDescent="0.2">
      <c r="A213" s="67">
        <v>82</v>
      </c>
      <c r="B213" s="66">
        <f t="shared" si="81"/>
        <v>1.4311699866353502</v>
      </c>
      <c r="C213" s="64">
        <f t="shared" si="82"/>
        <v>75.343774014540926</v>
      </c>
      <c r="D213" s="64">
        <f t="shared" si="83"/>
        <v>14.656225985459074</v>
      </c>
      <c r="E213" s="65">
        <f t="shared" si="75"/>
        <v>110.10996422820054</v>
      </c>
      <c r="F213" s="64">
        <f t="shared" si="84"/>
        <v>78.684533160153933</v>
      </c>
      <c r="G213" s="64">
        <f t="shared" si="85"/>
        <v>11.315466839846067</v>
      </c>
      <c r="H213" s="65">
        <f t="shared" si="76"/>
        <v>98.573112508769242</v>
      </c>
      <c r="I213" s="64">
        <f t="shared" si="86"/>
        <v>82.460212295769878</v>
      </c>
      <c r="J213" s="64">
        <f t="shared" si="87"/>
        <v>7.5397877042301218</v>
      </c>
      <c r="K213" s="65">
        <f t="shared" si="77"/>
        <v>87.31799014157653</v>
      </c>
      <c r="L213" s="64">
        <f t="shared" si="88"/>
        <v>86.517558589761038</v>
      </c>
      <c r="M213" s="64">
        <f t="shared" si="89"/>
        <v>3.4824414102389625</v>
      </c>
      <c r="N213" s="65">
        <f t="shared" si="78"/>
        <v>76.263752998952995</v>
      </c>
      <c r="O213" s="64">
        <f t="shared" si="90"/>
        <v>90.702705888267872</v>
      </c>
      <c r="P213" s="64">
        <f t="shared" si="91"/>
        <v>-0.70270588826787161</v>
      </c>
      <c r="Q213" s="65">
        <f t="shared" si="79"/>
        <v>65.305444517871109</v>
      </c>
      <c r="R213" s="64">
        <f t="shared" si="92"/>
        <v>86.893273511459043</v>
      </c>
      <c r="S213" s="59">
        <f t="shared" si="93"/>
        <v>3.1067264885409571</v>
      </c>
      <c r="T213" s="58">
        <f t="shared" si="80"/>
        <v>75.269978548507055</v>
      </c>
      <c r="U213" s="66"/>
    </row>
    <row r="214" spans="1:37" x14ac:dyDescent="0.2">
      <c r="A214" s="67">
        <v>83</v>
      </c>
      <c r="B214" s="66">
        <f t="shared" si="81"/>
        <v>1.4486232791552935</v>
      </c>
      <c r="C214" s="64">
        <f t="shared" si="82"/>
        <v>76.228400879498153</v>
      </c>
      <c r="D214" s="64">
        <f t="shared" si="83"/>
        <v>13.771599120501847</v>
      </c>
      <c r="E214" s="65">
        <f t="shared" si="75"/>
        <v>110.36068346292464</v>
      </c>
      <c r="F214" s="64">
        <f t="shared" si="84"/>
        <v>79.616435374975595</v>
      </c>
      <c r="G214" s="64">
        <f t="shared" si="85"/>
        <v>10.383564625024405</v>
      </c>
      <c r="H214" s="65">
        <f t="shared" si="76"/>
        <v>98.87901915826869</v>
      </c>
      <c r="I214" s="64">
        <f t="shared" si="86"/>
        <v>83.402120598795364</v>
      </c>
      <c r="J214" s="64">
        <f t="shared" si="87"/>
        <v>6.5978794012046365</v>
      </c>
      <c r="K214" s="65">
        <f t="shared" si="77"/>
        <v>87.656436766621553</v>
      </c>
      <c r="L214" s="64">
        <f t="shared" si="88"/>
        <v>87.434079057483444</v>
      </c>
      <c r="M214" s="64">
        <f t="shared" si="89"/>
        <v>2.5659209425165557</v>
      </c>
      <c r="N214" s="65">
        <f t="shared" si="78"/>
        <v>76.608755785988109</v>
      </c>
      <c r="O214" s="64">
        <f t="shared" si="90"/>
        <v>91.560417326152475</v>
      </c>
      <c r="P214" s="64">
        <f t="shared" si="91"/>
        <v>-1.560417326152475</v>
      </c>
      <c r="Q214" s="65">
        <f t="shared" si="79"/>
        <v>65.631033086729985</v>
      </c>
      <c r="R214" s="64">
        <f t="shared" si="92"/>
        <v>87.80581983643782</v>
      </c>
      <c r="S214" s="59">
        <f t="shared" si="93"/>
        <v>2.19418016356218</v>
      </c>
      <c r="T214" s="58">
        <f t="shared" si="80"/>
        <v>75.614270061077264</v>
      </c>
      <c r="U214" s="66"/>
    </row>
    <row r="215" spans="1:37" x14ac:dyDescent="0.2">
      <c r="A215" s="67">
        <v>84</v>
      </c>
      <c r="B215" s="66">
        <f t="shared" si="81"/>
        <v>1.4660765716752369</v>
      </c>
      <c r="C215" s="64">
        <f t="shared" si="82"/>
        <v>77.111579650272617</v>
      </c>
      <c r="D215" s="64">
        <f t="shared" si="83"/>
        <v>12.888420349727383</v>
      </c>
      <c r="E215" s="65">
        <f t="shared" si="75"/>
        <v>110.61581134745289</v>
      </c>
      <c r="F215" s="64">
        <f t="shared" si="84"/>
        <v>80.547558688937144</v>
      </c>
      <c r="G215" s="64">
        <f t="shared" si="85"/>
        <v>9.4524413110628558</v>
      </c>
      <c r="H215" s="65">
        <f t="shared" si="76"/>
        <v>99.186457650021595</v>
      </c>
      <c r="I215" s="64">
        <f t="shared" si="86"/>
        <v>84.34425622316914</v>
      </c>
      <c r="J215" s="64">
        <f t="shared" si="87"/>
        <v>5.6557437768308603</v>
      </c>
      <c r="K215" s="65">
        <f t="shared" si="77"/>
        <v>87.993598467843825</v>
      </c>
      <c r="L215" s="64">
        <f t="shared" si="88"/>
        <v>88.351907224237621</v>
      </c>
      <c r="M215" s="64">
        <f t="shared" si="89"/>
        <v>1.6480927757623789</v>
      </c>
      <c r="N215" s="65">
        <f t="shared" si="78"/>
        <v>76.950009670138726</v>
      </c>
      <c r="O215" s="64">
        <f t="shared" si="90"/>
        <v>92.42032006660277</v>
      </c>
      <c r="P215" s="64">
        <f t="shared" si="91"/>
        <v>-2.4203200666027698</v>
      </c>
      <c r="Q215" s="65">
        <f t="shared" si="79"/>
        <v>65.950917659154442</v>
      </c>
      <c r="R215" s="64">
        <f t="shared" si="92"/>
        <v>88.71976568158226</v>
      </c>
      <c r="S215" s="59">
        <f t="shared" si="93"/>
        <v>1.2802343184177403</v>
      </c>
      <c r="T215" s="58">
        <f t="shared" si="80"/>
        <v>75.954613054648263</v>
      </c>
      <c r="U215" s="66"/>
    </row>
    <row r="216" spans="1:37" x14ac:dyDescent="0.2">
      <c r="A216" s="67">
        <v>85</v>
      </c>
      <c r="B216" s="66">
        <f t="shared" si="81"/>
        <v>1.4835298641951802</v>
      </c>
      <c r="C216" s="64">
        <f t="shared" si="82"/>
        <v>77.993267234929903</v>
      </c>
      <c r="D216" s="64">
        <f t="shared" si="83"/>
        <v>12.006732765070097</v>
      </c>
      <c r="E216" s="65">
        <f t="shared" si="75"/>
        <v>110.8754130790927</v>
      </c>
      <c r="F216" s="64">
        <f t="shared" si="84"/>
        <v>81.477872140083136</v>
      </c>
      <c r="G216" s="64">
        <f t="shared" si="85"/>
        <v>8.5221278599168642</v>
      </c>
      <c r="H216" s="65">
        <f t="shared" si="76"/>
        <v>99.495575350684376</v>
      </c>
      <c r="I216" s="64">
        <f t="shared" si="86"/>
        <v>85.286585793270007</v>
      </c>
      <c r="J216" s="64">
        <f t="shared" si="87"/>
        <v>4.7134142067299933</v>
      </c>
      <c r="K216" s="65">
        <f t="shared" si="77"/>
        <v>88.329663654291522</v>
      </c>
      <c r="L216" s="64">
        <f t="shared" si="88"/>
        <v>89.270996748556712</v>
      </c>
      <c r="M216" s="64">
        <f t="shared" si="89"/>
        <v>0.72900325144328804</v>
      </c>
      <c r="N216" s="65">
        <f t="shared" si="78"/>
        <v>77.287691176575507</v>
      </c>
      <c r="O216" s="64">
        <f t="shared" si="90"/>
        <v>93.282349222933888</v>
      </c>
      <c r="P216" s="64">
        <f t="shared" si="91"/>
        <v>-3.2823492229338882</v>
      </c>
      <c r="Q216" s="65">
        <f t="shared" si="79"/>
        <v>66.265219358169119</v>
      </c>
      <c r="R216" s="64">
        <f t="shared" si="92"/>
        <v>89.635063186383917</v>
      </c>
      <c r="S216" s="59">
        <f t="shared" si="93"/>
        <v>0.3649368136160831</v>
      </c>
      <c r="T216" s="58">
        <f t="shared" si="80"/>
        <v>76.291180554339519</v>
      </c>
      <c r="U216" s="66"/>
    </row>
    <row r="217" spans="1:37" x14ac:dyDescent="0.2">
      <c r="A217" s="67">
        <v>86</v>
      </c>
      <c r="B217" s="66">
        <f t="shared" si="81"/>
        <v>1.5009831567151235</v>
      </c>
      <c r="C217" s="64">
        <f t="shared" si="82"/>
        <v>78.873419253315234</v>
      </c>
      <c r="D217" s="64">
        <f t="shared" si="83"/>
        <v>11.126580746684766</v>
      </c>
      <c r="E217" s="65">
        <f t="shared" si="75"/>
        <v>111.13955793737833</v>
      </c>
      <c r="F217" s="64">
        <f t="shared" si="84"/>
        <v>82.407343961655798</v>
      </c>
      <c r="G217" s="64">
        <f t="shared" si="85"/>
        <v>7.5926560383442023</v>
      </c>
      <c r="H217" s="65">
        <f t="shared" si="76"/>
        <v>99.806520223486203</v>
      </c>
      <c r="I217" s="64">
        <f t="shared" si="86"/>
        <v>86.229076352666937</v>
      </c>
      <c r="J217" s="64">
        <f t="shared" si="87"/>
        <v>3.7709236473330634</v>
      </c>
      <c r="K217" s="65">
        <f t="shared" si="77"/>
        <v>88.664818480924211</v>
      </c>
      <c r="L217" s="64">
        <f t="shared" si="88"/>
        <v>90.191302911450492</v>
      </c>
      <c r="M217" s="64">
        <f t="shared" si="89"/>
        <v>-0.19130291145049227</v>
      </c>
      <c r="N217" s="65">
        <f t="shared" si="78"/>
        <v>77.621972905307445</v>
      </c>
      <c r="O217" s="64">
        <f t="shared" si="90"/>
        <v>94.146442033086487</v>
      </c>
      <c r="P217" s="64">
        <f t="shared" si="91"/>
        <v>-4.1464420330864868</v>
      </c>
      <c r="Q217" s="65">
        <f t="shared" si="79"/>
        <v>66.574054644804477</v>
      </c>
      <c r="R217" s="64">
        <f t="shared" si="92"/>
        <v>90.551666194450149</v>
      </c>
      <c r="S217" s="59">
        <f t="shared" si="93"/>
        <v>-0.55166619445014931</v>
      </c>
      <c r="T217" s="58">
        <f t="shared" si="80"/>
        <v>76.624141560226406</v>
      </c>
      <c r="U217" s="66"/>
    </row>
    <row r="218" spans="1:37" x14ac:dyDescent="0.2">
      <c r="A218" s="67">
        <v>87</v>
      </c>
      <c r="B218" s="66">
        <f t="shared" si="81"/>
        <v>1.5184364492350666</v>
      </c>
      <c r="C218" s="64">
        <f t="shared" si="82"/>
        <v>79.751989981135011</v>
      </c>
      <c r="D218" s="64">
        <f t="shared" si="83"/>
        <v>10.248010018864989</v>
      </c>
      <c r="E218" s="65">
        <f t="shared" si="75"/>
        <v>111.40831929438755</v>
      </c>
      <c r="F218" s="64">
        <f t="shared" si="84"/>
        <v>83.335941527248821</v>
      </c>
      <c r="G218" s="64">
        <f t="shared" si="85"/>
        <v>6.6640584727511794</v>
      </c>
      <c r="H218" s="65">
        <f t="shared" si="76"/>
        <v>100.11944110517679</v>
      </c>
      <c r="I218" s="64">
        <f t="shared" si="86"/>
        <v>87.171695291512506</v>
      </c>
      <c r="J218" s="64">
        <f t="shared" si="87"/>
        <v>2.8283047084874937</v>
      </c>
      <c r="K218" s="65">
        <f t="shared" si="77"/>
        <v>88.99924723793562</v>
      </c>
      <c r="L218" s="64">
        <f t="shared" si="88"/>
        <v>91.112782530807863</v>
      </c>
      <c r="M218" s="64">
        <f t="shared" si="89"/>
        <v>-1.1127825308078627</v>
      </c>
      <c r="N218" s="65">
        <f t="shared" si="78"/>
        <v>77.953023825604404</v>
      </c>
      <c r="O218" s="64">
        <f t="shared" si="90"/>
        <v>95.012537773752157</v>
      </c>
      <c r="P218" s="64">
        <f t="shared" si="91"/>
        <v>-5.0125377737521575</v>
      </c>
      <c r="Q218" s="65">
        <f t="shared" si="79"/>
        <v>66.877535398731638</v>
      </c>
      <c r="R218" s="64">
        <f t="shared" si="92"/>
        <v>91.469530167409062</v>
      </c>
      <c r="S218" s="59">
        <f t="shared" si="93"/>
        <v>-1.4695301674090615</v>
      </c>
      <c r="T218" s="58">
        <f t="shared" si="80"/>
        <v>76.953661325262743</v>
      </c>
      <c r="U218" s="66"/>
    </row>
    <row r="219" spans="1:37" x14ac:dyDescent="0.2">
      <c r="A219" s="67">
        <v>88</v>
      </c>
      <c r="B219" s="66">
        <f t="shared" si="81"/>
        <v>1.5358897417550099</v>
      </c>
      <c r="C219" s="64">
        <f t="shared" si="82"/>
        <v>80.628932291944182</v>
      </c>
      <c r="D219" s="64">
        <f t="shared" si="83"/>
        <v>9.3710677080558185</v>
      </c>
      <c r="E219" s="65">
        <f t="shared" si="75"/>
        <v>111.68177463311007</v>
      </c>
      <c r="F219" s="64">
        <f t="shared" si="84"/>
        <v>84.263631294239218</v>
      </c>
      <c r="G219" s="64">
        <f t="shared" si="85"/>
        <v>5.7363687057607819</v>
      </c>
      <c r="H219" s="65">
        <f t="shared" si="76"/>
        <v>100.43448797980963</v>
      </c>
      <c r="I219" s="64">
        <f t="shared" si="86"/>
        <v>88.114410275444342</v>
      </c>
      <c r="J219" s="64">
        <f t="shared" si="87"/>
        <v>1.8855897245556577</v>
      </c>
      <c r="K219" s="65">
        <f t="shared" si="77"/>
        <v>89.333132732581461</v>
      </c>
      <c r="L219" s="64">
        <f t="shared" si="88"/>
        <v>92.03539387980608</v>
      </c>
      <c r="M219" s="64">
        <f t="shared" si="89"/>
        <v>-2.0353938798060796</v>
      </c>
      <c r="N219" s="65">
        <f t="shared" si="78"/>
        <v>78.281009564472001</v>
      </c>
      <c r="O219" s="64">
        <f t="shared" si="90"/>
        <v>95.880577677898785</v>
      </c>
      <c r="P219" s="64">
        <f t="shared" si="91"/>
        <v>-5.8805776778987848</v>
      </c>
      <c r="Q219" s="65">
        <f t="shared" si="79"/>
        <v>67.17576899399451</v>
      </c>
      <c r="R219" s="64">
        <f t="shared" si="92"/>
        <v>92.388612102906862</v>
      </c>
      <c r="S219" s="59">
        <f t="shared" si="93"/>
        <v>-2.3886121029068619</v>
      </c>
      <c r="T219" s="58">
        <f t="shared" si="80"/>
        <v>77.279901627440481</v>
      </c>
      <c r="U219" s="66"/>
    </row>
    <row r="220" spans="1:37" x14ac:dyDescent="0.2">
      <c r="A220" s="67">
        <v>89</v>
      </c>
      <c r="B220" s="66">
        <f t="shared" si="81"/>
        <v>1.5533430342749532</v>
      </c>
      <c r="C220" s="64">
        <f t="shared" si="82"/>
        <v>81.504197596922481</v>
      </c>
      <c r="D220" s="64">
        <f t="shared" si="83"/>
        <v>8.4958024030775192</v>
      </c>
      <c r="E220" s="65">
        <f t="shared" si="75"/>
        <v>111.96000557347524</v>
      </c>
      <c r="F220" s="64">
        <f t="shared" si="84"/>
        <v>85.190378745303505</v>
      </c>
      <c r="G220" s="64">
        <f t="shared" si="85"/>
        <v>4.8096212546964949</v>
      </c>
      <c r="H220" s="65">
        <f t="shared" si="76"/>
        <v>100.75181225042</v>
      </c>
      <c r="I220" s="64">
        <f t="shared" si="86"/>
        <v>89.057189175679952</v>
      </c>
      <c r="J220" s="64">
        <f t="shared" si="87"/>
        <v>0.94281082432004837</v>
      </c>
      <c r="K220" s="65">
        <f t="shared" si="77"/>
        <v>89.666656665065275</v>
      </c>
      <c r="L220" s="64">
        <f t="shared" si="88"/>
        <v>92.959096609050221</v>
      </c>
      <c r="M220" s="64">
        <f t="shared" si="89"/>
        <v>-2.9590966090502206</v>
      </c>
      <c r="N220" s="65">
        <f t="shared" si="78"/>
        <v>78.606092689996842</v>
      </c>
      <c r="O220" s="64">
        <f t="shared" si="90"/>
        <v>96.750504855550346</v>
      </c>
      <c r="P220" s="64">
        <f t="shared" si="91"/>
        <v>-6.7505048555503464</v>
      </c>
      <c r="Q220" s="65">
        <f t="shared" si="79"/>
        <v>67.468858369548826</v>
      </c>
      <c r="R220" s="64">
        <f t="shared" si="92"/>
        <v>93.308870456431535</v>
      </c>
      <c r="S220" s="59">
        <f t="shared" si="93"/>
        <v>-3.308870456431535</v>
      </c>
      <c r="T220" s="58">
        <f t="shared" si="80"/>
        <v>77.603021036903371</v>
      </c>
      <c r="U220" s="66"/>
    </row>
    <row r="221" spans="1:37" s="54" customFormat="1" x14ac:dyDescent="0.2">
      <c r="A221" s="63">
        <v>90</v>
      </c>
      <c r="B221" s="62">
        <f t="shared" si="81"/>
        <v>1.5707963267948966</v>
      </c>
      <c r="C221" s="60">
        <f t="shared" si="82"/>
        <v>82.377735782319988</v>
      </c>
      <c r="D221" s="60">
        <f t="shared" si="83"/>
        <v>7.6222642176800122</v>
      </c>
      <c r="E221" s="61">
        <f t="shared" si="75"/>
        <v>112.24309790567612</v>
      </c>
      <c r="F221" s="60">
        <f t="shared" si="84"/>
        <v>86.116148327819545</v>
      </c>
      <c r="G221" s="60">
        <f t="shared" si="85"/>
        <v>3.8838516721804552</v>
      </c>
      <c r="H221" s="61">
        <f t="shared" si="76"/>
        <v>101.07156700960884</v>
      </c>
      <c r="I221" s="60">
        <f t="shared" si="86"/>
        <v>90</v>
      </c>
      <c r="J221" s="60">
        <f t="shared" si="87"/>
        <v>0</v>
      </c>
      <c r="K221" s="61">
        <f t="shared" si="77"/>
        <v>90</v>
      </c>
      <c r="L221" s="60">
        <f t="shared" si="88"/>
        <v>93.883851672180441</v>
      </c>
      <c r="M221" s="60">
        <f t="shared" si="89"/>
        <v>-3.883851672180441</v>
      </c>
      <c r="N221" s="61">
        <f t="shared" si="78"/>
        <v>78.928432990391158</v>
      </c>
      <c r="O221" s="60">
        <f t="shared" si="90"/>
        <v>97.622264217680012</v>
      </c>
      <c r="P221" s="60">
        <f t="shared" si="91"/>
        <v>-7.6222642176800122</v>
      </c>
      <c r="Q221" s="61">
        <f t="shared" si="79"/>
        <v>67.756902094323877</v>
      </c>
      <c r="R221" s="60">
        <f t="shared" si="92"/>
        <v>94.230265066711368</v>
      </c>
      <c r="S221" s="59">
        <f t="shared" si="93"/>
        <v>-4.2302650667113681</v>
      </c>
      <c r="T221" s="58">
        <f t="shared" si="80"/>
        <v>77.923175178744316</v>
      </c>
      <c r="U221" s="62"/>
      <c r="V221" s="56">
        <f>E221</f>
        <v>112.24309790567612</v>
      </c>
      <c r="W221" s="55"/>
      <c r="AK221" s="55">
        <f>D221</f>
        <v>7.6222642176800122</v>
      </c>
    </row>
    <row r="222" spans="1:37" x14ac:dyDescent="0.2">
      <c r="A222" s="67">
        <v>91</v>
      </c>
      <c r="B222" s="66">
        <f t="shared" si="81"/>
        <v>1.5882496193148399</v>
      </c>
      <c r="C222" s="64">
        <f t="shared" si="82"/>
        <v>83.249495144449639</v>
      </c>
      <c r="D222" s="64">
        <f t="shared" si="83"/>
        <v>6.7505048555503606</v>
      </c>
      <c r="E222" s="65">
        <f t="shared" si="75"/>
        <v>112.53114163045117</v>
      </c>
      <c r="F222" s="64">
        <f t="shared" si="84"/>
        <v>87.040903390949779</v>
      </c>
      <c r="G222" s="64">
        <f t="shared" si="85"/>
        <v>2.9590966090502206</v>
      </c>
      <c r="H222" s="65">
        <f t="shared" si="76"/>
        <v>101.39390731000316</v>
      </c>
      <c r="I222" s="64">
        <f t="shared" si="86"/>
        <v>90.942810824320048</v>
      </c>
      <c r="J222" s="64">
        <f t="shared" si="87"/>
        <v>-0.94281082432004837</v>
      </c>
      <c r="K222" s="65">
        <f t="shared" si="77"/>
        <v>90.333343334934725</v>
      </c>
      <c r="L222" s="64">
        <f t="shared" si="88"/>
        <v>94.809621254696481</v>
      </c>
      <c r="M222" s="64">
        <f t="shared" si="89"/>
        <v>-4.8096212546964807</v>
      </c>
      <c r="N222" s="65">
        <f t="shared" si="78"/>
        <v>79.248187749579998</v>
      </c>
      <c r="O222" s="64">
        <f t="shared" si="90"/>
        <v>98.495802403077519</v>
      </c>
      <c r="P222" s="64">
        <f t="shared" si="91"/>
        <v>-8.4958024030775192</v>
      </c>
      <c r="Q222" s="65">
        <f t="shared" si="79"/>
        <v>68.039994426524757</v>
      </c>
      <c r="R222" s="64">
        <f t="shared" si="92"/>
        <v>95.152757084447742</v>
      </c>
      <c r="S222" s="59">
        <f t="shared" si="93"/>
        <v>-5.1527570844477424</v>
      </c>
      <c r="T222" s="58">
        <f t="shared" si="80"/>
        <v>78.240516992231846</v>
      </c>
      <c r="U222" s="66"/>
      <c r="V222" s="53">
        <f>H221</f>
        <v>101.07156700960884</v>
      </c>
      <c r="AK222" s="50">
        <f>G221</f>
        <v>3.8838516721804552</v>
      </c>
    </row>
    <row r="223" spans="1:37" x14ac:dyDescent="0.2">
      <c r="A223" s="67">
        <v>92</v>
      </c>
      <c r="B223" s="66">
        <f t="shared" si="81"/>
        <v>1.6057029118347832</v>
      </c>
      <c r="C223" s="64">
        <f t="shared" si="82"/>
        <v>84.119422322101201</v>
      </c>
      <c r="D223" s="64">
        <f t="shared" si="83"/>
        <v>5.880577677898799</v>
      </c>
      <c r="E223" s="65">
        <f t="shared" si="75"/>
        <v>112.82423100600548</v>
      </c>
      <c r="F223" s="64">
        <f t="shared" si="84"/>
        <v>87.96460612019392</v>
      </c>
      <c r="G223" s="64">
        <f t="shared" si="85"/>
        <v>2.0353938798060796</v>
      </c>
      <c r="H223" s="65">
        <f t="shared" si="76"/>
        <v>101.718990435528</v>
      </c>
      <c r="I223" s="64">
        <f t="shared" si="86"/>
        <v>91.885589724555658</v>
      </c>
      <c r="J223" s="64">
        <f t="shared" si="87"/>
        <v>-1.8855897245556577</v>
      </c>
      <c r="K223" s="65">
        <f t="shared" si="77"/>
        <v>90.666867267418525</v>
      </c>
      <c r="L223" s="64">
        <f t="shared" si="88"/>
        <v>95.736368705760768</v>
      </c>
      <c r="M223" s="64">
        <f t="shared" si="89"/>
        <v>-5.7363687057607677</v>
      </c>
      <c r="N223" s="65">
        <f t="shared" si="78"/>
        <v>79.565512020190369</v>
      </c>
      <c r="O223" s="64">
        <f t="shared" si="90"/>
        <v>99.371067708055804</v>
      </c>
      <c r="P223" s="64">
        <f t="shared" si="91"/>
        <v>-9.3710677080558042</v>
      </c>
      <c r="Q223" s="65">
        <f t="shared" si="79"/>
        <v>68.318225366889934</v>
      </c>
      <c r="R223" s="64">
        <f t="shared" si="92"/>
        <v>96.076308904154047</v>
      </c>
      <c r="S223" s="59">
        <f t="shared" si="93"/>
        <v>-6.0763089041540468</v>
      </c>
      <c r="T223" s="58">
        <f t="shared" si="80"/>
        <v>78.555196987228143</v>
      </c>
      <c r="U223" s="66"/>
      <c r="V223" s="53">
        <f>K221</f>
        <v>90</v>
      </c>
      <c r="AK223" s="50">
        <f>J221</f>
        <v>0</v>
      </c>
    </row>
    <row r="224" spans="1:37" x14ac:dyDescent="0.2">
      <c r="A224" s="67">
        <v>93</v>
      </c>
      <c r="B224" s="66">
        <f t="shared" si="81"/>
        <v>1.6231562043547265</v>
      </c>
      <c r="C224" s="64">
        <f t="shared" si="82"/>
        <v>84.987462226247843</v>
      </c>
      <c r="D224" s="64">
        <f t="shared" si="83"/>
        <v>5.0125377737521575</v>
      </c>
      <c r="E224" s="65">
        <f t="shared" si="75"/>
        <v>113.12246460126836</v>
      </c>
      <c r="F224" s="64">
        <f t="shared" si="84"/>
        <v>88.887217469192123</v>
      </c>
      <c r="G224" s="64">
        <f t="shared" si="85"/>
        <v>1.1127825308078769</v>
      </c>
      <c r="H224" s="65">
        <f t="shared" si="76"/>
        <v>102.0469761743956</v>
      </c>
      <c r="I224" s="64">
        <f t="shared" si="86"/>
        <v>92.82830470848748</v>
      </c>
      <c r="J224" s="64">
        <f t="shared" si="87"/>
        <v>-2.8283047084874795</v>
      </c>
      <c r="K224" s="65">
        <f t="shared" si="77"/>
        <v>91.000752762064366</v>
      </c>
      <c r="L224" s="64">
        <f t="shared" si="88"/>
        <v>96.664058472751179</v>
      </c>
      <c r="M224" s="64">
        <f t="shared" si="89"/>
        <v>-6.6640584727511794</v>
      </c>
      <c r="N224" s="65">
        <f t="shared" si="78"/>
        <v>79.88055889482321</v>
      </c>
      <c r="O224" s="64">
        <f t="shared" si="90"/>
        <v>100.24801001886497</v>
      </c>
      <c r="P224" s="64">
        <f t="shared" si="91"/>
        <v>-10.248010018864974</v>
      </c>
      <c r="Q224" s="65">
        <f t="shared" si="79"/>
        <v>68.591680705612447</v>
      </c>
      <c r="R224" s="64">
        <f t="shared" si="92"/>
        <v>97.000884098881968</v>
      </c>
      <c r="S224" s="59">
        <f t="shared" si="93"/>
        <v>-7.0008840988819685</v>
      </c>
      <c r="T224" s="58">
        <f t="shared" si="80"/>
        <v>78.867363498582392</v>
      </c>
      <c r="U224" s="66"/>
      <c r="V224" s="53">
        <f>N221</f>
        <v>78.928432990391158</v>
      </c>
      <c r="AK224" s="50">
        <f>M221</f>
        <v>-3.883851672180441</v>
      </c>
    </row>
    <row r="225" spans="1:38" x14ac:dyDescent="0.2">
      <c r="A225" s="67">
        <v>94</v>
      </c>
      <c r="B225" s="66">
        <f t="shared" si="81"/>
        <v>1.6406094968746698</v>
      </c>
      <c r="C225" s="64">
        <f t="shared" si="82"/>
        <v>85.853557966913527</v>
      </c>
      <c r="D225" s="64">
        <f t="shared" si="83"/>
        <v>4.1464420330864726</v>
      </c>
      <c r="E225" s="65">
        <f t="shared" si="75"/>
        <v>113.42594535519554</v>
      </c>
      <c r="F225" s="64">
        <f t="shared" si="84"/>
        <v>89.808697088549522</v>
      </c>
      <c r="G225" s="64">
        <f t="shared" si="85"/>
        <v>0.19130291145047806</v>
      </c>
      <c r="H225" s="65">
        <f t="shared" si="76"/>
        <v>102.37802709469256</v>
      </c>
      <c r="I225" s="64">
        <f t="shared" si="86"/>
        <v>93.770923647333078</v>
      </c>
      <c r="J225" s="64">
        <f t="shared" si="87"/>
        <v>-3.7709236473330776</v>
      </c>
      <c r="K225" s="65">
        <f t="shared" si="77"/>
        <v>91.335181519075803</v>
      </c>
      <c r="L225" s="64">
        <f t="shared" si="88"/>
        <v>97.592656038344217</v>
      </c>
      <c r="M225" s="64">
        <f t="shared" si="89"/>
        <v>-7.5926560383442165</v>
      </c>
      <c r="N225" s="65">
        <f t="shared" si="78"/>
        <v>80.193479776513797</v>
      </c>
      <c r="O225" s="64">
        <f t="shared" si="90"/>
        <v>101.12658074668477</v>
      </c>
      <c r="P225" s="64">
        <f t="shared" si="91"/>
        <v>-11.126580746684766</v>
      </c>
      <c r="Q225" s="65">
        <f t="shared" si="79"/>
        <v>68.860442062621672</v>
      </c>
      <c r="R225" s="64">
        <f t="shared" si="92"/>
        <v>97.926447357626571</v>
      </c>
      <c r="S225" s="59">
        <f t="shared" si="93"/>
        <v>-7.9264473576265715</v>
      </c>
      <c r="T225" s="58">
        <f t="shared" si="80"/>
        <v>79.177162939306896</v>
      </c>
      <c r="U225" s="66"/>
      <c r="V225" s="53">
        <f>Q221</f>
        <v>67.756902094323877</v>
      </c>
      <c r="AK225" s="50">
        <f>P221</f>
        <v>-7.6222642176800122</v>
      </c>
    </row>
    <row r="226" spans="1:38" x14ac:dyDescent="0.2">
      <c r="A226" s="67">
        <v>95</v>
      </c>
      <c r="B226" s="66">
        <f t="shared" si="81"/>
        <v>1.6580627893946132</v>
      </c>
      <c r="C226" s="64">
        <f t="shared" si="82"/>
        <v>86.717650777066112</v>
      </c>
      <c r="D226" s="64">
        <f t="shared" si="83"/>
        <v>3.2823492229338882</v>
      </c>
      <c r="E226" s="65">
        <f t="shared" si="75"/>
        <v>113.73478064183088</v>
      </c>
      <c r="F226" s="64">
        <f t="shared" si="84"/>
        <v>90.729003251443288</v>
      </c>
      <c r="G226" s="64">
        <f t="shared" si="85"/>
        <v>-0.72900325144328804</v>
      </c>
      <c r="H226" s="65">
        <f t="shared" si="76"/>
        <v>102.71230882342448</v>
      </c>
      <c r="I226" s="64">
        <f t="shared" si="86"/>
        <v>94.713414206729993</v>
      </c>
      <c r="J226" s="64">
        <f t="shared" si="87"/>
        <v>-4.7134142067299933</v>
      </c>
      <c r="K226" s="65">
        <f t="shared" si="77"/>
        <v>91.670336345708478</v>
      </c>
      <c r="L226" s="64">
        <f t="shared" si="88"/>
        <v>98.522127859916878</v>
      </c>
      <c r="M226" s="64">
        <f t="shared" si="89"/>
        <v>-8.5221278599168784</v>
      </c>
      <c r="N226" s="65">
        <f t="shared" si="78"/>
        <v>80.504424649315638</v>
      </c>
      <c r="O226" s="64">
        <f t="shared" si="90"/>
        <v>102.0067327650701</v>
      </c>
      <c r="P226" s="64">
        <f t="shared" si="91"/>
        <v>-12.006732765070097</v>
      </c>
      <c r="Q226" s="65">
        <f t="shared" si="79"/>
        <v>69.124586920907305</v>
      </c>
      <c r="R226" s="64">
        <f t="shared" si="92"/>
        <v>98.852964425209038</v>
      </c>
      <c r="S226" s="59">
        <f t="shared" si="93"/>
        <v>-8.8529644252090378</v>
      </c>
      <c r="T226" s="58">
        <f t="shared" si="80"/>
        <v>79.484740053371624</v>
      </c>
      <c r="U226" s="66"/>
    </row>
    <row r="227" spans="1:38" x14ac:dyDescent="0.2">
      <c r="A227" s="67">
        <v>96</v>
      </c>
      <c r="B227" s="66">
        <f t="shared" si="81"/>
        <v>1.6755160819145565</v>
      </c>
      <c r="C227" s="64">
        <f t="shared" si="82"/>
        <v>87.57967993339723</v>
      </c>
      <c r="D227" s="64">
        <f t="shared" si="83"/>
        <v>2.4203200666027698</v>
      </c>
      <c r="E227" s="65">
        <f t="shared" ref="E227:E251" si="94">DEGREES(ACOS((SIN(RADIANS(D227))*SIN($C$6)-SIN(C$5))/(COS(RADIANS(D227))*COS($C$6))))</f>
        <v>114.04908234084556</v>
      </c>
      <c r="F227" s="64">
        <f t="shared" si="84"/>
        <v>91.648092775762379</v>
      </c>
      <c r="G227" s="64">
        <f t="shared" si="85"/>
        <v>-1.6480927757623789</v>
      </c>
      <c r="H227" s="65">
        <f t="shared" ref="H227:H251" si="95">DEGREES(ACOS((SIN(RADIANS(G227))*SIN($C$6)-SIN(G$5))/(COS(RADIANS(G227))*COS($C$6))))</f>
        <v>103.04999032986127</v>
      </c>
      <c r="I227" s="64">
        <f t="shared" si="86"/>
        <v>95.65574377683086</v>
      </c>
      <c r="J227" s="64">
        <f t="shared" si="87"/>
        <v>-5.6557437768308603</v>
      </c>
      <c r="K227" s="65">
        <f t="shared" ref="K227:K251" si="96">DEGREES(ACOS((SIN(RADIANS(J227))*SIN($C$6)-SIN(J$5))/(COS(RADIANS(J227))*COS($C$6))))</f>
        <v>92.006401532156161</v>
      </c>
      <c r="L227" s="64">
        <f t="shared" si="88"/>
        <v>99.45244131106287</v>
      </c>
      <c r="M227" s="64">
        <f t="shared" si="89"/>
        <v>-9.45244131106287</v>
      </c>
      <c r="N227" s="65">
        <f t="shared" ref="N227:N251" si="97">DEGREES(ACOS((SIN(RADIANS(M227))*SIN($C$6)-SIN(M$5))/(COS(RADIANS(M227))*COS($C$6))))</f>
        <v>80.813542349978405</v>
      </c>
      <c r="O227" s="64">
        <f t="shared" si="90"/>
        <v>102.8884203497274</v>
      </c>
      <c r="P227" s="64">
        <f t="shared" si="91"/>
        <v>-12.888420349727397</v>
      </c>
      <c r="Q227" s="65">
        <f t="shared" ref="Q227:Q251" si="98">DEGREES(ACOS((SIN(RADIANS(P227))*SIN($C$6)-SIN(P$5))/(COS(RADIANS(P227))*COS($C$6))))</f>
        <v>69.38418865254711</v>
      </c>
      <c r="R227" s="64">
        <f t="shared" si="92"/>
        <v>99.780402044444585</v>
      </c>
      <c r="S227" s="59">
        <f t="shared" si="93"/>
        <v>-9.7804020444445854</v>
      </c>
      <c r="T227" s="58">
        <f t="shared" ref="T227:T251" si="99">DEGREES(ACOS((SIN(RADIANS(S227))*SIN($C$6)-SIN(S$5))/(COS(RADIANS(S227))*COS($C$6))))</f>
        <v>79.790238168985638</v>
      </c>
      <c r="U227" s="69"/>
    </row>
    <row r="228" spans="1:38" x14ac:dyDescent="0.2">
      <c r="A228" s="67">
        <v>97</v>
      </c>
      <c r="B228" s="66">
        <f t="shared" si="81"/>
        <v>1.6929693744344996</v>
      </c>
      <c r="C228" s="64">
        <f t="shared" si="82"/>
        <v>88.439582673847525</v>
      </c>
      <c r="D228" s="64">
        <f t="shared" si="83"/>
        <v>1.560417326152475</v>
      </c>
      <c r="E228" s="65">
        <f t="shared" si="94"/>
        <v>114.36896691327001</v>
      </c>
      <c r="F228" s="64">
        <f t="shared" si="84"/>
        <v>92.565920942516556</v>
      </c>
      <c r="G228" s="64">
        <f t="shared" si="85"/>
        <v>-2.5659209425165557</v>
      </c>
      <c r="H228" s="65">
        <f t="shared" si="95"/>
        <v>103.39124421401189</v>
      </c>
      <c r="I228" s="64">
        <f t="shared" si="86"/>
        <v>96.597879401204622</v>
      </c>
      <c r="J228" s="64">
        <f t="shared" si="87"/>
        <v>-6.5978794012046222</v>
      </c>
      <c r="K228" s="65">
        <f t="shared" si="96"/>
        <v>92.343563233378447</v>
      </c>
      <c r="L228" s="64">
        <f t="shared" si="88"/>
        <v>100.38356462502441</v>
      </c>
      <c r="M228" s="64">
        <f t="shared" si="89"/>
        <v>-10.383564625024405</v>
      </c>
      <c r="N228" s="65">
        <f t="shared" si="97"/>
        <v>81.120980841731296</v>
      </c>
      <c r="O228" s="64">
        <f t="shared" si="90"/>
        <v>103.77159912050185</v>
      </c>
      <c r="P228" s="64">
        <f t="shared" si="91"/>
        <v>-13.771599120501847</v>
      </c>
      <c r="Q228" s="65">
        <f t="shared" si="98"/>
        <v>69.639316537075359</v>
      </c>
      <c r="R228" s="64">
        <f t="shared" si="92"/>
        <v>100.70872790040823</v>
      </c>
      <c r="S228" s="59">
        <f t="shared" si="93"/>
        <v>-10.708727900408235</v>
      </c>
      <c r="T228" s="58">
        <f t="shared" si="99"/>
        <v>80.093799453271686</v>
      </c>
      <c r="U228" s="69"/>
    </row>
    <row r="229" spans="1:38" x14ac:dyDescent="0.2">
      <c r="A229" s="67">
        <v>98</v>
      </c>
      <c r="B229" s="66">
        <f t="shared" si="81"/>
        <v>1.7104226669544429</v>
      </c>
      <c r="C229" s="64">
        <f t="shared" si="82"/>
        <v>89.297294111732114</v>
      </c>
      <c r="D229" s="64">
        <f t="shared" si="83"/>
        <v>0.70270588826788583</v>
      </c>
      <c r="E229" s="65">
        <f t="shared" si="94"/>
        <v>114.69455548212888</v>
      </c>
      <c r="F229" s="64">
        <f t="shared" si="84"/>
        <v>93.482441410238948</v>
      </c>
      <c r="G229" s="64">
        <f t="shared" si="85"/>
        <v>-3.4824414102389483</v>
      </c>
      <c r="H229" s="65">
        <f t="shared" si="95"/>
        <v>103.736247001047</v>
      </c>
      <c r="I229" s="64">
        <f t="shared" si="86"/>
        <v>97.539787704230122</v>
      </c>
      <c r="J229" s="64">
        <f t="shared" si="87"/>
        <v>-7.5397877042301218</v>
      </c>
      <c r="K229" s="65">
        <f t="shared" si="96"/>
        <v>92.68200985842347</v>
      </c>
      <c r="L229" s="64">
        <f t="shared" si="88"/>
        <v>101.31546683984607</v>
      </c>
      <c r="M229" s="64">
        <f t="shared" si="89"/>
        <v>-11.315466839846067</v>
      </c>
      <c r="N229" s="65">
        <f t="shared" si="97"/>
        <v>81.426887491230758</v>
      </c>
      <c r="O229" s="64">
        <f t="shared" si="90"/>
        <v>104.65622598545906</v>
      </c>
      <c r="P229" s="64">
        <f t="shared" si="91"/>
        <v>-14.656225985459059</v>
      </c>
      <c r="Q229" s="65">
        <f t="shared" si="98"/>
        <v>69.890035771799461</v>
      </c>
      <c r="R229" s="64">
        <f t="shared" si="92"/>
        <v>101.63791056661799</v>
      </c>
      <c r="S229" s="59">
        <f t="shared" si="93"/>
        <v>-11.63791056661799</v>
      </c>
      <c r="T229" s="58">
        <f t="shared" si="99"/>
        <v>80.395565169283344</v>
      </c>
      <c r="U229" s="69"/>
    </row>
    <row r="230" spans="1:38" x14ac:dyDescent="0.2">
      <c r="A230" s="67">
        <v>99</v>
      </c>
      <c r="B230" s="66">
        <f t="shared" si="81"/>
        <v>1.7278759594743862</v>
      </c>
      <c r="C230" s="64">
        <f t="shared" si="82"/>
        <v>90.152747146318333</v>
      </c>
      <c r="D230" s="64">
        <f t="shared" si="83"/>
        <v>-0.15274714631833319</v>
      </c>
      <c r="E230" s="65">
        <f t="shared" si="94"/>
        <v>115.02597391767792</v>
      </c>
      <c r="F230" s="64">
        <f t="shared" si="84"/>
        <v>94.397606125090334</v>
      </c>
      <c r="G230" s="64">
        <f t="shared" si="85"/>
        <v>-4.3976061250903342</v>
      </c>
      <c r="H230" s="65">
        <f t="shared" si="95"/>
        <v>104.08517944247845</v>
      </c>
      <c r="I230" s="64">
        <f t="shared" si="86"/>
        <v>98.481434816657284</v>
      </c>
      <c r="J230" s="64">
        <f t="shared" si="87"/>
        <v>-8.4814348166572842</v>
      </c>
      <c r="K230" s="65">
        <f t="shared" si="96"/>
        <v>93.021932468845847</v>
      </c>
      <c r="L230" s="64">
        <f t="shared" si="88"/>
        <v>102.24811774506072</v>
      </c>
      <c r="M230" s="64">
        <f t="shared" si="89"/>
        <v>-12.248117745060725</v>
      </c>
      <c r="N230" s="65">
        <f t="shared" si="97"/>
        <v>81.731409349786603</v>
      </c>
      <c r="O230" s="64">
        <f t="shared" si="90"/>
        <v>105.54225908694647</v>
      </c>
      <c r="P230" s="64">
        <f t="shared" si="91"/>
        <v>-15.542259086946473</v>
      </c>
      <c r="Q230" s="65">
        <f t="shared" si="98"/>
        <v>70.136407473637334</v>
      </c>
      <c r="R230" s="64">
        <f t="shared" si="92"/>
        <v>102.5679194529588</v>
      </c>
      <c r="S230" s="59">
        <f t="shared" si="93"/>
        <v>-12.567919452958805</v>
      </c>
      <c r="T230" s="58">
        <f t="shared" si="99"/>
        <v>80.695675936365092</v>
      </c>
      <c r="U230" s="69"/>
    </row>
    <row r="231" spans="1:38" x14ac:dyDescent="0.2">
      <c r="A231" s="67">
        <v>100</v>
      </c>
      <c r="B231" s="66">
        <f t="shared" si="81"/>
        <v>1.7453292519943295</v>
      </c>
      <c r="C231" s="64">
        <f t="shared" si="82"/>
        <v>91.005872369704932</v>
      </c>
      <c r="D231" s="64">
        <f t="shared" si="83"/>
        <v>-1.0058723697049317</v>
      </c>
      <c r="E231" s="65">
        <f t="shared" si="94"/>
        <v>115.36335292692665</v>
      </c>
      <c r="F231" s="64">
        <f t="shared" si="84"/>
        <v>95.311365226357921</v>
      </c>
      <c r="G231" s="64">
        <f t="shared" si="85"/>
        <v>-5.3113652263579212</v>
      </c>
      <c r="H231" s="65">
        <f t="shared" si="95"/>
        <v>104.43822682489852</v>
      </c>
      <c r="I231" s="64">
        <f t="shared" si="86"/>
        <v>99.422786298998631</v>
      </c>
      <c r="J231" s="64">
        <f t="shared" si="87"/>
        <v>-9.4227862989986306</v>
      </c>
      <c r="K231" s="65">
        <f t="shared" si="96"/>
        <v>93.363525187875567</v>
      </c>
      <c r="L231" s="64">
        <f t="shared" si="88"/>
        <v>103.18148782972006</v>
      </c>
      <c r="M231" s="64">
        <f t="shared" si="89"/>
        <v>-13.181487829720055</v>
      </c>
      <c r="N231" s="65">
        <f t="shared" si="97"/>
        <v>82.034693440043867</v>
      </c>
      <c r="O231" s="64">
        <f t="shared" si="90"/>
        <v>106.4296577495227</v>
      </c>
      <c r="P231" s="64">
        <f t="shared" si="91"/>
        <v>-16.429657749522704</v>
      </c>
      <c r="Q231" s="65">
        <f t="shared" si="98"/>
        <v>70.378488672008004</v>
      </c>
      <c r="R231" s="64">
        <f t="shared" si="92"/>
        <v>103.49872475517503</v>
      </c>
      <c r="S231" s="59">
        <f t="shared" si="93"/>
        <v>-13.498724755175033</v>
      </c>
      <c r="T231" s="58">
        <f t="shared" si="99"/>
        <v>80.994271994911713</v>
      </c>
      <c r="U231" s="69"/>
    </row>
    <row r="232" spans="1:38" x14ac:dyDescent="0.2">
      <c r="A232" s="67">
        <v>101</v>
      </c>
      <c r="B232" s="66">
        <f t="shared" si="81"/>
        <v>1.7627825445142729</v>
      </c>
      <c r="C232" s="64">
        <f t="shared" si="82"/>
        <v>91.856597969849744</v>
      </c>
      <c r="D232" s="64">
        <f t="shared" si="83"/>
        <v>-1.8565979698497443</v>
      </c>
      <c r="E232" s="65">
        <f t="shared" si="94"/>
        <v>115.70682814711058</v>
      </c>
      <c r="F232" s="64">
        <f t="shared" si="84"/>
        <v>96.223666947023659</v>
      </c>
      <c r="G232" s="64">
        <f t="shared" si="85"/>
        <v>-6.2236669470236592</v>
      </c>
      <c r="H232" s="65">
        <f t="shared" si="95"/>
        <v>104.79557928707584</v>
      </c>
      <c r="I232" s="64">
        <f t="shared" si="86"/>
        <v>100.36380706239783</v>
      </c>
      <c r="J232" s="64">
        <f t="shared" si="87"/>
        <v>-10.363807062397825</v>
      </c>
      <c r="K232" s="65">
        <f t="shared" si="96"/>
        <v>93.706985622061026</v>
      </c>
      <c r="L232" s="64">
        <f t="shared" si="88"/>
        <v>104.1155482315844</v>
      </c>
      <c r="M232" s="64">
        <f t="shared" si="89"/>
        <v>-14.115548231584398</v>
      </c>
      <c r="N232" s="65">
        <f t="shared" si="97"/>
        <v>82.336887049370091</v>
      </c>
      <c r="O232" s="64">
        <f t="shared" si="90"/>
        <v>107.31838242964474</v>
      </c>
      <c r="P232" s="64">
        <f t="shared" si="91"/>
        <v>-17.318382429644743</v>
      </c>
      <c r="Q232" s="65">
        <f t="shared" si="98"/>
        <v>70.616332292261177</v>
      </c>
      <c r="R232" s="64">
        <f t="shared" si="92"/>
        <v>104.43029740576132</v>
      </c>
      <c r="S232" s="59">
        <f t="shared" si="93"/>
        <v>-14.430297405761323</v>
      </c>
      <c r="T232" s="58">
        <f t="shared" si="99"/>
        <v>81.291493476650444</v>
      </c>
      <c r="U232" s="69"/>
    </row>
    <row r="233" spans="1:38" x14ac:dyDescent="0.2">
      <c r="A233" s="67">
        <v>102</v>
      </c>
      <c r="B233" s="66">
        <f t="shared" si="81"/>
        <v>1.7802358370342162</v>
      </c>
      <c r="C233" s="64">
        <f t="shared" si="82"/>
        <v>92.704849629590257</v>
      </c>
      <c r="D233" s="64">
        <f t="shared" si="83"/>
        <v>-2.7048496295902567</v>
      </c>
      <c r="E233" s="65">
        <f t="shared" si="94"/>
        <v>116.05654024275111</v>
      </c>
      <c r="F233" s="64">
        <f t="shared" si="84"/>
        <v>97.13445750905835</v>
      </c>
      <c r="G233" s="64">
        <f t="shared" si="85"/>
        <v>-7.1344575090583504</v>
      </c>
      <c r="H233" s="65">
        <f t="shared" si="95"/>
        <v>105.15743214620014</v>
      </c>
      <c r="I233" s="64">
        <f t="shared" si="86"/>
        <v>101.30446128660462</v>
      </c>
      <c r="J233" s="64">
        <f t="shared" si="87"/>
        <v>-11.304461286604621</v>
      </c>
      <c r="K233" s="65">
        <f t="shared" si="96"/>
        <v>94.052515297186304</v>
      </c>
      <c r="L233" s="64">
        <f t="shared" si="88"/>
        <v>105.05027068728614</v>
      </c>
      <c r="M233" s="64">
        <f t="shared" si="89"/>
        <v>-15.050270687286144</v>
      </c>
      <c r="N233" s="65">
        <f t="shared" si="97"/>
        <v>82.638138031280221</v>
      </c>
      <c r="O233" s="64">
        <f t="shared" si="90"/>
        <v>108.20839466700423</v>
      </c>
      <c r="P233" s="64">
        <f t="shared" si="91"/>
        <v>-18.208394667004228</v>
      </c>
      <c r="Q233" s="65">
        <f t="shared" si="98"/>
        <v>70.849987129078926</v>
      </c>
      <c r="R233" s="64">
        <f t="shared" si="92"/>
        <v>105.36260902608419</v>
      </c>
      <c r="S233" s="59">
        <f t="shared" si="93"/>
        <v>-15.362609026084186</v>
      </c>
      <c r="T233" s="58">
        <f t="shared" si="99"/>
        <v>81.587480681642262</v>
      </c>
      <c r="U233" s="69"/>
    </row>
    <row r="234" spans="1:38" x14ac:dyDescent="0.2">
      <c r="A234" s="67">
        <v>103</v>
      </c>
      <c r="B234" s="66">
        <f t="shared" si="81"/>
        <v>1.7976891295541595</v>
      </c>
      <c r="C234" s="64">
        <f t="shared" si="82"/>
        <v>93.550550421500233</v>
      </c>
      <c r="D234" s="64">
        <f t="shared" si="83"/>
        <v>-3.5505504215002333</v>
      </c>
      <c r="E234" s="65">
        <f t="shared" si="94"/>
        <v>116.41263500591079</v>
      </c>
      <c r="F234" s="64">
        <f t="shared" si="84"/>
        <v>98.043681013077489</v>
      </c>
      <c r="G234" s="64">
        <f t="shared" si="85"/>
        <v>-8.0436810130774887</v>
      </c>
      <c r="H234" s="65">
        <f t="shared" si="95"/>
        <v>105.52398623406364</v>
      </c>
      <c r="I234" s="64">
        <f t="shared" si="86"/>
        <v>102.24471233466419</v>
      </c>
      <c r="J234" s="64">
        <f t="shared" si="87"/>
        <v>-12.244712334664186</v>
      </c>
      <c r="K234" s="65">
        <f t="shared" si="96"/>
        <v>94.400320110353235</v>
      </c>
      <c r="L234" s="64">
        <f t="shared" si="88"/>
        <v>105.98562748328081</v>
      </c>
      <c r="M234" s="64">
        <f t="shared" si="89"/>
        <v>-15.985627483280808</v>
      </c>
      <c r="N234" s="65">
        <f t="shared" si="97"/>
        <v>82.938595116325516</v>
      </c>
      <c r="O234" s="64">
        <f t="shared" si="90"/>
        <v>109.09965703740635</v>
      </c>
      <c r="P234" s="64">
        <f t="shared" si="91"/>
        <v>-19.099657037406345</v>
      </c>
      <c r="Q234" s="65">
        <f t="shared" si="98"/>
        <v>71.079497809221706</v>
      </c>
      <c r="R234" s="64">
        <f t="shared" si="92"/>
        <v>106.29563187956708</v>
      </c>
      <c r="S234" s="59">
        <f t="shared" si="93"/>
        <v>-16.295631879567082</v>
      </c>
      <c r="T234" s="58">
        <f t="shared" si="99"/>
        <v>81.88237436328501</v>
      </c>
      <c r="U234" s="69"/>
    </row>
    <row r="235" spans="1:38" x14ac:dyDescent="0.2">
      <c r="A235" s="67">
        <v>104</v>
      </c>
      <c r="B235" s="66">
        <f t="shared" si="81"/>
        <v>1.8151424220741028</v>
      </c>
      <c r="C235" s="64">
        <f t="shared" si="82"/>
        <v>94.393620698424783</v>
      </c>
      <c r="D235" s="64">
        <f t="shared" si="83"/>
        <v>-4.3936206984247832</v>
      </c>
      <c r="E235" s="65">
        <f t="shared" si="94"/>
        <v>116.77526345921453</v>
      </c>
      <c r="F235" s="64">
        <f t="shared" si="84"/>
        <v>98.951279321973203</v>
      </c>
      <c r="G235" s="64">
        <f t="shared" si="85"/>
        <v>-8.9512793219732032</v>
      </c>
      <c r="H235" s="65">
        <f t="shared" si="95"/>
        <v>105.89544824396191</v>
      </c>
      <c r="I235" s="64">
        <f t="shared" si="86"/>
        <v>103.18452266390516</v>
      </c>
      <c r="J235" s="64">
        <f t="shared" si="87"/>
        <v>-13.184522663905156</v>
      </c>
      <c r="K235" s="65">
        <f t="shared" si="96"/>
        <v>94.750610800219121</v>
      </c>
      <c r="L235" s="64">
        <f t="shared" si="88"/>
        <v>106.92159140739753</v>
      </c>
      <c r="M235" s="64">
        <f t="shared" si="89"/>
        <v>-16.921591407397528</v>
      </c>
      <c r="N235" s="65">
        <f t="shared" si="97"/>
        <v>83.238408233979868</v>
      </c>
      <c r="O235" s="64">
        <f t="shared" si="90"/>
        <v>109.99213310708477</v>
      </c>
      <c r="P235" s="64">
        <f t="shared" si="91"/>
        <v>-19.992133107084769</v>
      </c>
      <c r="Q235" s="65">
        <f t="shared" si="98"/>
        <v>71.304904742923469</v>
      </c>
      <c r="R235" s="64">
        <f t="shared" si="92"/>
        <v>107.22933882577145</v>
      </c>
      <c r="S235" s="59">
        <f t="shared" si="93"/>
        <v>-17.22933882577145</v>
      </c>
      <c r="T235" s="58">
        <f t="shared" si="99"/>
        <v>82.176316022696398</v>
      </c>
      <c r="U235" s="69"/>
    </row>
    <row r="236" spans="1:38" s="54" customFormat="1" x14ac:dyDescent="0.2">
      <c r="A236" s="63">
        <v>105</v>
      </c>
      <c r="B236" s="62">
        <f t="shared" si="81"/>
        <v>1.8325957145940461</v>
      </c>
      <c r="C236" s="60">
        <f t="shared" si="82"/>
        <v>95.233977979535183</v>
      </c>
      <c r="D236" s="60">
        <f t="shared" si="83"/>
        <v>-5.2339779795351831</v>
      </c>
      <c r="E236" s="61">
        <f t="shared" si="94"/>
        <v>117.14458196116506</v>
      </c>
      <c r="F236" s="60">
        <f t="shared" si="84"/>
        <v>99.85719193811363</v>
      </c>
      <c r="G236" s="60">
        <f t="shared" si="85"/>
        <v>-9.8571919381136297</v>
      </c>
      <c r="H236" s="61">
        <f t="shared" si="95"/>
        <v>106.27203108909072</v>
      </c>
      <c r="I236" s="60">
        <f t="shared" si="86"/>
        <v>104.1238537327834</v>
      </c>
      <c r="J236" s="60">
        <f t="shared" si="87"/>
        <v>-14.123853732783402</v>
      </c>
      <c r="K236" s="61">
        <f t="shared" si="96"/>
        <v>95.103603437496659</v>
      </c>
      <c r="L236" s="60">
        <f t="shared" si="88"/>
        <v>107.85813570079685</v>
      </c>
      <c r="M236" s="60">
        <f t="shared" si="89"/>
        <v>-17.858135700796851</v>
      </c>
      <c r="N236" s="61">
        <f t="shared" si="97"/>
        <v>83.537728847177519</v>
      </c>
      <c r="O236" s="60">
        <f t="shared" si="90"/>
        <v>110.88578738834737</v>
      </c>
      <c r="P236" s="60">
        <f t="shared" si="91"/>
        <v>-20.885787388347367</v>
      </c>
      <c r="Q236" s="61">
        <f t="shared" si="98"/>
        <v>71.526244063162238</v>
      </c>
      <c r="R236" s="60">
        <f t="shared" si="92"/>
        <v>108.16370327520457</v>
      </c>
      <c r="S236" s="59">
        <f t="shared" si="93"/>
        <v>-18.163703275204568</v>
      </c>
      <c r="T236" s="58">
        <f t="shared" si="99"/>
        <v>82.469448213964725</v>
      </c>
      <c r="U236" s="70"/>
      <c r="V236" s="56">
        <f>E236</f>
        <v>117.14458196116506</v>
      </c>
      <c r="W236" s="55"/>
      <c r="AL236" s="55">
        <f>D236</f>
        <v>-5.2339779795351831</v>
      </c>
    </row>
    <row r="237" spans="1:38" x14ac:dyDescent="0.2">
      <c r="A237" s="67">
        <v>106</v>
      </c>
      <c r="B237" s="66">
        <f t="shared" si="81"/>
        <v>1.8500490071139892</v>
      </c>
      <c r="C237" s="64">
        <f t="shared" si="82"/>
        <v>96.071536831746386</v>
      </c>
      <c r="D237" s="64">
        <f t="shared" si="83"/>
        <v>-6.0715368317463856</v>
      </c>
      <c r="E237" s="65">
        <f t="shared" si="94"/>
        <v>117.52075231323059</v>
      </c>
      <c r="F237" s="64">
        <f t="shared" si="84"/>
        <v>100.76135587367605</v>
      </c>
      <c r="G237" s="64">
        <f t="shared" si="85"/>
        <v>-10.761355873676052</v>
      </c>
      <c r="H237" s="65">
        <f t="shared" si="95"/>
        <v>106.65395427320779</v>
      </c>
      <c r="I237" s="64">
        <f t="shared" si="86"/>
        <v>105.06266590310835</v>
      </c>
      <c r="J237" s="64">
        <f t="shared" si="87"/>
        <v>-15.062665903108353</v>
      </c>
      <c r="K237" s="65">
        <f t="shared" si="96"/>
        <v>95.459519937950645</v>
      </c>
      <c r="L237" s="64">
        <f t="shared" si="88"/>
        <v>108.79523401013942</v>
      </c>
      <c r="M237" s="64">
        <f t="shared" si="89"/>
        <v>-18.795234010139424</v>
      </c>
      <c r="N237" s="65">
        <f t="shared" si="97"/>
        <v>83.836710301294417</v>
      </c>
      <c r="O237" s="64">
        <f t="shared" si="90"/>
        <v>111.78058529644721</v>
      </c>
      <c r="P237" s="64">
        <f t="shared" si="91"/>
        <v>-21.780585296447214</v>
      </c>
      <c r="Q237" s="65">
        <f t="shared" si="98"/>
        <v>71.743547551946179</v>
      </c>
      <c r="R237" s="64">
        <f t="shared" si="92"/>
        <v>109.09869914468328</v>
      </c>
      <c r="S237" s="59">
        <f t="shared" si="93"/>
        <v>-19.09869914468328</v>
      </c>
      <c r="T237" s="58">
        <f t="shared" si="99"/>
        <v>82.761914861879134</v>
      </c>
      <c r="U237" s="69"/>
      <c r="V237" s="53">
        <f>H236</f>
        <v>106.27203108909072</v>
      </c>
      <c r="AL237" s="50">
        <f>G236</f>
        <v>-9.8571919381136297</v>
      </c>
    </row>
    <row r="238" spans="1:38" x14ac:dyDescent="0.2">
      <c r="A238" s="67">
        <v>107</v>
      </c>
      <c r="B238" s="66">
        <f t="shared" si="81"/>
        <v>1.8675022996339325</v>
      </c>
      <c r="C238" s="64">
        <f t="shared" si="82"/>
        <v>96.906208746340866</v>
      </c>
      <c r="D238" s="64">
        <f t="shared" si="83"/>
        <v>-6.9062087463408659</v>
      </c>
      <c r="E238" s="65">
        <f t="shared" si="94"/>
        <v>117.90394186812632</v>
      </c>
      <c r="F238" s="64">
        <f t="shared" si="84"/>
        <v>101.66370551365407</v>
      </c>
      <c r="G238" s="64">
        <f t="shared" si="85"/>
        <v>-11.663705513654065</v>
      </c>
      <c r="H238" s="65">
        <f t="shared" si="95"/>
        <v>107.04144427431726</v>
      </c>
      <c r="I238" s="64">
        <f t="shared" si="86"/>
        <v>106.00091833714333</v>
      </c>
      <c r="J238" s="64">
        <f t="shared" si="87"/>
        <v>-16.000918337143332</v>
      </c>
      <c r="K238" s="65">
        <f t="shared" si="96"/>
        <v>95.818588600269749</v>
      </c>
      <c r="L238" s="64">
        <f t="shared" si="88"/>
        <v>109.73286033976203</v>
      </c>
      <c r="M238" s="64">
        <f t="shared" si="89"/>
        <v>-19.732860339762027</v>
      </c>
      <c r="N238" s="65">
        <f t="shared" si="97"/>
        <v>84.135508189519783</v>
      </c>
      <c r="O238" s="64">
        <f t="shared" si="90"/>
        <v>112.67649310757334</v>
      </c>
      <c r="P238" s="64">
        <f t="shared" si="91"/>
        <v>-22.676493107573336</v>
      </c>
      <c r="Q238" s="65">
        <f t="shared" si="98"/>
        <v>71.956842552655885</v>
      </c>
      <c r="R238" s="64">
        <f t="shared" si="92"/>
        <v>110.03430081307734</v>
      </c>
      <c r="S238" s="59">
        <f t="shared" si="93"/>
        <v>-20.034300813077337</v>
      </c>
      <c r="T238" s="58">
        <f t="shared" si="99"/>
        <v>83.053861593891114</v>
      </c>
      <c r="U238" s="69"/>
      <c r="V238" s="53">
        <f>K236</f>
        <v>95.103603437496659</v>
      </c>
      <c r="AL238" s="50">
        <f>J236</f>
        <v>-14.123853732783402</v>
      </c>
    </row>
    <row r="239" spans="1:38" x14ac:dyDescent="0.2">
      <c r="A239" s="67">
        <v>108</v>
      </c>
      <c r="B239" s="66">
        <f t="shared" si="81"/>
        <v>1.8849555921538759</v>
      </c>
      <c r="C239" s="64">
        <f t="shared" si="82"/>
        <v>97.73790201064601</v>
      </c>
      <c r="D239" s="64">
        <f t="shared" si="83"/>
        <v>-7.7379020106460104</v>
      </c>
      <c r="E239" s="65">
        <f t="shared" si="94"/>
        <v>118.29432363864726</v>
      </c>
      <c r="F239" s="64">
        <f t="shared" si="84"/>
        <v>102.56417247105105</v>
      </c>
      <c r="G239" s="64">
        <f t="shared" si="85"/>
        <v>-12.564172471051052</v>
      </c>
      <c r="H239" s="65">
        <f t="shared" si="95"/>
        <v>107.4347349421204</v>
      </c>
      <c r="I239" s="64">
        <f t="shared" si="86"/>
        <v>106.93856888903325</v>
      </c>
      <c r="J239" s="64">
        <f t="shared" si="87"/>
        <v>-16.938568889033249</v>
      </c>
      <c r="K239" s="65">
        <f t="shared" si="96"/>
        <v>96.181044671350733</v>
      </c>
      <c r="L239" s="64">
        <f t="shared" si="88"/>
        <v>110.6709890036491</v>
      </c>
      <c r="M239" s="64">
        <f t="shared" si="89"/>
        <v>-20.670989003649098</v>
      </c>
      <c r="N239" s="65">
        <f t="shared" si="97"/>
        <v>84.434280736741727</v>
      </c>
      <c r="O239" s="64">
        <f t="shared" si="90"/>
        <v>113.57347791785419</v>
      </c>
      <c r="P239" s="64">
        <f t="shared" si="91"/>
        <v>-23.573477917854191</v>
      </c>
      <c r="Q239" s="65">
        <f t="shared" si="98"/>
        <v>72.16615186737279</v>
      </c>
      <c r="R239" s="64">
        <f t="shared" si="92"/>
        <v>110.9704830772518</v>
      </c>
      <c r="S239" s="59">
        <f t="shared" si="93"/>
        <v>-20.970483077251799</v>
      </c>
      <c r="T239" s="58">
        <f t="shared" si="99"/>
        <v>83.345436088218619</v>
      </c>
      <c r="U239" s="69"/>
      <c r="V239" s="53">
        <f>N236</f>
        <v>83.537728847177519</v>
      </c>
      <c r="AL239" s="50">
        <f>M236</f>
        <v>-17.858135700796851</v>
      </c>
    </row>
    <row r="240" spans="1:38" x14ac:dyDescent="0.2">
      <c r="A240" s="67">
        <v>109</v>
      </c>
      <c r="B240" s="66">
        <f t="shared" si="81"/>
        <v>1.9024088846738192</v>
      </c>
      <c r="C240" s="64">
        <f t="shared" si="82"/>
        <v>98.566521574615862</v>
      </c>
      <c r="D240" s="64">
        <f t="shared" si="83"/>
        <v>-8.5665215746158623</v>
      </c>
      <c r="E240" s="65">
        <f t="shared" si="94"/>
        <v>118.6920764063358</v>
      </c>
      <c r="F240" s="64">
        <f t="shared" si="84"/>
        <v>103.46268543374279</v>
      </c>
      <c r="G240" s="64">
        <f t="shared" si="85"/>
        <v>-13.462685433742791</v>
      </c>
      <c r="H240" s="65">
        <f t="shared" si="95"/>
        <v>107.83406790995605</v>
      </c>
      <c r="I240" s="64">
        <f t="shared" si="86"/>
        <v>107.87557398996934</v>
      </c>
      <c r="J240" s="64">
        <f t="shared" si="87"/>
        <v>-17.87557398996934</v>
      </c>
      <c r="K240" s="65">
        <f t="shared" si="96"/>
        <v>96.547130941709852</v>
      </c>
      <c r="L240" s="64">
        <f t="shared" si="88"/>
        <v>111.60959457697794</v>
      </c>
      <c r="M240" s="64">
        <f t="shared" si="89"/>
        <v>-21.609594576977941</v>
      </c>
      <c r="N240" s="65">
        <f t="shared" si="97"/>
        <v>84.73318920426847</v>
      </c>
      <c r="O240" s="64">
        <f t="shared" si="90"/>
        <v>114.47150760326618</v>
      </c>
      <c r="P240" s="64">
        <f t="shared" si="91"/>
        <v>-24.471507603266176</v>
      </c>
      <c r="Q240" s="65">
        <f t="shared" si="98"/>
        <v>72.371493637997744</v>
      </c>
      <c r="R240" s="64">
        <f t="shared" si="92"/>
        <v>111.90722110802078</v>
      </c>
      <c r="S240" s="59">
        <f t="shared" si="93"/>
        <v>-21.907221108020778</v>
      </c>
      <c r="T240" s="58">
        <f t="shared" si="99"/>
        <v>83.636788440183523</v>
      </c>
      <c r="U240" s="69"/>
      <c r="V240" s="53">
        <f>Q236</f>
        <v>71.526244063162238</v>
      </c>
      <c r="AL240" s="50">
        <f>P236</f>
        <v>-20.885787388347367</v>
      </c>
    </row>
    <row r="241" spans="1:39" x14ac:dyDescent="0.2">
      <c r="A241" s="67">
        <v>110</v>
      </c>
      <c r="B241" s="66">
        <f t="shared" si="81"/>
        <v>1.9198621771937625</v>
      </c>
      <c r="C241" s="64">
        <f t="shared" si="82"/>
        <v>99.391968912174519</v>
      </c>
      <c r="D241" s="64">
        <f t="shared" si="83"/>
        <v>-9.3919689121745193</v>
      </c>
      <c r="E241" s="65">
        <f t="shared" si="94"/>
        <v>119.09738482918705</v>
      </c>
      <c r="F241" s="64">
        <f t="shared" si="84"/>
        <v>104.35917000246086</v>
      </c>
      <c r="G241" s="64">
        <f t="shared" si="85"/>
        <v>-14.359170002460857</v>
      </c>
      <c r="H241" s="65">
        <f t="shared" si="95"/>
        <v>108.23969302192953</v>
      </c>
      <c r="I241" s="64">
        <f t="shared" si="86"/>
        <v>108.81188852645219</v>
      </c>
      <c r="J241" s="64">
        <f t="shared" si="87"/>
        <v>-18.811888526452194</v>
      </c>
      <c r="K241" s="65">
        <f t="shared" si="96"/>
        <v>96.917098373930088</v>
      </c>
      <c r="L241" s="64">
        <f t="shared" si="88"/>
        <v>112.54865184700323</v>
      </c>
      <c r="M241" s="64">
        <f t="shared" si="89"/>
        <v>-22.548651847003228</v>
      </c>
      <c r="N241" s="65">
        <f t="shared" si="97"/>
        <v>85.032398317933129</v>
      </c>
      <c r="O241" s="64">
        <f t="shared" si="90"/>
        <v>115.3705507803362</v>
      </c>
      <c r="P241" s="64">
        <f t="shared" si="91"/>
        <v>-25.370550780336202</v>
      </c>
      <c r="Q241" s="65">
        <f t="shared" si="98"/>
        <v>72.572881209821915</v>
      </c>
      <c r="R241" s="64">
        <f t="shared" si="92"/>
        <v>112.84449040591572</v>
      </c>
      <c r="S241" s="59">
        <f t="shared" si="93"/>
        <v>-22.844490405915721</v>
      </c>
      <c r="T241" s="58">
        <f t="shared" si="99"/>
        <v>83.928071549077984</v>
      </c>
      <c r="U241" s="69"/>
    </row>
    <row r="242" spans="1:39" x14ac:dyDescent="0.2">
      <c r="A242" s="67">
        <v>111</v>
      </c>
      <c r="B242" s="66">
        <f t="shared" si="81"/>
        <v>1.9373154697137058</v>
      </c>
      <c r="C242" s="64">
        <f t="shared" si="82"/>
        <v>100.21414187718567</v>
      </c>
      <c r="D242" s="64">
        <f t="shared" si="83"/>
        <v>-10.214141877185668</v>
      </c>
      <c r="E242" s="65">
        <f t="shared" si="94"/>
        <v>119.51043954750223</v>
      </c>
      <c r="F242" s="64">
        <f t="shared" si="84"/>
        <v>105.25354851931544</v>
      </c>
      <c r="G242" s="64">
        <f t="shared" si="85"/>
        <v>-15.253548519315444</v>
      </c>
      <c r="H242" s="65">
        <f t="shared" si="95"/>
        <v>108.65186877589365</v>
      </c>
      <c r="I242" s="64">
        <f t="shared" si="86"/>
        <v>109.74746571095999</v>
      </c>
      <c r="J242" s="64">
        <f t="shared" si="87"/>
        <v>-19.747465710959986</v>
      </c>
      <c r="K242" s="65">
        <f t="shared" si="96"/>
        <v>97.291206767268747</v>
      </c>
      <c r="L242" s="64">
        <f t="shared" si="88"/>
        <v>113.48813576303159</v>
      </c>
      <c r="M242" s="64">
        <f t="shared" si="89"/>
        <v>-23.488135763031593</v>
      </c>
      <c r="N242" s="65">
        <f t="shared" si="97"/>
        <v>85.332076722384528</v>
      </c>
      <c r="O242" s="64">
        <f t="shared" si="90"/>
        <v>116.27057676752551</v>
      </c>
      <c r="P242" s="64">
        <f t="shared" si="91"/>
        <v>-26.270576767525512</v>
      </c>
      <c r="Q242" s="65">
        <f t="shared" si="98"/>
        <v>72.770322976051844</v>
      </c>
      <c r="R242" s="64">
        <f t="shared" si="92"/>
        <v>113.7822667565615</v>
      </c>
      <c r="S242" s="59">
        <f t="shared" si="93"/>
        <v>-23.782266756561498</v>
      </c>
      <c r="T242" s="58">
        <f t="shared" si="99"/>
        <v>84.219441528085611</v>
      </c>
      <c r="U242" s="69"/>
    </row>
    <row r="243" spans="1:39" x14ac:dyDescent="0.2">
      <c r="A243" s="67">
        <v>112</v>
      </c>
      <c r="B243" s="66">
        <f t="shared" si="81"/>
        <v>1.9547687622336491</v>
      </c>
      <c r="C243" s="64">
        <f t="shared" si="82"/>
        <v>101.03293455392328</v>
      </c>
      <c r="D243" s="64">
        <f t="shared" si="83"/>
        <v>-11.032934553923283</v>
      </c>
      <c r="E243" s="65">
        <f t="shared" si="94"/>
        <v>119.93143728689896</v>
      </c>
      <c r="F243" s="64">
        <f t="shared" si="84"/>
        <v>106.14573988624228</v>
      </c>
      <c r="G243" s="64">
        <f t="shared" si="85"/>
        <v>-16.145739886242282</v>
      </c>
      <c r="H243" s="65">
        <f t="shared" si="95"/>
        <v>109.07086278290384</v>
      </c>
      <c r="I243" s="64">
        <f t="shared" si="86"/>
        <v>110.68225694426886</v>
      </c>
      <c r="J243" s="64">
        <f t="shared" si="87"/>
        <v>-20.682256944268858</v>
      </c>
      <c r="K243" s="65">
        <f t="shared" si="96"/>
        <v>97.669725461785248</v>
      </c>
      <c r="L243" s="64">
        <f t="shared" si="88"/>
        <v>114.42802138521969</v>
      </c>
      <c r="M243" s="64">
        <f t="shared" si="89"/>
        <v>-24.428021385219694</v>
      </c>
      <c r="N243" s="65">
        <f t="shared" si="97"/>
        <v>85.632397464655341</v>
      </c>
      <c r="O243" s="64">
        <f t="shared" si="90"/>
        <v>117.17155554717733</v>
      </c>
      <c r="P243" s="64">
        <f t="shared" si="91"/>
        <v>-27.171555547177334</v>
      </c>
      <c r="Q243" s="65">
        <f t="shared" si="98"/>
        <v>72.963822201608835</v>
      </c>
      <c r="R243" s="64">
        <f t="shared" si="92"/>
        <v>114.72052618544042</v>
      </c>
      <c r="S243" s="59">
        <f t="shared" si="93"/>
        <v>-24.72052618544042</v>
      </c>
      <c r="T243" s="58">
        <f t="shared" si="99"/>
        <v>84.511058140046174</v>
      </c>
      <c r="U243" s="69"/>
    </row>
    <row r="244" spans="1:39" x14ac:dyDescent="0.2">
      <c r="A244" s="67">
        <v>113</v>
      </c>
      <c r="B244" s="66">
        <f t="shared" si="81"/>
        <v>1.9722220547535925</v>
      </c>
      <c r="C244" s="64">
        <f t="shared" si="82"/>
        <v>101.84823710193049</v>
      </c>
      <c r="D244" s="64">
        <f t="shared" si="83"/>
        <v>-11.848237101930494</v>
      </c>
      <c r="E244" s="65">
        <f t="shared" si="94"/>
        <v>120.36058095737408</v>
      </c>
      <c r="F244" s="64">
        <f t="shared" si="84"/>
        <v>107.03565937272204</v>
      </c>
      <c r="G244" s="64">
        <f t="shared" si="85"/>
        <v>-17.035659372722037</v>
      </c>
      <c r="H244" s="65">
        <f t="shared" si="95"/>
        <v>109.49695224371361</v>
      </c>
      <c r="I244" s="64">
        <f t="shared" si="86"/>
        <v>111.61621166860483</v>
      </c>
      <c r="J244" s="64">
        <f t="shared" si="87"/>
        <v>-21.616211668604834</v>
      </c>
      <c r="K244" s="65">
        <f t="shared" si="96"/>
        <v>98.052934085608555</v>
      </c>
      <c r="L244" s="64">
        <f t="shared" si="88"/>
        <v>115.36828383190914</v>
      </c>
      <c r="M244" s="64">
        <f t="shared" si="89"/>
        <v>-25.368283831909139</v>
      </c>
      <c r="N244" s="65">
        <f t="shared" si="97"/>
        <v>85.933538510426445</v>
      </c>
      <c r="O244" s="64">
        <f t="shared" si="90"/>
        <v>118.07345772790642</v>
      </c>
      <c r="P244" s="64">
        <f t="shared" si="91"/>
        <v>-28.073457727906415</v>
      </c>
      <c r="Q244" s="65">
        <f t="shared" si="98"/>
        <v>73.153376824316865</v>
      </c>
      <c r="R244" s="64">
        <f t="shared" si="92"/>
        <v>115.65924491180994</v>
      </c>
      <c r="S244" s="59">
        <f t="shared" si="93"/>
        <v>-25.659244911809935</v>
      </c>
      <c r="T244" s="58">
        <f t="shared" si="99"/>
        <v>84.80308526215012</v>
      </c>
      <c r="U244" s="69"/>
    </row>
    <row r="245" spans="1:39" x14ac:dyDescent="0.2">
      <c r="A245" s="67">
        <v>114</v>
      </c>
      <c r="B245" s="66">
        <f t="shared" si="81"/>
        <v>1.9896753472735358</v>
      </c>
      <c r="C245" s="64">
        <f t="shared" si="82"/>
        <v>102.65993559516924</v>
      </c>
      <c r="D245" s="64">
        <f t="shared" si="83"/>
        <v>-12.659935595169244</v>
      </c>
      <c r="E245" s="65">
        <f t="shared" si="94"/>
        <v>120.79807974718948</v>
      </c>
      <c r="F245" s="64">
        <f t="shared" si="84"/>
        <v>107.92321841208316</v>
      </c>
      <c r="G245" s="64">
        <f t="shared" si="85"/>
        <v>-17.923218412083159</v>
      </c>
      <c r="H245" s="65">
        <f t="shared" si="95"/>
        <v>109.93042444280839</v>
      </c>
      <c r="I245" s="64">
        <f t="shared" si="86"/>
        <v>112.54927721073227</v>
      </c>
      <c r="J245" s="64">
        <f t="shared" si="87"/>
        <v>-22.549277210732271</v>
      </c>
      <c r="K245" s="65">
        <f t="shared" si="96"/>
        <v>98.441123349246951</v>
      </c>
      <c r="L245" s="64">
        <f t="shared" si="88"/>
        <v>116.30889822518735</v>
      </c>
      <c r="M245" s="64">
        <f t="shared" si="89"/>
        <v>-26.308898225187349</v>
      </c>
      <c r="N245" s="65">
        <f t="shared" si="97"/>
        <v>86.23568329677768</v>
      </c>
      <c r="O245" s="64">
        <f t="shared" si="90"/>
        <v>118.97625450730293</v>
      </c>
      <c r="P245" s="64">
        <f t="shared" si="91"/>
        <v>-28.976254507302926</v>
      </c>
      <c r="Q245" s="65">
        <f t="shared" si="98"/>
        <v>73.338979231359914</v>
      </c>
      <c r="R245" s="64">
        <f t="shared" si="92"/>
        <v>116.59839930152121</v>
      </c>
      <c r="S245" s="59">
        <f t="shared" si="93"/>
        <v>-26.598399301521212</v>
      </c>
      <c r="T245" s="58">
        <f t="shared" si="99"/>
        <v>85.095691382986701</v>
      </c>
      <c r="U245" s="69"/>
    </row>
    <row r="246" spans="1:39" x14ac:dyDescent="0.2">
      <c r="A246" s="67">
        <v>115</v>
      </c>
      <c r="B246" s="66">
        <f t="shared" si="81"/>
        <v>2.0071286397934789</v>
      </c>
      <c r="C246" s="64">
        <f t="shared" si="82"/>
        <v>103.46791185538177</v>
      </c>
      <c r="D246" s="64">
        <f t="shared" si="83"/>
        <v>-13.467911855381772</v>
      </c>
      <c r="E246" s="65">
        <f t="shared" si="94"/>
        <v>121.2441492102131</v>
      </c>
      <c r="F246" s="64">
        <f t="shared" si="84"/>
        <v>108.80832438566092</v>
      </c>
      <c r="G246" s="64">
        <f t="shared" si="85"/>
        <v>-18.808324385660924</v>
      </c>
      <c r="H246" s="65">
        <f t="shared" si="95"/>
        <v>110.37157726039101</v>
      </c>
      <c r="I246" s="64">
        <f t="shared" si="86"/>
        <v>113.48139861400023</v>
      </c>
      <c r="J246" s="64">
        <f t="shared" si="87"/>
        <v>-23.481398614000227</v>
      </c>
      <c r="K246" s="65">
        <f t="shared" si="96"/>
        <v>98.834595891152787</v>
      </c>
      <c r="L246" s="64">
        <f t="shared" si="88"/>
        <v>117.24983963433655</v>
      </c>
      <c r="M246" s="64">
        <f t="shared" si="89"/>
        <v>-27.249839634336553</v>
      </c>
      <c r="N246" s="65">
        <f t="shared" si="97"/>
        <v>86.539021325636753</v>
      </c>
      <c r="O246" s="64">
        <f t="shared" si="90"/>
        <v>119.87991763481574</v>
      </c>
      <c r="P246" s="64">
        <f t="shared" si="91"/>
        <v>-29.87991763481574</v>
      </c>
      <c r="Q246" s="65">
        <f t="shared" si="98"/>
        <v>73.520616008623833</v>
      </c>
      <c r="R246" s="64">
        <f t="shared" si="92"/>
        <v>117.53796581846606</v>
      </c>
      <c r="S246" s="59">
        <f t="shared" si="93"/>
        <v>-27.537965818466063</v>
      </c>
      <c r="T246" s="58">
        <f t="shared" si="99"/>
        <v>85.389050135754772</v>
      </c>
      <c r="U246" s="69"/>
    </row>
    <row r="247" spans="1:39" x14ac:dyDescent="0.2">
      <c r="A247" s="67">
        <v>116</v>
      </c>
      <c r="B247" s="66">
        <f t="shared" si="81"/>
        <v>2.0245819323134224</v>
      </c>
      <c r="C247" s="64">
        <f t="shared" si="82"/>
        <v>104.27204327960735</v>
      </c>
      <c r="D247" s="64">
        <f t="shared" si="83"/>
        <v>-14.272043279607345</v>
      </c>
      <c r="E247" s="65">
        <f t="shared" si="94"/>
        <v>121.69901134519577</v>
      </c>
      <c r="F247" s="64">
        <f t="shared" si="84"/>
        <v>109.69088039404504</v>
      </c>
      <c r="G247" s="64">
        <f t="shared" si="85"/>
        <v>-19.690880394045038</v>
      </c>
      <c r="H247" s="65">
        <f t="shared" si="95"/>
        <v>110.82071970262659</v>
      </c>
      <c r="I247" s="64">
        <f t="shared" si="86"/>
        <v>114.41251845827612</v>
      </c>
      <c r="J247" s="64">
        <f t="shared" si="87"/>
        <v>-24.412518458276125</v>
      </c>
      <c r="K247" s="65">
        <f t="shared" si="96"/>
        <v>99.233667179093544</v>
      </c>
      <c r="L247" s="64">
        <f t="shared" si="88"/>
        <v>118.19108301680049</v>
      </c>
      <c r="M247" s="64">
        <f t="shared" si="89"/>
        <v>-28.191083016800491</v>
      </c>
      <c r="N247" s="65">
        <f t="shared" si="97"/>
        <v>86.843748802617398</v>
      </c>
      <c r="O247" s="64">
        <f t="shared" si="90"/>
        <v>120.78441937467203</v>
      </c>
      <c r="P247" s="64">
        <f t="shared" si="91"/>
        <v>-30.784419374672026</v>
      </c>
      <c r="Q247" s="65">
        <f t="shared" si="98"/>
        <v>73.698267660235743</v>
      </c>
      <c r="R247" s="64">
        <f t="shared" si="92"/>
        <v>118.47792097435497</v>
      </c>
      <c r="S247" s="59">
        <f t="shared" si="93"/>
        <v>-28.477920974354973</v>
      </c>
      <c r="T247" s="58">
        <f t="shared" si="99"/>
        <v>85.683340871882336</v>
      </c>
      <c r="U247" s="69"/>
    </row>
    <row r="248" spans="1:39" x14ac:dyDescent="0.2">
      <c r="A248" s="67">
        <v>117</v>
      </c>
      <c r="B248" s="66">
        <f t="shared" si="81"/>
        <v>2.0420352248333655</v>
      </c>
      <c r="C248" s="64">
        <f t="shared" si="82"/>
        <v>105.07220266182374</v>
      </c>
      <c r="D248" s="64">
        <f t="shared" si="83"/>
        <v>-15.072202661823738</v>
      </c>
      <c r="E248" s="65">
        <f t="shared" si="94"/>
        <v>122.16289466529831</v>
      </c>
      <c r="F248" s="64">
        <f t="shared" si="84"/>
        <v>110.57078501460775</v>
      </c>
      <c r="G248" s="64">
        <f t="shared" si="85"/>
        <v>-20.57078501460775</v>
      </c>
      <c r="H248" s="65">
        <f t="shared" si="95"/>
        <v>111.27817245032739</v>
      </c>
      <c r="I248" s="64">
        <f t="shared" si="86"/>
        <v>115.34257666659221</v>
      </c>
      <c r="J248" s="64">
        <f t="shared" si="87"/>
        <v>-25.342576666592208</v>
      </c>
      <c r="K248" s="65">
        <f t="shared" si="96"/>
        <v>99.638666472247749</v>
      </c>
      <c r="L248" s="64">
        <f t="shared" si="88"/>
        <v>119.13260315626249</v>
      </c>
      <c r="M248" s="64">
        <f t="shared" si="89"/>
        <v>-29.132603156262491</v>
      </c>
      <c r="N248" s="65">
        <f t="shared" si="97"/>
        <v>87.15006932648339</v>
      </c>
      <c r="O248" s="64">
        <f t="shared" si="90"/>
        <v>121.68973246867947</v>
      </c>
      <c r="P248" s="64">
        <f t="shared" si="91"/>
        <v>-31.689732468679466</v>
      </c>
      <c r="Q248" s="65">
        <f t="shared" si="98"/>
        <v>73.871908295268796</v>
      </c>
      <c r="R248" s="64">
        <f t="shared" si="92"/>
        <v>119.41824127650104</v>
      </c>
      <c r="S248" s="59">
        <f t="shared" si="93"/>
        <v>-29.418241276501035</v>
      </c>
      <c r="T248" s="58">
        <f t="shared" si="99"/>
        <v>85.978749279800127</v>
      </c>
      <c r="U248" s="69"/>
    </row>
    <row r="249" spans="1:39" x14ac:dyDescent="0.2">
      <c r="A249" s="67">
        <v>118</v>
      </c>
      <c r="B249" s="66">
        <f t="shared" si="81"/>
        <v>2.0594885173533091</v>
      </c>
      <c r="C249" s="64">
        <f t="shared" si="82"/>
        <v>105.86825800871483</v>
      </c>
      <c r="D249" s="64">
        <f t="shared" si="83"/>
        <v>-15.868258008714832</v>
      </c>
      <c r="E249" s="65">
        <f t="shared" si="94"/>
        <v>122.63603425600152</v>
      </c>
      <c r="F249" s="64">
        <f t="shared" si="84"/>
        <v>111.44793204446356</v>
      </c>
      <c r="G249" s="64">
        <f t="shared" si="85"/>
        <v>-21.447932044463556</v>
      </c>
      <c r="H249" s="65">
        <f t="shared" si="95"/>
        <v>111.74426842610298</v>
      </c>
      <c r="I249" s="64">
        <f t="shared" si="86"/>
        <v>116.27151029721745</v>
      </c>
      <c r="J249" s="64">
        <f t="shared" si="87"/>
        <v>-26.271510297217446</v>
      </c>
      <c r="K249" s="65">
        <f t="shared" si="96"/>
        <v>100.04993784934554</v>
      </c>
      <c r="L249" s="64">
        <f t="shared" si="88"/>
        <v>120.07437459738543</v>
      </c>
      <c r="M249" s="64">
        <f t="shared" si="89"/>
        <v>-30.074374597385429</v>
      </c>
      <c r="N249" s="65">
        <f t="shared" si="97"/>
        <v>87.458194635096618</v>
      </c>
      <c r="O249" s="64">
        <f t="shared" si="90"/>
        <v>122.59583009874679</v>
      </c>
      <c r="P249" s="64">
        <f t="shared" si="91"/>
        <v>-32.595830098746788</v>
      </c>
      <c r="Q249" s="65">
        <f t="shared" si="98"/>
        <v>74.041505278186477</v>
      </c>
      <c r="R249" s="64">
        <f t="shared" si="92"/>
        <v>120.35890317325249</v>
      </c>
      <c r="S249" s="59">
        <f t="shared" si="93"/>
        <v>-30.358903173252486</v>
      </c>
      <c r="T249" s="58">
        <f t="shared" si="99"/>
        <v>86.2754680541845</v>
      </c>
      <c r="U249" s="68"/>
    </row>
    <row r="250" spans="1:39" x14ac:dyDescent="0.2">
      <c r="A250" s="67">
        <v>119</v>
      </c>
      <c r="B250" s="66">
        <f t="shared" si="81"/>
        <v>2.0769418098732522</v>
      </c>
      <c r="C250" s="64">
        <f t="shared" si="82"/>
        <v>106.66007234960091</v>
      </c>
      <c r="D250" s="64">
        <f t="shared" si="83"/>
        <v>-16.66007234960091</v>
      </c>
      <c r="E250" s="65">
        <f t="shared" si="94"/>
        <v>123.11867181933408</v>
      </c>
      <c r="F250" s="64">
        <f t="shared" si="84"/>
        <v>112.32221022796961</v>
      </c>
      <c r="G250" s="64">
        <f t="shared" si="85"/>
        <v>-22.322210227969606</v>
      </c>
      <c r="H250" s="65">
        <f t="shared" si="95"/>
        <v>112.2193533798139</v>
      </c>
      <c r="I250" s="64">
        <f t="shared" si="86"/>
        <v>117.19925331973793</v>
      </c>
      <c r="J250" s="64">
        <f t="shared" si="87"/>
        <v>-27.199253319737934</v>
      </c>
      <c r="K250" s="65">
        <f t="shared" si="96"/>
        <v>100.46784130860644</v>
      </c>
      <c r="L250" s="64">
        <f t="shared" si="88"/>
        <v>121.01637157671503</v>
      </c>
      <c r="M250" s="64">
        <f t="shared" si="89"/>
        <v>-31.016371576715031</v>
      </c>
      <c r="N250" s="65">
        <f t="shared" si="97"/>
        <v>87.768345414416785</v>
      </c>
      <c r="O250" s="64">
        <f t="shared" si="90"/>
        <v>123.50268584894214</v>
      </c>
      <c r="P250" s="64">
        <f t="shared" si="91"/>
        <v>-33.502685848942136</v>
      </c>
      <c r="Q250" s="65">
        <f t="shared" si="98"/>
        <v>74.20701883914883</v>
      </c>
      <c r="R250" s="64">
        <f t="shared" si="92"/>
        <v>121.29988299667794</v>
      </c>
      <c r="S250" s="59">
        <f t="shared" si="93"/>
        <v>-31.299882996677937</v>
      </c>
      <c r="T250" s="58">
        <f t="shared" si="99"/>
        <v>86.573697621635588</v>
      </c>
    </row>
    <row r="251" spans="1:39" s="54" customFormat="1" x14ac:dyDescent="0.2">
      <c r="A251" s="63">
        <v>120</v>
      </c>
      <c r="B251" s="62">
        <f t="shared" si="81"/>
        <v>2.0943951023931953</v>
      </c>
      <c r="C251" s="60">
        <f t="shared" si="82"/>
        <v>107.44750354061178</v>
      </c>
      <c r="D251" s="60">
        <f t="shared" si="83"/>
        <v>-17.447503540611777</v>
      </c>
      <c r="E251" s="61">
        <f t="shared" si="94"/>
        <v>123.61105570213815</v>
      </c>
      <c r="F251" s="60">
        <f t="shared" si="84"/>
        <v>113.19350296783607</v>
      </c>
      <c r="G251" s="60">
        <f t="shared" si="85"/>
        <v>-23.193502967836068</v>
      </c>
      <c r="H251" s="61">
        <f t="shared" si="95"/>
        <v>112.70378649194338</v>
      </c>
      <c r="I251" s="60">
        <f t="shared" si="86"/>
        <v>118.12573637358987</v>
      </c>
      <c r="J251" s="60">
        <f t="shared" si="87"/>
        <v>-28.125736373589874</v>
      </c>
      <c r="K251" s="61">
        <f t="shared" si="96"/>
        <v>100.89275394569681</v>
      </c>
      <c r="L251" s="60">
        <f t="shared" si="88"/>
        <v>121.95856794919253</v>
      </c>
      <c r="M251" s="60">
        <f t="shared" si="89"/>
        <v>-31.958567949192528</v>
      </c>
      <c r="N251" s="61">
        <f t="shared" si="97"/>
        <v>88.080752177931615</v>
      </c>
      <c r="O251" s="60">
        <f t="shared" si="90"/>
        <v>124.41027366689497</v>
      </c>
      <c r="P251" s="60">
        <f t="shared" si="91"/>
        <v>-34.410273666894966</v>
      </c>
      <c r="Q251" s="61">
        <f t="shared" si="98"/>
        <v>74.368401639785873</v>
      </c>
      <c r="R251" s="60">
        <f t="shared" si="92"/>
        <v>122.24115690206627</v>
      </c>
      <c r="S251" s="59">
        <f t="shared" si="93"/>
        <v>-32.241156902066265</v>
      </c>
      <c r="T251" s="58">
        <f t="shared" si="99"/>
        <v>86.873646929503394</v>
      </c>
      <c r="U251" s="57"/>
      <c r="V251" s="56">
        <f>E251</f>
        <v>123.61105570213815</v>
      </c>
      <c r="W251" s="55"/>
      <c r="AM251" s="55">
        <f>D251</f>
        <v>-17.447503540611777</v>
      </c>
    </row>
    <row r="252" spans="1:39" x14ac:dyDescent="0.2">
      <c r="V252" s="53">
        <f>H251</f>
        <v>112.70378649194338</v>
      </c>
      <c r="AM252" s="50">
        <f>G251</f>
        <v>-23.193502967836068</v>
      </c>
    </row>
    <row r="253" spans="1:39" x14ac:dyDescent="0.2">
      <c r="V253" s="53">
        <f>K251</f>
        <v>100.89275394569681</v>
      </c>
      <c r="AM253" s="50">
        <f>J251</f>
        <v>-28.125736373589874</v>
      </c>
    </row>
    <row r="254" spans="1:39" x14ac:dyDescent="0.2">
      <c r="V254" s="53">
        <f>N251</f>
        <v>88.080752177931615</v>
      </c>
      <c r="AM254" s="50">
        <f>M251</f>
        <v>-31.958567949192528</v>
      </c>
    </row>
    <row r="255" spans="1:39" x14ac:dyDescent="0.2">
      <c r="V255" s="53">
        <f>Q251</f>
        <v>74.368401639785873</v>
      </c>
      <c r="AM255" s="50">
        <f>P251</f>
        <v>-34.410273666894966</v>
      </c>
    </row>
  </sheetData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5"/>
  <sheetViews>
    <sheetView zoomScale="80" zoomScaleNormal="80" workbookViewId="0">
      <selection activeCell="S4" sqref="S4"/>
    </sheetView>
  </sheetViews>
  <sheetFormatPr baseColWidth="10" defaultColWidth="11.42578125" defaultRowHeight="12.75" x14ac:dyDescent="0.2"/>
  <cols>
    <col min="1" max="1" width="20" style="52" customWidth="1"/>
    <col min="2" max="2" width="9" style="51" customWidth="1"/>
    <col min="3" max="3" width="9.5703125" style="49" customWidth="1"/>
    <col min="4" max="4" width="10.7109375" style="49" customWidth="1"/>
    <col min="5" max="5" width="11" style="52" customWidth="1"/>
    <col min="6" max="6" width="10.140625" style="49" customWidth="1"/>
    <col min="7" max="7" width="9.140625" style="49" customWidth="1"/>
    <col min="8" max="8" width="11" style="52" customWidth="1"/>
    <col min="9" max="10" width="11.42578125" style="49"/>
    <col min="11" max="11" width="11.42578125" style="52"/>
    <col min="12" max="13" width="11.42578125" style="49"/>
    <col min="14" max="14" width="11.42578125" style="52"/>
    <col min="15" max="16" width="11.42578125" style="49"/>
    <col min="17" max="17" width="11.42578125" style="52"/>
    <col min="18" max="19" width="11.42578125" style="49"/>
    <col min="20" max="20" width="11.42578125" style="52"/>
    <col min="21" max="21" width="4" style="51" customWidth="1"/>
    <col min="22" max="22" width="11.42578125" style="51"/>
    <col min="23" max="23" width="8.7109375" style="50" customWidth="1"/>
    <col min="24" max="39" width="8.7109375" style="49" customWidth="1"/>
    <col min="40" max="16384" width="11.42578125" style="49"/>
  </cols>
  <sheetData>
    <row r="1" spans="1:39" x14ac:dyDescent="0.2">
      <c r="A1" s="97"/>
      <c r="B1" s="49"/>
      <c r="E1" s="49"/>
      <c r="H1" s="49"/>
      <c r="K1" s="49"/>
      <c r="N1" s="49"/>
      <c r="Q1" s="49"/>
      <c r="T1" s="49"/>
      <c r="U1" s="49"/>
      <c r="V1" s="49"/>
    </row>
    <row r="2" spans="1:39" x14ac:dyDescent="0.2">
      <c r="A2" s="97"/>
      <c r="B2" s="49"/>
      <c r="E2" s="100"/>
      <c r="F2" s="101"/>
      <c r="H2" s="49"/>
      <c r="K2" s="49"/>
      <c r="N2" s="49"/>
      <c r="Q2" s="49"/>
      <c r="T2" s="49"/>
      <c r="U2" s="49"/>
      <c r="V2" s="49"/>
    </row>
    <row r="3" spans="1:39" x14ac:dyDescent="0.2">
      <c r="A3" s="49"/>
      <c r="C3" s="99" t="s">
        <v>34</v>
      </c>
      <c r="I3" s="102" t="s">
        <v>63</v>
      </c>
      <c r="O3" s="99" t="s">
        <v>35</v>
      </c>
      <c r="R3" s="96" t="s">
        <v>61</v>
      </c>
      <c r="S3" s="122">
        <v>269</v>
      </c>
      <c r="T3" s="49"/>
    </row>
    <row r="4" spans="1:39" x14ac:dyDescent="0.2">
      <c r="A4" s="49"/>
      <c r="C4" s="98" t="s">
        <v>1</v>
      </c>
      <c r="F4" s="95" t="s">
        <v>19</v>
      </c>
      <c r="G4" s="95" t="s">
        <v>1</v>
      </c>
      <c r="L4" s="95" t="s">
        <v>19</v>
      </c>
      <c r="M4" s="95" t="s">
        <v>1</v>
      </c>
      <c r="O4" s="95" t="s">
        <v>19</v>
      </c>
      <c r="P4" s="95" t="s">
        <v>1</v>
      </c>
      <c r="R4" s="95" t="s">
        <v>19</v>
      </c>
      <c r="S4" s="95" t="s">
        <v>1</v>
      </c>
      <c r="T4" s="49"/>
    </row>
    <row r="5" spans="1:39" x14ac:dyDescent="0.2">
      <c r="A5" s="7" t="s">
        <v>62</v>
      </c>
      <c r="B5" s="51">
        <v>23.45</v>
      </c>
      <c r="C5" s="49">
        <f>RADIANS(B5)</f>
        <v>0.40927970959267029</v>
      </c>
      <c r="F5" s="50">
        <f>B5/2</f>
        <v>11.725</v>
      </c>
      <c r="G5" s="49">
        <f>RADIANS(F5)</f>
        <v>0.20463985479633515</v>
      </c>
      <c r="I5" s="49">
        <v>0</v>
      </c>
      <c r="J5" s="49">
        <f>RADIANS(I5)</f>
        <v>0</v>
      </c>
      <c r="L5" s="50">
        <f>-F5</f>
        <v>-11.725</v>
      </c>
      <c r="M5" s="49">
        <f>RADIANS(L5)</f>
        <v>-0.20463985479633515</v>
      </c>
      <c r="O5" s="49">
        <f>-B5</f>
        <v>-23.45</v>
      </c>
      <c r="P5" s="49">
        <f>RADIANS(O5)</f>
        <v>-0.40927970959267029</v>
      </c>
      <c r="R5" s="50">
        <f>IF(S3&lt;&gt;"",23.45*SIN(RADIANS(360*(S3+284)/365)),"")</f>
        <v>-2.2168867832132868</v>
      </c>
      <c r="S5" s="49">
        <f>RADIANS(R5)</f>
        <v>-3.8691973511017615E-2</v>
      </c>
      <c r="U5" s="94"/>
      <c r="V5" s="94"/>
      <c r="W5" s="49">
        <v>1</v>
      </c>
      <c r="X5" s="49">
        <v>17</v>
      </c>
      <c r="Y5" s="92"/>
      <c r="Z5" s="49">
        <v>7</v>
      </c>
      <c r="AA5" s="49">
        <v>198</v>
      </c>
    </row>
    <row r="6" spans="1:39" x14ac:dyDescent="0.2">
      <c r="A6" s="7" t="s">
        <v>6</v>
      </c>
      <c r="B6" s="103">
        <v>-32</v>
      </c>
      <c r="C6" s="49">
        <f>RADIANS(B6)</f>
        <v>-0.55850536063818546</v>
      </c>
      <c r="U6" s="93"/>
      <c r="W6" s="49">
        <v>2</v>
      </c>
      <c r="X6" s="49">
        <v>46</v>
      </c>
      <c r="Y6" s="92"/>
      <c r="Z6" s="49">
        <v>8</v>
      </c>
      <c r="AA6" s="49">
        <v>228</v>
      </c>
    </row>
    <row r="7" spans="1:39" x14ac:dyDescent="0.2">
      <c r="A7" s="91"/>
      <c r="B7" s="88"/>
      <c r="C7" s="87"/>
      <c r="D7" s="89" t="s">
        <v>0</v>
      </c>
      <c r="E7" s="90"/>
      <c r="F7" s="87"/>
      <c r="G7" s="87"/>
      <c r="J7" s="89" t="s">
        <v>3</v>
      </c>
      <c r="P7" s="89" t="s">
        <v>2</v>
      </c>
      <c r="R7" s="86"/>
      <c r="U7" s="88"/>
    </row>
    <row r="8" spans="1:39" x14ac:dyDescent="0.2">
      <c r="D8" s="100" t="s">
        <v>4</v>
      </c>
      <c r="E8" s="101" t="s">
        <v>5</v>
      </c>
      <c r="I8" s="87"/>
      <c r="R8" s="86"/>
      <c r="W8" s="74">
        <f>A10</f>
        <v>-120</v>
      </c>
      <c r="X8" s="49">
        <f>A25</f>
        <v>-105</v>
      </c>
      <c r="Y8" s="49">
        <f>A40</f>
        <v>-90</v>
      </c>
      <c r="Z8" s="49">
        <f>A55</f>
        <v>-75</v>
      </c>
      <c r="AA8" s="49">
        <f>A70</f>
        <v>-60</v>
      </c>
      <c r="AB8" s="49">
        <f>A85</f>
        <v>-45</v>
      </c>
      <c r="AC8" s="49">
        <f>A100</f>
        <v>-30</v>
      </c>
      <c r="AD8" s="49">
        <f>A115</f>
        <v>-15</v>
      </c>
      <c r="AE8" s="49">
        <f>A131</f>
        <v>1E-3</v>
      </c>
      <c r="AF8" s="49">
        <f>A146</f>
        <v>15</v>
      </c>
      <c r="AG8" s="49">
        <f>A161</f>
        <v>30</v>
      </c>
      <c r="AH8" s="49">
        <f>A176</f>
        <v>45</v>
      </c>
      <c r="AI8" s="49">
        <f>A191</f>
        <v>60</v>
      </c>
      <c r="AJ8" s="49">
        <f>A206</f>
        <v>75</v>
      </c>
      <c r="AK8" s="49">
        <f>A221</f>
        <v>90</v>
      </c>
      <c r="AL8" s="49">
        <f>A236</f>
        <v>105</v>
      </c>
      <c r="AM8" s="49">
        <f>A251</f>
        <v>120</v>
      </c>
    </row>
    <row r="9" spans="1:39" s="80" customFormat="1" ht="16.5" x14ac:dyDescent="0.3">
      <c r="A9" s="82" t="s">
        <v>60</v>
      </c>
      <c r="B9" s="82" t="s">
        <v>59</v>
      </c>
      <c r="C9" s="85" t="s">
        <v>58</v>
      </c>
      <c r="D9" s="85" t="s">
        <v>57</v>
      </c>
      <c r="E9" s="82" t="s">
        <v>56</v>
      </c>
      <c r="F9" s="85" t="s">
        <v>58</v>
      </c>
      <c r="G9" s="85" t="s">
        <v>57</v>
      </c>
      <c r="H9" s="82" t="s">
        <v>56</v>
      </c>
      <c r="I9" s="85" t="s">
        <v>58</v>
      </c>
      <c r="J9" s="85" t="s">
        <v>57</v>
      </c>
      <c r="K9" s="82" t="s">
        <v>56</v>
      </c>
      <c r="L9" s="85" t="s">
        <v>58</v>
      </c>
      <c r="M9" s="85" t="s">
        <v>57</v>
      </c>
      <c r="N9" s="82" t="s">
        <v>56</v>
      </c>
      <c r="O9" s="85" t="s">
        <v>58</v>
      </c>
      <c r="P9" s="85" t="s">
        <v>57</v>
      </c>
      <c r="Q9" s="82" t="s">
        <v>56</v>
      </c>
      <c r="R9" s="85" t="s">
        <v>58</v>
      </c>
      <c r="S9" s="84" t="s">
        <v>57</v>
      </c>
      <c r="T9" s="84" t="s">
        <v>56</v>
      </c>
      <c r="U9" s="83"/>
      <c r="V9" s="82" t="s">
        <v>55</v>
      </c>
      <c r="W9" s="81" t="s">
        <v>54</v>
      </c>
      <c r="X9" s="81" t="s">
        <v>53</v>
      </c>
      <c r="Y9" s="81" t="s">
        <v>52</v>
      </c>
      <c r="Z9" s="81" t="s">
        <v>51</v>
      </c>
      <c r="AA9" s="81" t="s">
        <v>50</v>
      </c>
      <c r="AB9" s="81" t="s">
        <v>49</v>
      </c>
      <c r="AC9" s="81" t="s">
        <v>48</v>
      </c>
      <c r="AD9" s="81" t="s">
        <v>47</v>
      </c>
      <c r="AE9" s="81" t="s">
        <v>46</v>
      </c>
      <c r="AF9" s="81" t="s">
        <v>45</v>
      </c>
      <c r="AG9" s="81" t="s">
        <v>44</v>
      </c>
      <c r="AH9" s="81" t="s">
        <v>43</v>
      </c>
      <c r="AI9" s="81" t="s">
        <v>42</v>
      </c>
      <c r="AJ9" s="81" t="s">
        <v>41</v>
      </c>
      <c r="AK9" s="81" t="s">
        <v>40</v>
      </c>
      <c r="AL9" s="81" t="s">
        <v>39</v>
      </c>
      <c r="AM9" s="81" t="s">
        <v>38</v>
      </c>
    </row>
    <row r="10" spans="1:39" s="54" customFormat="1" x14ac:dyDescent="0.2">
      <c r="A10" s="63">
        <v>-120</v>
      </c>
      <c r="B10" s="62">
        <f t="shared" ref="B10:B73" si="0">RADIANS(A10)</f>
        <v>-2.0943951023931953</v>
      </c>
      <c r="C10" s="60">
        <f t="shared" ref="C10:C73" si="1">DEGREES(ACOS(SIN(C$5)*SIN($C$6)+COS(C$5)*COS($C$6)*COS($B10)))</f>
        <v>126.86155958283571</v>
      </c>
      <c r="D10" s="60">
        <f t="shared" ref="D10:D73" si="2">90-C10</f>
        <v>-36.86155958283571</v>
      </c>
      <c r="E10" s="61">
        <f t="shared" ref="E10:E73" si="3">DEGREES(-ACOS((SIN(RADIANS(D10))*SIN($C$6)-SIN(C$5))/(COS(RADIANS(D10))*COS($C$6))))</f>
        <v>-96.776205599881848</v>
      </c>
      <c r="F10" s="60">
        <f t="shared" ref="F10:F73" si="4">DEGREES(ACOS(SIN(G$5)*SIN($C$6)+COS(G$5)*COS($C$6)*COS($B10)))</f>
        <v>121.52454382631834</v>
      </c>
      <c r="G10" s="60">
        <f t="shared" ref="G10:G73" si="5">90-F10</f>
        <v>-31.524543826318336</v>
      </c>
      <c r="H10" s="61">
        <f t="shared" ref="H10:H73" si="6">DEGREES(-ACOS((SIN(RADIANS(G10))*SIN($C$6)-SIN(G$5))/(COS(RADIANS(G10))*COS($C$6))))</f>
        <v>-84.135589200421549</v>
      </c>
      <c r="I10" s="60">
        <f t="shared" ref="I10:I73" si="7">DEGREES(ACOS(SIN(J$5)*SIN($C$6)+COS(J$5)*COS($C$6)*COS($B10)))</f>
        <v>115.08890446247739</v>
      </c>
      <c r="J10" s="60">
        <f t="shared" ref="J10:J73" si="8">90-I10</f>
        <v>-25.088904462477387</v>
      </c>
      <c r="K10" s="61">
        <f t="shared" ref="K10:K73" si="9">DEGREES(-ACOS((SIN(RADIANS(J10))*SIN($C$6)-SIN(J$5))/(COS(RADIANS(J10))*COS($C$6))))</f>
        <v>-72.988559664796682</v>
      </c>
      <c r="L10" s="60">
        <f t="shared" ref="L10:L73" si="10">DEGREES(ACOS(SIN(M$5)*SIN($C$6)+COS(M$5)*COS($C$6)*COS($B10)))</f>
        <v>107.90798064123079</v>
      </c>
      <c r="M10" s="60">
        <f t="shared" ref="M10:M73" si="11">90-L10</f>
        <v>-17.907980641230793</v>
      </c>
      <c r="N10" s="61">
        <f t="shared" ref="N10:N73" si="12">DEGREES(-ACOS((SIN(RADIANS(M10))*SIN($C$6)-SIN(M$5))/(COS(RADIANS(M10))*COS($C$6))))</f>
        <v>-63.015449191497034</v>
      </c>
      <c r="O10" s="60">
        <f t="shared" ref="O10:O73" si="13">DEGREES(ACOS(SIN(P$5)*SIN($C$6)+COS(P$5)*COS($C$6)*COS($B10)))</f>
        <v>100.26040702050959</v>
      </c>
      <c r="P10" s="60">
        <f t="shared" ref="P10:P73" si="14">90-O10</f>
        <v>-10.260407020509589</v>
      </c>
      <c r="Q10" s="61">
        <f t="shared" ref="Q10:Q73" si="15">DEGREES(-ACOS((SIN(RADIANS(P10))*SIN($C$6)-SIN(P$5))/(COS(RADIANS(P10))*COS($C$6))))</f>
        <v>-53.84366586119085</v>
      </c>
      <c r="R10" s="60">
        <f t="shared" ref="R10:R73" si="16">DEGREES(ACOS(SIN(S$5)*SIN($C$6)+COS(S$5)*COS($C$6)*COS($B10)))</f>
        <v>113.77889139715815</v>
      </c>
      <c r="S10" s="59">
        <f t="shared" ref="S10:S73" si="17">90-R10</f>
        <v>-23.778891397158148</v>
      </c>
      <c r="T10" s="58">
        <f t="shared" ref="T10:T73" si="18">DEGREES(-ACOS((SIN(RADIANS(S10))*SIN($C$6)-SIN(S$5))/(COS(RADIANS(S10))*COS($C$6))))</f>
        <v>-71.024122997774867</v>
      </c>
      <c r="U10" s="79"/>
      <c r="V10" s="78">
        <f>E10</f>
        <v>-96.776205599881848</v>
      </c>
      <c r="W10" s="55">
        <f>D10</f>
        <v>-36.86155958283571</v>
      </c>
    </row>
    <row r="11" spans="1:39" x14ac:dyDescent="0.2">
      <c r="A11" s="67">
        <v>-119</v>
      </c>
      <c r="B11" s="66">
        <f t="shared" si="0"/>
        <v>-2.0769418098732522</v>
      </c>
      <c r="C11" s="64">
        <f t="shared" si="1"/>
        <v>126.01984070262074</v>
      </c>
      <c r="D11" s="64">
        <f t="shared" si="2"/>
        <v>-36.019840702620741</v>
      </c>
      <c r="E11" s="65">
        <f t="shared" si="3"/>
        <v>-97.229790533880589</v>
      </c>
      <c r="F11" s="64">
        <f t="shared" si="4"/>
        <v>120.68050929868389</v>
      </c>
      <c r="G11" s="64">
        <f t="shared" si="5"/>
        <v>-30.680509298683887</v>
      </c>
      <c r="H11" s="65">
        <f t="shared" si="6"/>
        <v>-84.715219081143374</v>
      </c>
      <c r="I11" s="64">
        <f t="shared" si="7"/>
        <v>114.27658583722004</v>
      </c>
      <c r="J11" s="64">
        <f t="shared" si="8"/>
        <v>-24.27658583722004</v>
      </c>
      <c r="K11" s="65">
        <f t="shared" si="9"/>
        <v>-73.630426933317295</v>
      </c>
      <c r="L11" s="64">
        <f t="shared" si="10"/>
        <v>107.15008903055039</v>
      </c>
      <c r="M11" s="64">
        <f t="shared" si="11"/>
        <v>-17.15008903055039</v>
      </c>
      <c r="N11" s="65">
        <f t="shared" si="12"/>
        <v>-63.665565781619662</v>
      </c>
      <c r="O11" s="64">
        <f t="shared" si="13"/>
        <v>99.572999281176081</v>
      </c>
      <c r="P11" s="64">
        <f t="shared" si="14"/>
        <v>-9.5729992811760809</v>
      </c>
      <c r="Q11" s="65">
        <f t="shared" si="15"/>
        <v>-54.46042419618486</v>
      </c>
      <c r="R11" s="64">
        <f t="shared" si="16"/>
        <v>112.9753863436959</v>
      </c>
      <c r="S11" s="59">
        <f t="shared" si="17"/>
        <v>-22.975386343695902</v>
      </c>
      <c r="T11" s="58">
        <f t="shared" si="18"/>
        <v>-71.67129530231837</v>
      </c>
      <c r="U11" s="76"/>
      <c r="V11" s="77">
        <f>H10</f>
        <v>-84.135589200421549</v>
      </c>
      <c r="W11" s="50">
        <f>G11</f>
        <v>-30.680509298683887</v>
      </c>
    </row>
    <row r="12" spans="1:39" x14ac:dyDescent="0.2">
      <c r="A12" s="67">
        <v>-118</v>
      </c>
      <c r="B12" s="66">
        <f t="shared" si="0"/>
        <v>-2.0594885173533091</v>
      </c>
      <c r="C12" s="64">
        <f t="shared" si="1"/>
        <v>125.17896433952261</v>
      </c>
      <c r="D12" s="64">
        <f t="shared" si="2"/>
        <v>-35.178964339522608</v>
      </c>
      <c r="E12" s="65">
        <f t="shared" si="3"/>
        <v>-97.680940957043561</v>
      </c>
      <c r="F12" s="64">
        <f t="shared" si="4"/>
        <v>119.83568887737809</v>
      </c>
      <c r="G12" s="64">
        <f t="shared" si="5"/>
        <v>-29.83568887737809</v>
      </c>
      <c r="H12" s="65">
        <f t="shared" si="6"/>
        <v>-85.288252084620169</v>
      </c>
      <c r="I12" s="64">
        <f t="shared" si="7"/>
        <v>113.46160656851252</v>
      </c>
      <c r="J12" s="64">
        <f t="shared" si="8"/>
        <v>-23.461606568512522</v>
      </c>
      <c r="K12" s="65">
        <f t="shared" si="9"/>
        <v>-74.264123901291796</v>
      </c>
      <c r="L12" s="64">
        <f t="shared" si="10"/>
        <v>106.3879552946528</v>
      </c>
      <c r="M12" s="64">
        <f t="shared" si="11"/>
        <v>-16.387955294652798</v>
      </c>
      <c r="N12" s="65">
        <f t="shared" si="12"/>
        <v>-64.307571845097414</v>
      </c>
      <c r="O12" s="64">
        <f t="shared" si="13"/>
        <v>98.880316853759041</v>
      </c>
      <c r="P12" s="64">
        <f t="shared" si="14"/>
        <v>-8.8803168537590409</v>
      </c>
      <c r="Q12" s="65">
        <f t="shared" si="15"/>
        <v>-55.069831416475232</v>
      </c>
      <c r="R12" s="64">
        <f t="shared" si="16"/>
        <v>112.16888807065835</v>
      </c>
      <c r="S12" s="59">
        <f t="shared" si="17"/>
        <v>-22.168888070658355</v>
      </c>
      <c r="T12" s="58">
        <f t="shared" si="18"/>
        <v>-72.310216039866731</v>
      </c>
      <c r="U12" s="76"/>
      <c r="V12" s="77">
        <f>K10</f>
        <v>-72.988559664796682</v>
      </c>
      <c r="W12" s="50">
        <f>J10</f>
        <v>-25.088904462477387</v>
      </c>
    </row>
    <row r="13" spans="1:39" x14ac:dyDescent="0.2">
      <c r="A13" s="67">
        <v>-117</v>
      </c>
      <c r="B13" s="66">
        <f t="shared" si="0"/>
        <v>-2.0420352248333655</v>
      </c>
      <c r="C13" s="64">
        <f t="shared" si="1"/>
        <v>124.33897822680707</v>
      </c>
      <c r="D13" s="64">
        <f t="shared" si="2"/>
        <v>-34.338978226807072</v>
      </c>
      <c r="E13" s="65">
        <f t="shared" si="3"/>
        <v>-98.129926121197997</v>
      </c>
      <c r="F13" s="64">
        <f t="shared" si="4"/>
        <v>118.99017533486415</v>
      </c>
      <c r="G13" s="64">
        <f t="shared" si="5"/>
        <v>-28.990175334864148</v>
      </c>
      <c r="H13" s="65">
        <f t="shared" si="6"/>
        <v>-85.855096806099155</v>
      </c>
      <c r="I13" s="64">
        <f t="shared" si="7"/>
        <v>112.64409902926474</v>
      </c>
      <c r="J13" s="64">
        <f t="shared" si="8"/>
        <v>-22.644099029264737</v>
      </c>
      <c r="K13" s="65">
        <f t="shared" si="9"/>
        <v>-74.890032298738618</v>
      </c>
      <c r="L13" s="64">
        <f t="shared" si="10"/>
        <v>105.62172687890165</v>
      </c>
      <c r="M13" s="64">
        <f t="shared" si="11"/>
        <v>-15.621726878901654</v>
      </c>
      <c r="N13" s="65">
        <f t="shared" si="12"/>
        <v>-64.94174683095018</v>
      </c>
      <c r="O13" s="64">
        <f t="shared" si="13"/>
        <v>98.182500168727614</v>
      </c>
      <c r="P13" s="64">
        <f t="shared" si="14"/>
        <v>-8.1825001687276142</v>
      </c>
      <c r="Q13" s="65">
        <f t="shared" si="15"/>
        <v>-55.672053865813055</v>
      </c>
      <c r="R13" s="64">
        <f t="shared" si="16"/>
        <v>111.35953381006932</v>
      </c>
      <c r="S13" s="59">
        <f t="shared" si="17"/>
        <v>-21.359533810069323</v>
      </c>
      <c r="T13" s="58">
        <f t="shared" si="18"/>
        <v>-72.941250806514702</v>
      </c>
      <c r="U13" s="76"/>
      <c r="V13" s="77">
        <f>N10</f>
        <v>-63.015449191497034</v>
      </c>
      <c r="W13" s="50">
        <f>M10</f>
        <v>-17.907980641230793</v>
      </c>
    </row>
    <row r="14" spans="1:39" x14ac:dyDescent="0.2">
      <c r="A14" s="67">
        <v>-116</v>
      </c>
      <c r="B14" s="66">
        <f t="shared" si="0"/>
        <v>-2.0245819323134224</v>
      </c>
      <c r="C14" s="64">
        <f t="shared" si="1"/>
        <v>123.49992981414285</v>
      </c>
      <c r="D14" s="64">
        <f t="shared" si="2"/>
        <v>-33.499929814142845</v>
      </c>
      <c r="E14" s="65">
        <f t="shared" si="3"/>
        <v>-98.577003445311789</v>
      </c>
      <c r="F14" s="64">
        <f t="shared" si="4"/>
        <v>118.14405829959883</v>
      </c>
      <c r="G14" s="64">
        <f t="shared" si="5"/>
        <v>-28.144058299598825</v>
      </c>
      <c r="H14" s="65">
        <f t="shared" si="6"/>
        <v>-86.416145151727676</v>
      </c>
      <c r="I14" s="64">
        <f t="shared" si="7"/>
        <v>111.82419072794347</v>
      </c>
      <c r="J14" s="64">
        <f t="shared" si="8"/>
        <v>-21.824190727943474</v>
      </c>
      <c r="K14" s="65">
        <f t="shared" si="9"/>
        <v>-75.50852259304601</v>
      </c>
      <c r="L14" s="64">
        <f t="shared" si="10"/>
        <v>104.85154646762298</v>
      </c>
      <c r="M14" s="64">
        <f t="shared" si="11"/>
        <v>-14.851546467622981</v>
      </c>
      <c r="N14" s="65">
        <f t="shared" si="12"/>
        <v>-65.568365725129354</v>
      </c>
      <c r="O14" s="64">
        <f t="shared" si="13"/>
        <v>97.479686056719103</v>
      </c>
      <c r="P14" s="64">
        <f t="shared" si="14"/>
        <v>-7.4796860567191032</v>
      </c>
      <c r="Q14" s="65">
        <f t="shared" si="15"/>
        <v>-56.26725756637645</v>
      </c>
      <c r="R14" s="64">
        <f t="shared" si="16"/>
        <v>110.54745582448928</v>
      </c>
      <c r="S14" s="59">
        <f t="shared" si="17"/>
        <v>-20.547455824489276</v>
      </c>
      <c r="T14" s="58">
        <f t="shared" si="18"/>
        <v>-73.564755315681467</v>
      </c>
      <c r="U14" s="76"/>
      <c r="V14" s="77">
        <f>Q10</f>
        <v>-53.84366586119085</v>
      </c>
      <c r="W14" s="50">
        <f>P10</f>
        <v>-10.260407020509589</v>
      </c>
    </row>
    <row r="15" spans="1:39" x14ac:dyDescent="0.2">
      <c r="A15" s="67">
        <v>-115</v>
      </c>
      <c r="B15" s="66">
        <f t="shared" si="0"/>
        <v>-2.0071286397934789</v>
      </c>
      <c r="C15" s="64">
        <f t="shared" si="1"/>
        <v>122.66186636447908</v>
      </c>
      <c r="D15" s="64">
        <f t="shared" si="2"/>
        <v>-32.661866364479081</v>
      </c>
      <c r="E15" s="65">
        <f t="shared" si="3"/>
        <v>-99.02241948949235</v>
      </c>
      <c r="F15" s="64">
        <f t="shared" si="4"/>
        <v>117.29742451915546</v>
      </c>
      <c r="G15" s="64">
        <f t="shared" si="5"/>
        <v>-27.297424519155456</v>
      </c>
      <c r="H15" s="65">
        <f t="shared" si="6"/>
        <v>-86.971773451493561</v>
      </c>
      <c r="I15" s="64">
        <f t="shared" si="7"/>
        <v>111.0020045930643</v>
      </c>
      <c r="J15" s="64">
        <f t="shared" si="8"/>
        <v>-21.002004593064299</v>
      </c>
      <c r="K15" s="65">
        <f t="shared" si="9"/>
        <v>-76.119954506529808</v>
      </c>
      <c r="L15" s="64">
        <f t="shared" si="10"/>
        <v>104.07755216916841</v>
      </c>
      <c r="M15" s="64">
        <f t="shared" si="11"/>
        <v>-14.077552169168413</v>
      </c>
      <c r="N15" s="65">
        <f t="shared" si="12"/>
        <v>-66.187699090887321</v>
      </c>
      <c r="O15" s="64">
        <f t="shared" si="13"/>
        <v>96.772007820894714</v>
      </c>
      <c r="P15" s="64">
        <f t="shared" si="14"/>
        <v>-6.7720078208947143</v>
      </c>
      <c r="Q15" s="65">
        <f t="shared" si="15"/>
        <v>-56.855608071771478</v>
      </c>
      <c r="R15" s="64">
        <f t="shared" si="16"/>
        <v>109.73278167846716</v>
      </c>
      <c r="S15" s="59">
        <f t="shared" si="17"/>
        <v>-19.732781678467163</v>
      </c>
      <c r="T15" s="58">
        <f t="shared" si="18"/>
        <v>-74.181075803070769</v>
      </c>
      <c r="U15" s="76"/>
      <c r="V15" s="66"/>
    </row>
    <row r="16" spans="1:39" x14ac:dyDescent="0.2">
      <c r="A16" s="67">
        <v>-114</v>
      </c>
      <c r="B16" s="66">
        <f t="shared" si="0"/>
        <v>-1.9896753472735358</v>
      </c>
      <c r="C16" s="64">
        <f t="shared" si="1"/>
        <v>121.82483504521018</v>
      </c>
      <c r="D16" s="64">
        <f t="shared" si="2"/>
        <v>-31.824835045210179</v>
      </c>
      <c r="E16" s="65">
        <f t="shared" si="3"/>
        <v>-99.466410848013666</v>
      </c>
      <c r="F16" s="64">
        <f t="shared" si="4"/>
        <v>116.45035810642275</v>
      </c>
      <c r="G16" s="64">
        <f t="shared" si="5"/>
        <v>-26.450358106422755</v>
      </c>
      <c r="H16" s="65">
        <f t="shared" si="6"/>
        <v>-87.522343503159348</v>
      </c>
      <c r="I16" s="64">
        <f t="shared" si="7"/>
        <v>110.1776592441968</v>
      </c>
      <c r="J16" s="64">
        <f t="shared" si="8"/>
        <v>-20.177659244196803</v>
      </c>
      <c r="K16" s="65">
        <f t="shared" si="9"/>
        <v>-76.724677526596651</v>
      </c>
      <c r="L16" s="64">
        <f t="shared" si="10"/>
        <v>103.29987769697549</v>
      </c>
      <c r="M16" s="64">
        <f t="shared" si="11"/>
        <v>-13.299877696975486</v>
      </c>
      <c r="N16" s="65">
        <f t="shared" si="12"/>
        <v>-66.800013129361943</v>
      </c>
      <c r="O16" s="64">
        <f t="shared" si="13"/>
        <v>96.059595311223973</v>
      </c>
      <c r="P16" s="64">
        <f t="shared" si="14"/>
        <v>-6.0595953112239727</v>
      </c>
      <c r="Q16" s="65">
        <f t="shared" si="15"/>
        <v>-57.43727033822816</v>
      </c>
      <c r="R16" s="64">
        <f t="shared" si="16"/>
        <v>108.91563449825576</v>
      </c>
      <c r="S16" s="59">
        <f t="shared" si="17"/>
        <v>-18.915634498255756</v>
      </c>
      <c r="T16" s="58">
        <f t="shared" si="18"/>
        <v>-74.790549432688749</v>
      </c>
      <c r="U16" s="76"/>
      <c r="V16" s="66"/>
    </row>
    <row r="17" spans="1:27" x14ac:dyDescent="0.2">
      <c r="A17" s="67">
        <v>-113</v>
      </c>
      <c r="B17" s="66">
        <f t="shared" si="0"/>
        <v>-1.9722220547535925</v>
      </c>
      <c r="C17" s="64">
        <f t="shared" si="1"/>
        <v>120.98888301429427</v>
      </c>
      <c r="D17" s="64">
        <f t="shared" si="2"/>
        <v>-30.988883014294274</v>
      </c>
      <c r="E17" s="65">
        <f t="shared" si="3"/>
        <v>-99.909204969371828</v>
      </c>
      <c r="F17" s="64">
        <f t="shared" si="4"/>
        <v>115.6029407703633</v>
      </c>
      <c r="G17" s="64">
        <f t="shared" si="5"/>
        <v>-25.602940770363304</v>
      </c>
      <c r="H17" s="65">
        <f t="shared" si="6"/>
        <v>-88.068203552051429</v>
      </c>
      <c r="I17" s="64">
        <f t="shared" si="7"/>
        <v>109.3512692502148</v>
      </c>
      <c r="J17" s="64">
        <f t="shared" si="8"/>
        <v>-19.351269250214798</v>
      </c>
      <c r="K17" s="65">
        <f t="shared" si="9"/>
        <v>-77.323031407443409</v>
      </c>
      <c r="L17" s="64">
        <f t="shared" si="10"/>
        <v>102.51865254648737</v>
      </c>
      <c r="M17" s="64">
        <f t="shared" si="11"/>
        <v>-12.518652546487374</v>
      </c>
      <c r="N17" s="65">
        <f t="shared" si="12"/>
        <v>-67.405569758327786</v>
      </c>
      <c r="O17" s="64">
        <f t="shared" si="13"/>
        <v>95.342575000314937</v>
      </c>
      <c r="P17" s="64">
        <f t="shared" si="14"/>
        <v>-5.3425750003149375</v>
      </c>
      <c r="Q17" s="65">
        <f t="shared" si="15"/>
        <v>-58.012408613005846</v>
      </c>
      <c r="R17" s="64">
        <f t="shared" si="16"/>
        <v>108.09613322032209</v>
      </c>
      <c r="S17" s="59">
        <f t="shared" si="17"/>
        <v>-18.096133220322088</v>
      </c>
      <c r="T17" s="58">
        <f t="shared" si="18"/>
        <v>-75.393504702323952</v>
      </c>
      <c r="U17" s="76"/>
      <c r="V17" s="66"/>
    </row>
    <row r="18" spans="1:27" x14ac:dyDescent="0.2">
      <c r="A18" s="67">
        <v>-112</v>
      </c>
      <c r="B18" s="66">
        <f t="shared" si="0"/>
        <v>-1.9547687622336491</v>
      </c>
      <c r="C18" s="64">
        <f t="shared" si="1"/>
        <v>120.15405750192151</v>
      </c>
      <c r="D18" s="64">
        <f t="shared" si="2"/>
        <v>-30.154057501921514</v>
      </c>
      <c r="E18" s="65">
        <f t="shared" si="3"/>
        <v>-100.35102091048753</v>
      </c>
      <c r="F18" s="64">
        <f t="shared" si="4"/>
        <v>114.75525203269078</v>
      </c>
      <c r="G18" s="64">
        <f t="shared" si="5"/>
        <v>-24.755252032690777</v>
      </c>
      <c r="H18" s="65">
        <f t="shared" si="6"/>
        <v>-88.609689211255812</v>
      </c>
      <c r="I18" s="64">
        <f t="shared" si="7"/>
        <v>108.52294537550692</v>
      </c>
      <c r="J18" s="64">
        <f t="shared" si="8"/>
        <v>-18.522945375506922</v>
      </c>
      <c r="K18" s="65">
        <f t="shared" si="9"/>
        <v>-77.915346662491842</v>
      </c>
      <c r="L18" s="64">
        <f t="shared" si="10"/>
        <v>101.73400216784323</v>
      </c>
      <c r="M18" s="64">
        <f t="shared" si="11"/>
        <v>-11.734002167843229</v>
      </c>
      <c r="N18" s="65">
        <f t="shared" si="12"/>
        <v>-68.004626707262148</v>
      </c>
      <c r="O18" s="64">
        <f t="shared" si="13"/>
        <v>94.621070060442875</v>
      </c>
      <c r="P18" s="64">
        <f t="shared" si="14"/>
        <v>-4.6210700604428752</v>
      </c>
      <c r="Q18" s="65">
        <f t="shared" si="15"/>
        <v>-58.581186339063265</v>
      </c>
      <c r="R18" s="64">
        <f t="shared" si="16"/>
        <v>107.27439282918841</v>
      </c>
      <c r="S18" s="59">
        <f t="shared" si="17"/>
        <v>-17.274392829188415</v>
      </c>
      <c r="T18" s="58">
        <f t="shared" si="18"/>
        <v>-75.990261847178516</v>
      </c>
      <c r="U18" s="76"/>
      <c r="V18" s="66"/>
    </row>
    <row r="19" spans="1:27" x14ac:dyDescent="0.2">
      <c r="A19" s="67">
        <v>-111</v>
      </c>
      <c r="B19" s="66">
        <f t="shared" si="0"/>
        <v>-1.9373154697137058</v>
      </c>
      <c r="C19" s="64">
        <f t="shared" si="1"/>
        <v>119.3204058882655</v>
      </c>
      <c r="D19" s="64">
        <f t="shared" si="2"/>
        <v>-29.320405888265498</v>
      </c>
      <c r="E19" s="65">
        <f t="shared" si="3"/>
        <v>-100.79207003139916</v>
      </c>
      <c r="F19" s="64">
        <f t="shared" si="4"/>
        <v>113.90736943171171</v>
      </c>
      <c r="G19" s="64">
        <f t="shared" si="5"/>
        <v>-23.907369431711714</v>
      </c>
      <c r="H19" s="65">
        <f t="shared" si="6"/>
        <v>-89.147124326476145</v>
      </c>
      <c r="I19" s="64">
        <f t="shared" si="7"/>
        <v>107.69279481484467</v>
      </c>
      <c r="J19" s="64">
        <f t="shared" si="8"/>
        <v>-17.692794814844675</v>
      </c>
      <c r="K19" s="65">
        <f t="shared" si="9"/>
        <v>-78.501945046985369</v>
      </c>
      <c r="L19" s="64">
        <f t="shared" si="10"/>
        <v>100.94604813428904</v>
      </c>
      <c r="M19" s="64">
        <f t="shared" si="11"/>
        <v>-10.946048134289043</v>
      </c>
      <c r="N19" s="65">
        <f t="shared" si="12"/>
        <v>-68.597437627064878</v>
      </c>
      <c r="O19" s="64">
        <f t="shared" si="13"/>
        <v>93.895200441462293</v>
      </c>
      <c r="P19" s="64">
        <f t="shared" si="14"/>
        <v>-3.8952004414622934</v>
      </c>
      <c r="Q19" s="65">
        <f t="shared" si="15"/>
        <v>-59.14376607509282</v>
      </c>
      <c r="R19" s="64">
        <f t="shared" si="16"/>
        <v>106.45052458513742</v>
      </c>
      <c r="S19" s="59">
        <f t="shared" si="17"/>
        <v>-16.450524585137416</v>
      </c>
      <c r="T19" s="58">
        <f t="shared" si="18"/>
        <v>-76.581133240592422</v>
      </c>
      <c r="U19" s="76"/>
      <c r="V19" s="66"/>
    </row>
    <row r="20" spans="1:27" x14ac:dyDescent="0.2">
      <c r="A20" s="67">
        <v>-110</v>
      </c>
      <c r="B20" s="66">
        <f t="shared" si="0"/>
        <v>-1.9198621771937625</v>
      </c>
      <c r="C20" s="64">
        <f t="shared" si="1"/>
        <v>118.48797577779588</v>
      </c>
      <c r="D20" s="64">
        <f t="shared" si="2"/>
        <v>-28.487975777795882</v>
      </c>
      <c r="E20" s="65">
        <f t="shared" si="3"/>
        <v>-101.23255663610747</v>
      </c>
      <c r="F20" s="64">
        <f t="shared" si="4"/>
        <v>113.05936871447554</v>
      </c>
      <c r="G20" s="64">
        <f t="shared" si="5"/>
        <v>-23.059368714475539</v>
      </c>
      <c r="H20" s="65">
        <f t="shared" si="6"/>
        <v>-89.680821789526959</v>
      </c>
      <c r="I20" s="64">
        <f t="shared" si="7"/>
        <v>106.86092141758434</v>
      </c>
      <c r="J20" s="64">
        <f t="shared" si="8"/>
        <v>-16.860921417584336</v>
      </c>
      <c r="K20" s="65">
        <f t="shared" si="9"/>
        <v>-79.083140030372789</v>
      </c>
      <c r="L20" s="64">
        <f t="shared" si="10"/>
        <v>100.15490830629558</v>
      </c>
      <c r="M20" s="64">
        <f t="shared" si="11"/>
        <v>-10.154908306295582</v>
      </c>
      <c r="N20" s="65">
        <f t="shared" si="12"/>
        <v>-69.184252212944997</v>
      </c>
      <c r="O20" s="64">
        <f t="shared" si="13"/>
        <v>93.165082949319185</v>
      </c>
      <c r="P20" s="64">
        <f t="shared" si="14"/>
        <v>-3.165082949319185</v>
      </c>
      <c r="Q20" s="65">
        <f t="shared" si="15"/>
        <v>-59.700309430065317</v>
      </c>
      <c r="R20" s="64">
        <f t="shared" si="16"/>
        <v>105.62463624231145</v>
      </c>
      <c r="S20" s="59">
        <f t="shared" si="17"/>
        <v>-15.624636242311453</v>
      </c>
      <c r="T20" s="58">
        <f t="shared" si="18"/>
        <v>-77.166423791022893</v>
      </c>
      <c r="U20" s="66"/>
      <c r="V20" s="53"/>
    </row>
    <row r="21" spans="1:27" x14ac:dyDescent="0.2">
      <c r="A21" s="67">
        <v>-109</v>
      </c>
      <c r="B21" s="66">
        <f t="shared" si="0"/>
        <v>-1.9024088846738192</v>
      </c>
      <c r="C21" s="64">
        <f t="shared" si="1"/>
        <v>117.65681507058291</v>
      </c>
      <c r="D21" s="64">
        <f t="shared" si="2"/>
        <v>-27.656815070582908</v>
      </c>
      <c r="E21" s="65">
        <f t="shared" si="3"/>
        <v>-101.67267856462932</v>
      </c>
      <c r="F21" s="64">
        <f t="shared" si="4"/>
        <v>112.21132401828298</v>
      </c>
      <c r="G21" s="64">
        <f t="shared" si="5"/>
        <v>-22.21132401828298</v>
      </c>
      <c r="H21" s="65">
        <f t="shared" si="6"/>
        <v>-90.211084304167827</v>
      </c>
      <c r="I21" s="64">
        <f t="shared" si="7"/>
        <v>106.02742590185827</v>
      </c>
      <c r="J21" s="64">
        <f t="shared" si="8"/>
        <v>-16.027425901858265</v>
      </c>
      <c r="K21" s="65">
        <f t="shared" si="9"/>
        <v>-79.659237258271119</v>
      </c>
      <c r="L21" s="64">
        <f t="shared" si="10"/>
        <v>99.36069699140117</v>
      </c>
      <c r="M21" s="64">
        <f t="shared" si="11"/>
        <v>-9.36069699140117</v>
      </c>
      <c r="N21" s="65">
        <f t="shared" si="12"/>
        <v>-69.765316339151994</v>
      </c>
      <c r="O21" s="64">
        <f t="shared" si="13"/>
        <v>92.430831324908596</v>
      </c>
      <c r="P21" s="64">
        <f t="shared" si="14"/>
        <v>-2.4308313249085955</v>
      </c>
      <c r="Q21" s="65">
        <f t="shared" si="15"/>
        <v>-60.250977011479272</v>
      </c>
      <c r="R21" s="64">
        <f t="shared" si="16"/>
        <v>104.79683225772915</v>
      </c>
      <c r="S21" s="59">
        <f t="shared" si="17"/>
        <v>-14.79683225772915</v>
      </c>
      <c r="T21" s="58">
        <f t="shared" si="18"/>
        <v>-77.74643133463448</v>
      </c>
      <c r="U21" s="66"/>
      <c r="V21" s="53"/>
    </row>
    <row r="22" spans="1:27" x14ac:dyDescent="0.2">
      <c r="A22" s="67">
        <v>-108</v>
      </c>
      <c r="B22" s="66">
        <f t="shared" si="0"/>
        <v>-1.8849555921538759</v>
      </c>
      <c r="C22" s="64">
        <f t="shared" si="1"/>
        <v>116.82697203098078</v>
      </c>
      <c r="D22" s="64">
        <f t="shared" si="2"/>
        <v>-26.826972030980784</v>
      </c>
      <c r="E22" s="65">
        <f t="shared" si="3"/>
        <v>-102.11262774078568</v>
      </c>
      <c r="F22" s="64">
        <f t="shared" si="4"/>
        <v>111.36330804251885</v>
      </c>
      <c r="G22" s="64">
        <f t="shared" si="5"/>
        <v>-21.363308042518852</v>
      </c>
      <c r="H22" s="65">
        <f t="shared" si="6"/>
        <v>-90.738205107731531</v>
      </c>
      <c r="I22" s="64">
        <f t="shared" si="7"/>
        <v>105.19240605938886</v>
      </c>
      <c r="J22" s="64">
        <f t="shared" si="8"/>
        <v>-15.192406059388858</v>
      </c>
      <c r="K22" s="65">
        <f t="shared" si="9"/>
        <v>-80.230535003943515</v>
      </c>
      <c r="L22" s="64">
        <f t="shared" si="10"/>
        <v>98.563525099824162</v>
      </c>
      <c r="M22" s="64">
        <f t="shared" si="11"/>
        <v>-8.5635250998241617</v>
      </c>
      <c r="N22" s="65">
        <f t="shared" si="12"/>
        <v>-70.340872204382862</v>
      </c>
      <c r="O22" s="64">
        <f t="shared" si="13"/>
        <v>91.692556323050283</v>
      </c>
      <c r="P22" s="64">
        <f t="shared" si="14"/>
        <v>-1.6925563230502831</v>
      </c>
      <c r="Q22" s="65">
        <f t="shared" si="15"/>
        <v>-60.795928386558565</v>
      </c>
      <c r="R22" s="64">
        <f t="shared" si="16"/>
        <v>103.96721399173322</v>
      </c>
      <c r="S22" s="59">
        <f t="shared" si="17"/>
        <v>-13.967213991733217</v>
      </c>
      <c r="T22" s="58">
        <f t="shared" si="18"/>
        <v>-78.321447023024362</v>
      </c>
      <c r="U22" s="66"/>
      <c r="V22" s="53"/>
    </row>
    <row r="23" spans="1:27" x14ac:dyDescent="0.2">
      <c r="A23" s="67">
        <v>-107</v>
      </c>
      <c r="B23" s="66">
        <f t="shared" si="0"/>
        <v>-1.8675022996339325</v>
      </c>
      <c r="C23" s="64">
        <f t="shared" si="1"/>
        <v>115.99849535404127</v>
      </c>
      <c r="D23" s="64">
        <f t="shared" si="2"/>
        <v>-25.998495354041268</v>
      </c>
      <c r="E23" s="65">
        <f t="shared" si="3"/>
        <v>-102.55259067977563</v>
      </c>
      <c r="F23" s="64">
        <f t="shared" si="4"/>
        <v>110.51539221169844</v>
      </c>
      <c r="G23" s="64">
        <f t="shared" si="5"/>
        <v>-20.51539221169844</v>
      </c>
      <c r="H23" s="65">
        <f t="shared" si="6"/>
        <v>-91.262468651761779</v>
      </c>
      <c r="I23" s="64">
        <f t="shared" si="7"/>
        <v>104.35595695153606</v>
      </c>
      <c r="J23" s="64">
        <f t="shared" si="8"/>
        <v>-14.355956951536058</v>
      </c>
      <c r="K23" s="65">
        <f t="shared" si="9"/>
        <v>-80.797324609349573</v>
      </c>
      <c r="L23" s="64">
        <f t="shared" si="10"/>
        <v>97.763500295914483</v>
      </c>
      <c r="M23" s="64">
        <f t="shared" si="11"/>
        <v>-7.7635002959144828</v>
      </c>
      <c r="N23" s="65">
        <f t="shared" si="12"/>
        <v>-70.911158486838161</v>
      </c>
      <c r="O23" s="64">
        <f t="shared" si="13"/>
        <v>90.950365791380449</v>
      </c>
      <c r="P23" s="64">
        <f t="shared" si="14"/>
        <v>-0.95036579138044885</v>
      </c>
      <c r="Q23" s="65">
        <f t="shared" si="15"/>
        <v>-61.33532205569243</v>
      </c>
      <c r="R23" s="64">
        <f t="shared" si="16"/>
        <v>103.13587990037414</v>
      </c>
      <c r="S23" s="59">
        <f t="shared" si="17"/>
        <v>-13.135879900374135</v>
      </c>
      <c r="T23" s="58">
        <f t="shared" si="18"/>
        <v>-78.891755705754591</v>
      </c>
      <c r="U23" s="66"/>
      <c r="V23" s="53"/>
    </row>
    <row r="24" spans="1:27" x14ac:dyDescent="0.2">
      <c r="A24" s="67">
        <v>-106</v>
      </c>
      <c r="B24" s="66">
        <f t="shared" si="0"/>
        <v>-1.8500490071139892</v>
      </c>
      <c r="C24" s="64">
        <f t="shared" si="1"/>
        <v>115.17143422997363</v>
      </c>
      <c r="D24" s="64">
        <f t="shared" si="2"/>
        <v>-25.171434229973627</v>
      </c>
      <c r="E24" s="65">
        <f t="shared" si="3"/>
        <v>-102.99274895916999</v>
      </c>
      <c r="F24" s="64">
        <f t="shared" si="4"/>
        <v>109.66764683054809</v>
      </c>
      <c r="G24" s="64">
        <f t="shared" si="5"/>
        <v>-19.667646830548094</v>
      </c>
      <c r="H24" s="65">
        <f t="shared" si="6"/>
        <v>-91.784151244652449</v>
      </c>
      <c r="I24" s="64">
        <f t="shared" si="7"/>
        <v>103.51817109716762</v>
      </c>
      <c r="J24" s="64">
        <f t="shared" si="8"/>
        <v>-13.518171097167624</v>
      </c>
      <c r="K24" s="65">
        <f t="shared" si="9"/>
        <v>-81.359890915928517</v>
      </c>
      <c r="L24" s="64">
        <f t="shared" si="10"/>
        <v>96.960727145533951</v>
      </c>
      <c r="M24" s="64">
        <f t="shared" si="11"/>
        <v>-6.9607271455339514</v>
      </c>
      <c r="N24" s="65">
        <f t="shared" si="12"/>
        <v>-71.476410508033425</v>
      </c>
      <c r="O24" s="64">
        <f t="shared" si="13"/>
        <v>90.204364748980936</v>
      </c>
      <c r="P24" s="64">
        <f t="shared" si="14"/>
        <v>-0.20436474898093593</v>
      </c>
      <c r="Q24" s="65">
        <f t="shared" si="15"/>
        <v>-61.869315437462546</v>
      </c>
      <c r="R24" s="64">
        <f t="shared" si="16"/>
        <v>102.30292572022262</v>
      </c>
      <c r="S24" s="59">
        <f t="shared" si="17"/>
        <v>-12.302925720222618</v>
      </c>
      <c r="T24" s="58">
        <f t="shared" si="18"/>
        <v>-79.457636307491782</v>
      </c>
      <c r="U24" s="66"/>
      <c r="V24" s="53"/>
    </row>
    <row r="25" spans="1:27" s="54" customFormat="1" x14ac:dyDescent="0.2">
      <c r="A25" s="63">
        <v>-105</v>
      </c>
      <c r="B25" s="62">
        <f t="shared" si="0"/>
        <v>-1.8325957145940461</v>
      </c>
      <c r="C25" s="60">
        <f t="shared" si="1"/>
        <v>114.34583840693968</v>
      </c>
      <c r="D25" s="60">
        <f t="shared" si="2"/>
        <v>-24.345838406939677</v>
      </c>
      <c r="E25" s="61">
        <f t="shared" si="3"/>
        <v>-103.43327965658469</v>
      </c>
      <c r="F25" s="60">
        <f t="shared" si="4"/>
        <v>108.82014123187676</v>
      </c>
      <c r="G25" s="60">
        <f t="shared" si="5"/>
        <v>-18.820141231876761</v>
      </c>
      <c r="H25" s="61">
        <f t="shared" si="6"/>
        <v>-92.303521659072118</v>
      </c>
      <c r="I25" s="60">
        <f t="shared" si="7"/>
        <v>102.67913865291909</v>
      </c>
      <c r="J25" s="60">
        <f t="shared" si="8"/>
        <v>-12.679138652919093</v>
      </c>
      <c r="K25" s="61">
        <f t="shared" si="9"/>
        <v>-81.918512685362543</v>
      </c>
      <c r="L25" s="60">
        <f t="shared" si="10"/>
        <v>96.155307259473389</v>
      </c>
      <c r="M25" s="60">
        <f t="shared" si="11"/>
        <v>-6.1553072594733891</v>
      </c>
      <c r="N25" s="61">
        <f t="shared" si="12"/>
        <v>-72.036860404596339</v>
      </c>
      <c r="O25" s="60">
        <f t="shared" si="13"/>
        <v>89.454655464589678</v>
      </c>
      <c r="P25" s="60">
        <f t="shared" si="14"/>
        <v>0.54534453541032235</v>
      </c>
      <c r="Q25" s="61">
        <f t="shared" si="15"/>
        <v>-62.398064864652873</v>
      </c>
      <c r="R25" s="60">
        <f t="shared" si="16"/>
        <v>101.46844464609175</v>
      </c>
      <c r="S25" s="59">
        <f t="shared" si="17"/>
        <v>-11.468444646091754</v>
      </c>
      <c r="T25" s="58">
        <f t="shared" si="18"/>
        <v>-80.019362199667114</v>
      </c>
      <c r="U25" s="62"/>
      <c r="V25" s="56">
        <f>E25</f>
        <v>-103.43327965658469</v>
      </c>
      <c r="W25" s="55"/>
      <c r="X25" s="55">
        <f>D25</f>
        <v>-24.345838406939677</v>
      </c>
      <c r="Y25" s="55"/>
      <c r="Z25" s="55"/>
      <c r="AA25" s="55"/>
    </row>
    <row r="26" spans="1:27" x14ac:dyDescent="0.2">
      <c r="A26" s="67">
        <v>-104</v>
      </c>
      <c r="B26" s="66">
        <f t="shared" si="0"/>
        <v>-1.8151424220741028</v>
      </c>
      <c r="C26" s="64">
        <f t="shared" si="1"/>
        <v>113.52175825244581</v>
      </c>
      <c r="D26" s="64">
        <f t="shared" si="2"/>
        <v>-23.521758252445807</v>
      </c>
      <c r="E26" s="65">
        <f t="shared" si="3"/>
        <v>-103.87435575696252</v>
      </c>
      <c r="F26" s="64">
        <f t="shared" si="4"/>
        <v>107.97294391793919</v>
      </c>
      <c r="G26" s="64">
        <f t="shared" si="5"/>
        <v>-17.97294391793919</v>
      </c>
      <c r="H26" s="65">
        <f t="shared" si="6"/>
        <v>-92.820841706761982</v>
      </c>
      <c r="I26" s="64">
        <f t="shared" si="7"/>
        <v>101.83894758638962</v>
      </c>
      <c r="J26" s="64">
        <f t="shared" si="8"/>
        <v>-11.838947586389622</v>
      </c>
      <c r="K26" s="65">
        <f t="shared" si="9"/>
        <v>-82.473463010640216</v>
      </c>
      <c r="L26" s="64">
        <f t="shared" si="10"/>
        <v>95.347339433030598</v>
      </c>
      <c r="M26" s="64">
        <f t="shared" si="11"/>
        <v>-5.3473394330305979</v>
      </c>
      <c r="N26" s="65">
        <f t="shared" si="12"/>
        <v>-72.592737307394188</v>
      </c>
      <c r="O26" s="64">
        <f t="shared" si="13"/>
        <v>88.701337534255813</v>
      </c>
      <c r="P26" s="64">
        <f t="shared" si="14"/>
        <v>1.2986624657441865</v>
      </c>
      <c r="Q26" s="65">
        <f t="shared" si="15"/>
        <v>-62.921725590689412</v>
      </c>
      <c r="R26" s="64">
        <f t="shared" si="16"/>
        <v>100.63252750213843</v>
      </c>
      <c r="S26" s="59">
        <f t="shared" si="17"/>
        <v>-10.63252750213843</v>
      </c>
      <c r="T26" s="58">
        <f t="shared" si="18"/>
        <v>-80.577201566665593</v>
      </c>
      <c r="U26" s="66"/>
      <c r="V26" s="53">
        <f>H25</f>
        <v>-92.303521659072118</v>
      </c>
      <c r="X26" s="50">
        <f>G25</f>
        <v>-18.820141231876761</v>
      </c>
    </row>
    <row r="27" spans="1:27" x14ac:dyDescent="0.2">
      <c r="A27" s="67">
        <v>-103</v>
      </c>
      <c r="B27" s="66">
        <f t="shared" si="0"/>
        <v>-1.7976891295541595</v>
      </c>
      <c r="C27" s="64">
        <f t="shared" si="1"/>
        <v>112.6992448135708</v>
      </c>
      <c r="D27" s="64">
        <f t="shared" si="2"/>
        <v>-22.6992448135708</v>
      </c>
      <c r="E27" s="65">
        <f t="shared" si="3"/>
        <v>-104.31614653209525</v>
      </c>
      <c r="F27" s="64">
        <f t="shared" si="4"/>
        <v>107.12612269593988</v>
      </c>
      <c r="G27" s="64">
        <f t="shared" si="5"/>
        <v>-17.126122695939884</v>
      </c>
      <c r="H27" s="65">
        <f t="shared" si="6"/>
        <v>-93.336366783112254</v>
      </c>
      <c r="I27" s="64">
        <f t="shared" si="7"/>
        <v>100.99768384279916</v>
      </c>
      <c r="J27" s="64">
        <f t="shared" si="8"/>
        <v>-10.997683842799162</v>
      </c>
      <c r="K27" s="65">
        <f t="shared" si="9"/>
        <v>-83.025009717801311</v>
      </c>
      <c r="L27" s="64">
        <f t="shared" si="10"/>
        <v>94.536919781886454</v>
      </c>
      <c r="M27" s="64">
        <f t="shared" si="11"/>
        <v>-4.5369197818864535</v>
      </c>
      <c r="N27" s="65">
        <f t="shared" si="12"/>
        <v>-73.144267527444953</v>
      </c>
      <c r="O27" s="64">
        <f t="shared" si="13"/>
        <v>87.944507958322845</v>
      </c>
      <c r="P27" s="64">
        <f t="shared" si="14"/>
        <v>2.0554920416771552</v>
      </c>
      <c r="Q27" s="65">
        <f t="shared" si="15"/>
        <v>-63.440451806007083</v>
      </c>
      <c r="R27" s="64">
        <f t="shared" si="16"/>
        <v>99.795262906800261</v>
      </c>
      <c r="S27" s="59">
        <f t="shared" si="17"/>
        <v>-9.7952629068002608</v>
      </c>
      <c r="T27" s="58">
        <f t="shared" si="18"/>
        <v>-81.131417766640055</v>
      </c>
      <c r="U27" s="66"/>
      <c r="V27" s="53">
        <f>K25</f>
        <v>-81.918512685362543</v>
      </c>
      <c r="X27" s="50">
        <f>J25</f>
        <v>-12.679138652919093</v>
      </c>
    </row>
    <row r="28" spans="1:27" x14ac:dyDescent="0.2">
      <c r="A28" s="67">
        <v>-102</v>
      </c>
      <c r="B28" s="66">
        <f t="shared" si="0"/>
        <v>-1.7802358370342162</v>
      </c>
      <c r="C28" s="64">
        <f t="shared" si="1"/>
        <v>111.87834987624792</v>
      </c>
      <c r="D28" s="64">
        <f t="shared" si="2"/>
        <v>-21.878349876247924</v>
      </c>
      <c r="E28" s="65">
        <f t="shared" si="3"/>
        <v>-104.75881789475375</v>
      </c>
      <c r="F28" s="64">
        <f t="shared" si="4"/>
        <v>106.27974480827979</v>
      </c>
      <c r="G28" s="64">
        <f t="shared" si="5"/>
        <v>-16.279744808279787</v>
      </c>
      <c r="H28" s="65">
        <f t="shared" si="6"/>
        <v>-93.850346383753617</v>
      </c>
      <c r="I28" s="64">
        <f t="shared" si="7"/>
        <v>100.15543150561297</v>
      </c>
      <c r="J28" s="64">
        <f t="shared" si="8"/>
        <v>-10.155431505612967</v>
      </c>
      <c r="K28" s="65">
        <f t="shared" si="9"/>
        <v>-83.573415758794468</v>
      </c>
      <c r="L28" s="64">
        <f t="shared" si="10"/>
        <v>93.724141874429037</v>
      </c>
      <c r="M28" s="64">
        <f t="shared" si="11"/>
        <v>-3.7241418744290371</v>
      </c>
      <c r="N28" s="65">
        <f t="shared" si="12"/>
        <v>-73.691674748164303</v>
      </c>
      <c r="O28" s="64">
        <f t="shared" si="13"/>
        <v>87.184261217639346</v>
      </c>
      <c r="P28" s="64">
        <f t="shared" si="14"/>
        <v>2.8157387823606541</v>
      </c>
      <c r="Q28" s="65">
        <f t="shared" si="15"/>
        <v>-63.954396663892922</v>
      </c>
      <c r="R28" s="64">
        <f t="shared" si="16"/>
        <v>98.956737432012801</v>
      </c>
      <c r="S28" s="59">
        <f t="shared" si="17"/>
        <v>-8.956737432012801</v>
      </c>
      <c r="T28" s="58">
        <f t="shared" si="18"/>
        <v>-81.682269687117369</v>
      </c>
      <c r="U28" s="75"/>
      <c r="V28" s="53">
        <f>N25</f>
        <v>-72.036860404596339</v>
      </c>
      <c r="X28" s="50">
        <f>M25</f>
        <v>-6.1553072594733891</v>
      </c>
      <c r="Y28" s="50"/>
      <c r="Z28" s="50"/>
      <c r="AA28" s="50"/>
    </row>
    <row r="29" spans="1:27" x14ac:dyDescent="0.2">
      <c r="A29" s="67">
        <v>-101</v>
      </c>
      <c r="B29" s="66">
        <f t="shared" si="0"/>
        <v>-1.7627825445142729</v>
      </c>
      <c r="C29" s="64">
        <f t="shared" si="1"/>
        <v>111.05912602380153</v>
      </c>
      <c r="D29" s="64">
        <f t="shared" si="2"/>
        <v>-21.059126023801525</v>
      </c>
      <c r="E29" s="65">
        <f t="shared" si="3"/>
        <v>-105.202532729556</v>
      </c>
      <c r="F29" s="64">
        <f t="shared" si="4"/>
        <v>105.43387705810611</v>
      </c>
      <c r="G29" s="64">
        <f t="shared" si="5"/>
        <v>-15.433877058106106</v>
      </c>
      <c r="H29" s="65">
        <f t="shared" si="6"/>
        <v>-94.363024595239651</v>
      </c>
      <c r="I29" s="64">
        <f t="shared" si="7"/>
        <v>99.312272951621125</v>
      </c>
      <c r="J29" s="64">
        <f t="shared" si="8"/>
        <v>-9.3122729516211251</v>
      </c>
      <c r="K29" s="65">
        <f t="shared" si="9"/>
        <v>-84.118939595921631</v>
      </c>
      <c r="L29" s="64">
        <f t="shared" si="10"/>
        <v>92.909096860685295</v>
      </c>
      <c r="M29" s="64">
        <f t="shared" si="11"/>
        <v>-2.9090968606852954</v>
      </c>
      <c r="N29" s="65">
        <f t="shared" si="12"/>
        <v>-74.23518022359552</v>
      </c>
      <c r="O29" s="64">
        <f t="shared" si="13"/>
        <v>86.420689348914109</v>
      </c>
      <c r="P29" s="64">
        <f t="shared" si="14"/>
        <v>3.5793106510858905</v>
      </c>
      <c r="Q29" s="65">
        <f t="shared" si="15"/>
        <v>-64.463712315404067</v>
      </c>
      <c r="R29" s="64">
        <f t="shared" si="16"/>
        <v>98.117035757139504</v>
      </c>
      <c r="S29" s="59">
        <f t="shared" si="17"/>
        <v>-8.1170357571395044</v>
      </c>
      <c r="T29" s="58">
        <f t="shared" si="18"/>
        <v>-82.230012095629306</v>
      </c>
      <c r="U29" s="66"/>
      <c r="V29" s="53">
        <f>Q25</f>
        <v>-62.398064864652873</v>
      </c>
      <c r="X29" s="50">
        <f>P25</f>
        <v>0.54534453541032235</v>
      </c>
    </row>
    <row r="30" spans="1:27" x14ac:dyDescent="0.2">
      <c r="A30" s="67">
        <v>-100</v>
      </c>
      <c r="B30" s="66">
        <f t="shared" si="0"/>
        <v>-1.7453292519943295</v>
      </c>
      <c r="C30" s="64">
        <f t="shared" si="1"/>
        <v>110.24162669492161</v>
      </c>
      <c r="D30" s="64">
        <f t="shared" si="2"/>
        <v>-20.241626694921607</v>
      </c>
      <c r="E30" s="65">
        <f t="shared" si="3"/>
        <v>-105.64745120248982</v>
      </c>
      <c r="F30" s="64">
        <f t="shared" si="4"/>
        <v>104.58858593068719</v>
      </c>
      <c r="G30" s="64">
        <f t="shared" si="5"/>
        <v>-14.588585930687188</v>
      </c>
      <c r="H30" s="65">
        <f t="shared" si="6"/>
        <v>-94.87464056175024</v>
      </c>
      <c r="I30" s="64">
        <f t="shared" si="7"/>
        <v>98.468289000942733</v>
      </c>
      <c r="J30" s="64">
        <f t="shared" si="8"/>
        <v>-8.4682890009427325</v>
      </c>
      <c r="K30" s="65">
        <f t="shared" si="9"/>
        <v>-84.661835578377207</v>
      </c>
      <c r="L30" s="64">
        <f t="shared" si="10"/>
        <v>92.091873598029764</v>
      </c>
      <c r="M30" s="64">
        <f t="shared" si="11"/>
        <v>-2.091873598029764</v>
      </c>
      <c r="N30" s="65">
        <f t="shared" si="12"/>
        <v>-74.775002982356924</v>
      </c>
      <c r="O30" s="64">
        <f t="shared" si="13"/>
        <v>85.653882019146764</v>
      </c>
      <c r="P30" s="64">
        <f t="shared" si="14"/>
        <v>4.3461179808532364</v>
      </c>
      <c r="Q30" s="65">
        <f t="shared" si="15"/>
        <v>-64.968549953010225</v>
      </c>
      <c r="R30" s="64">
        <f t="shared" si="16"/>
        <v>97.27624081803593</v>
      </c>
      <c r="S30" s="59">
        <f t="shared" si="17"/>
        <v>-7.2762408180359301</v>
      </c>
      <c r="T30" s="58">
        <f t="shared" si="18"/>
        <v>-82.774895985655718</v>
      </c>
      <c r="U30" s="66"/>
      <c r="V30" s="53"/>
      <c r="X30" s="50"/>
    </row>
    <row r="31" spans="1:27" x14ac:dyDescent="0.2">
      <c r="A31" s="67">
        <v>-99</v>
      </c>
      <c r="B31" s="66">
        <f t="shared" si="0"/>
        <v>-1.7278759594743862</v>
      </c>
      <c r="C31" s="64">
        <f t="shared" si="1"/>
        <v>109.4259062412455</v>
      </c>
      <c r="D31" s="64">
        <f t="shared" si="2"/>
        <v>-19.425906241245499</v>
      </c>
      <c r="E31" s="65">
        <f t="shared" si="3"/>
        <v>-106.09373105081572</v>
      </c>
      <c r="F31" s="64">
        <f t="shared" si="4"/>
        <v>103.74393771110002</v>
      </c>
      <c r="G31" s="64">
        <f t="shared" si="5"/>
        <v>-13.743937711100017</v>
      </c>
      <c r="H31" s="65">
        <f t="shared" si="6"/>
        <v>-95.385428929606789</v>
      </c>
      <c r="I31" s="64">
        <f t="shared" si="7"/>
        <v>97.623559062408901</v>
      </c>
      <c r="J31" s="64">
        <f t="shared" si="8"/>
        <v>-7.6235590624089014</v>
      </c>
      <c r="K31" s="65">
        <f t="shared" si="9"/>
        <v>-85.202354311418631</v>
      </c>
      <c r="L31" s="64">
        <f t="shared" si="10"/>
        <v>91.272558773847507</v>
      </c>
      <c r="M31" s="64">
        <f t="shared" si="11"/>
        <v>-1.272558773847507</v>
      </c>
      <c r="N31" s="65">
        <f t="shared" si="12"/>
        <v>-75.311360037124103</v>
      </c>
      <c r="O31" s="64">
        <f t="shared" si="13"/>
        <v>84.883926599079174</v>
      </c>
      <c r="P31" s="64">
        <f t="shared" si="14"/>
        <v>5.1160734009208255</v>
      </c>
      <c r="Q31" s="65">
        <f t="shared" si="15"/>
        <v>-65.469059862659648</v>
      </c>
      <c r="R31" s="64">
        <f t="shared" si="16"/>
        <v>96.434433951658065</v>
      </c>
      <c r="S31" s="59">
        <f t="shared" si="17"/>
        <v>-6.4344339516580646</v>
      </c>
      <c r="T31" s="58">
        <f t="shared" si="18"/>
        <v>-83.31716891821641</v>
      </c>
      <c r="U31" s="66"/>
      <c r="V31" s="53"/>
      <c r="X31" s="50"/>
      <c r="Y31" s="50"/>
      <c r="Z31" s="50"/>
      <c r="AA31" s="50"/>
    </row>
    <row r="32" spans="1:27" x14ac:dyDescent="0.2">
      <c r="A32" s="67">
        <v>-98</v>
      </c>
      <c r="B32" s="66">
        <f t="shared" si="0"/>
        <v>-1.7104226669544429</v>
      </c>
      <c r="C32" s="64">
        <f t="shared" si="1"/>
        <v>108.61201998470196</v>
      </c>
      <c r="D32" s="64">
        <f t="shared" si="2"/>
        <v>-18.612019984701959</v>
      </c>
      <c r="E32" s="65">
        <f t="shared" si="3"/>
        <v>-106.54152785490206</v>
      </c>
      <c r="F32" s="64">
        <f t="shared" si="4"/>
        <v>102.89999859868669</v>
      </c>
      <c r="G32" s="64">
        <f t="shared" si="5"/>
        <v>-12.899998598686693</v>
      </c>
      <c r="H32" s="65">
        <f t="shared" si="6"/>
        <v>-95.895620271262544</v>
      </c>
      <c r="I32" s="64">
        <f t="shared" si="7"/>
        <v>96.778161274762596</v>
      </c>
      <c r="J32" s="64">
        <f t="shared" si="8"/>
        <v>-6.7781612747625957</v>
      </c>
      <c r="K32" s="65">
        <f t="shared" si="9"/>
        <v>-85.740743018727571</v>
      </c>
      <c r="L32" s="64">
        <f t="shared" si="10"/>
        <v>90.4512370253358</v>
      </c>
      <c r="M32" s="64">
        <f t="shared" si="11"/>
        <v>-0.45123702533580001</v>
      </c>
      <c r="N32" s="65">
        <f t="shared" si="12"/>
        <v>-75.844466599543082</v>
      </c>
      <c r="O32" s="64">
        <f t="shared" si="13"/>
        <v>84.110908235625573</v>
      </c>
      <c r="P32" s="64">
        <f t="shared" si="14"/>
        <v>5.8890917643744274</v>
      </c>
      <c r="Q32" s="65">
        <f t="shared" si="15"/>
        <v>-65.965391484017729</v>
      </c>
      <c r="R32" s="64">
        <f t="shared" si="16"/>
        <v>95.591695036615207</v>
      </c>
      <c r="S32" s="59">
        <f t="shared" si="17"/>
        <v>-5.5916950366152065</v>
      </c>
      <c r="T32" s="58">
        <f t="shared" si="18"/>
        <v>-83.857075359490452</v>
      </c>
      <c r="U32" s="66"/>
      <c r="V32" s="53"/>
      <c r="X32" s="50"/>
    </row>
    <row r="33" spans="1:27" x14ac:dyDescent="0.2">
      <c r="A33" s="67">
        <v>-97</v>
      </c>
      <c r="B33" s="66">
        <f t="shared" si="0"/>
        <v>-1.6929693744344996</v>
      </c>
      <c r="C33" s="64">
        <f t="shared" si="1"/>
        <v>107.80002427476148</v>
      </c>
      <c r="D33" s="64">
        <f t="shared" si="2"/>
        <v>-17.800024274761483</v>
      </c>
      <c r="E33" s="65">
        <f t="shared" si="3"/>
        <v>-106.99099529338839</v>
      </c>
      <c r="F33" s="64">
        <f t="shared" si="4"/>
        <v>102.05683481870832</v>
      </c>
      <c r="G33" s="64">
        <f t="shared" si="5"/>
        <v>-12.056834818708325</v>
      </c>
      <c r="H33" s="65">
        <f t="shared" si="6"/>
        <v>-96.405441490311162</v>
      </c>
      <c r="I33" s="64">
        <f t="shared" si="7"/>
        <v>95.932172644100532</v>
      </c>
      <c r="J33" s="64">
        <f t="shared" si="8"/>
        <v>-5.9321726441005325</v>
      </c>
      <c r="K33" s="65">
        <f t="shared" si="9"/>
        <v>-86.277245898539562</v>
      </c>
      <c r="L33" s="64">
        <f t="shared" si="10"/>
        <v>89.627991056635693</v>
      </c>
      <c r="M33" s="64">
        <f t="shared" si="11"/>
        <v>0.37200894336430679</v>
      </c>
      <c r="N33" s="65">
        <f t="shared" si="12"/>
        <v>-76.37453630054388</v>
      </c>
      <c r="O33" s="64">
        <f t="shared" si="13"/>
        <v>83.334909923251075</v>
      </c>
      <c r="P33" s="64">
        <f t="shared" si="14"/>
        <v>6.6650900767489247</v>
      </c>
      <c r="Q33" s="65">
        <f t="shared" si="15"/>
        <v>-66.457693478677399</v>
      </c>
      <c r="R33" s="64">
        <f t="shared" si="16"/>
        <v>94.748102630057573</v>
      </c>
      <c r="S33" s="59">
        <f t="shared" si="17"/>
        <v>-4.7481026300575735</v>
      </c>
      <c r="T33" s="58">
        <f t="shared" si="18"/>
        <v>-84.394857014878724</v>
      </c>
      <c r="U33" s="66"/>
      <c r="V33" s="53"/>
      <c r="X33" s="50"/>
    </row>
    <row r="34" spans="1:27" x14ac:dyDescent="0.2">
      <c r="A34" s="67">
        <v>-96</v>
      </c>
      <c r="B34" s="66">
        <f t="shared" si="0"/>
        <v>-1.6755160819145565</v>
      </c>
      <c r="C34" s="64">
        <f t="shared" si="1"/>
        <v>106.98997654572521</v>
      </c>
      <c r="D34" s="64">
        <f t="shared" si="2"/>
        <v>-16.989976545725213</v>
      </c>
      <c r="E34" s="65">
        <f t="shared" si="3"/>
        <v>-107.44228538293135</v>
      </c>
      <c r="F34" s="64">
        <f t="shared" si="4"/>
        <v>101.21451273159899</v>
      </c>
      <c r="G34" s="64">
        <f t="shared" si="5"/>
        <v>-11.214512731598987</v>
      </c>
      <c r="H34" s="65">
        <f t="shared" si="6"/>
        <v>-96.915116208944909</v>
      </c>
      <c r="I34" s="64">
        <f t="shared" si="7"/>
        <v>95.085669177968441</v>
      </c>
      <c r="J34" s="64">
        <f t="shared" si="8"/>
        <v>-5.0856691779684411</v>
      </c>
      <c r="K34" s="65">
        <f t="shared" si="9"/>
        <v>-86.812104474135054</v>
      </c>
      <c r="L34" s="64">
        <f t="shared" si="10"/>
        <v>88.802901753490886</v>
      </c>
      <c r="M34" s="64">
        <f t="shared" si="11"/>
        <v>1.197098246509114</v>
      </c>
      <c r="N34" s="65">
        <f t="shared" si="12"/>
        <v>-76.901781416095858</v>
      </c>
      <c r="O34" s="64">
        <f t="shared" si="13"/>
        <v>82.556012574279734</v>
      </c>
      <c r="P34" s="64">
        <f t="shared" si="14"/>
        <v>7.4439874257202661</v>
      </c>
      <c r="Q34" s="65">
        <f t="shared" si="15"/>
        <v>-66.946113806189814</v>
      </c>
      <c r="R34" s="64">
        <f t="shared" si="16"/>
        <v>93.903734101281202</v>
      </c>
      <c r="S34" s="59">
        <f t="shared" si="17"/>
        <v>-3.9037341012812021</v>
      </c>
      <c r="T34" s="58">
        <f t="shared" si="18"/>
        <v>-84.93075315995803</v>
      </c>
      <c r="U34" s="66"/>
      <c r="V34" s="53"/>
      <c r="X34" s="50"/>
      <c r="Y34" s="50"/>
      <c r="Z34" s="50"/>
      <c r="AA34" s="50"/>
    </row>
    <row r="35" spans="1:27" x14ac:dyDescent="0.2">
      <c r="A35" s="67">
        <v>-95</v>
      </c>
      <c r="B35" s="66">
        <f t="shared" si="0"/>
        <v>-1.6580627893946132</v>
      </c>
      <c r="C35" s="64">
        <f t="shared" si="1"/>
        <v>106.18193537417511</v>
      </c>
      <c r="D35" s="64">
        <f t="shared" si="2"/>
        <v>-16.181935374175112</v>
      </c>
      <c r="E35" s="65">
        <f t="shared" si="3"/>
        <v>-107.89554870365771</v>
      </c>
      <c r="F35" s="64">
        <f t="shared" si="4"/>
        <v>100.37309894020001</v>
      </c>
      <c r="G35" s="64">
        <f t="shared" si="5"/>
        <v>-10.373098940200009</v>
      </c>
      <c r="H35" s="65">
        <f t="shared" si="6"/>
        <v>-97.42486513918935</v>
      </c>
      <c r="I35" s="64">
        <f t="shared" si="7"/>
        <v>94.23872601651091</v>
      </c>
      <c r="J35" s="64">
        <f t="shared" si="8"/>
        <v>-4.2387260165109097</v>
      </c>
      <c r="K35" s="65">
        <f t="shared" si="9"/>
        <v>-87.345557939296015</v>
      </c>
      <c r="L35" s="64">
        <f t="shared" si="10"/>
        <v>87.976048295636986</v>
      </c>
      <c r="M35" s="64">
        <f t="shared" si="11"/>
        <v>2.0239517043630144</v>
      </c>
      <c r="N35" s="65">
        <f t="shared" si="12"/>
        <v>-77.426413098513251</v>
      </c>
      <c r="O35" s="64">
        <f t="shared" si="13"/>
        <v>81.774295088122656</v>
      </c>
      <c r="P35" s="64">
        <f t="shared" si="14"/>
        <v>8.2257049118773438</v>
      </c>
      <c r="Q35" s="65">
        <f t="shared" si="15"/>
        <v>-67.430799807814466</v>
      </c>
      <c r="R35" s="64">
        <f t="shared" si="16"/>
        <v>93.058665762423828</v>
      </c>
      <c r="S35" s="59">
        <f t="shared" si="17"/>
        <v>-3.0586657624238285</v>
      </c>
      <c r="T35" s="58">
        <f t="shared" si="18"/>
        <v>-85.465000968804262</v>
      </c>
      <c r="U35" s="66"/>
      <c r="V35" s="53"/>
      <c r="Y35" s="50"/>
    </row>
    <row r="36" spans="1:27" x14ac:dyDescent="0.2">
      <c r="A36" s="67">
        <v>-94</v>
      </c>
      <c r="B36" s="66">
        <f t="shared" si="0"/>
        <v>-1.6406094968746698</v>
      </c>
      <c r="C36" s="64">
        <f t="shared" si="1"/>
        <v>105.3759605366986</v>
      </c>
      <c r="D36" s="64">
        <f t="shared" si="2"/>
        <v>-15.375960536698599</v>
      </c>
      <c r="E36" s="65">
        <f t="shared" si="3"/>
        <v>-108.35093461133295</v>
      </c>
      <c r="F36" s="64">
        <f t="shared" si="4"/>
        <v>99.532660395334062</v>
      </c>
      <c r="G36" s="64">
        <f t="shared" si="5"/>
        <v>-9.5326603953340623</v>
      </c>
      <c r="H36" s="65">
        <f t="shared" si="6"/>
        <v>-97.934906439143134</v>
      </c>
      <c r="I36" s="64">
        <f t="shared" si="7"/>
        <v>93.391417561065538</v>
      </c>
      <c r="J36" s="64">
        <f t="shared" si="8"/>
        <v>-3.3914175610655377</v>
      </c>
      <c r="K36" s="65">
        <f t="shared" si="9"/>
        <v>-87.877843499342092</v>
      </c>
      <c r="L36" s="64">
        <f t="shared" si="10"/>
        <v>87.147508267129865</v>
      </c>
      <c r="M36" s="64">
        <f t="shared" si="11"/>
        <v>2.8524917328701349</v>
      </c>
      <c r="N36" s="65">
        <f t="shared" si="12"/>
        <v>-77.948641613485975</v>
      </c>
      <c r="O36" s="64">
        <f t="shared" si="13"/>
        <v>80.989834419427325</v>
      </c>
      <c r="P36" s="64">
        <f t="shared" si="14"/>
        <v>9.010165580572675</v>
      </c>
      <c r="Q36" s="65">
        <f t="shared" si="15"/>
        <v>-67.911898297938151</v>
      </c>
      <c r="R36" s="64">
        <f t="shared" si="16"/>
        <v>92.212972996619598</v>
      </c>
      <c r="S36" s="59">
        <f t="shared" si="17"/>
        <v>-2.2129729966195981</v>
      </c>
      <c r="T36" s="58">
        <f t="shared" si="18"/>
        <v>-85.997835840187804</v>
      </c>
      <c r="U36" s="66"/>
      <c r="V36" s="53"/>
      <c r="Y36" s="50"/>
    </row>
    <row r="37" spans="1:27" x14ac:dyDescent="0.2">
      <c r="A37" s="67">
        <v>-93</v>
      </c>
      <c r="B37" s="66">
        <f t="shared" si="0"/>
        <v>-1.6231562043547265</v>
      </c>
      <c r="C37" s="64">
        <f t="shared" si="1"/>
        <v>104.57211306799223</v>
      </c>
      <c r="D37" s="64">
        <f t="shared" si="2"/>
        <v>-14.572113067992234</v>
      </c>
      <c r="E37" s="65">
        <f t="shared" si="3"/>
        <v>-108.80859143714451</v>
      </c>
      <c r="F37" s="64">
        <f t="shared" si="4"/>
        <v>98.693264500059726</v>
      </c>
      <c r="G37" s="64">
        <f t="shared" si="5"/>
        <v>-8.6932645000597262</v>
      </c>
      <c r="H37" s="65">
        <f t="shared" si="6"/>
        <v>-98.445456055360197</v>
      </c>
      <c r="I37" s="64">
        <f t="shared" si="7"/>
        <v>92.543817600583552</v>
      </c>
      <c r="J37" s="64">
        <f t="shared" si="8"/>
        <v>-2.5438176005835516</v>
      </c>
      <c r="K37" s="65">
        <f t="shared" si="9"/>
        <v>-88.409196708366579</v>
      </c>
      <c r="L37" s="64">
        <f t="shared" si="10"/>
        <v>86.317357764827406</v>
      </c>
      <c r="M37" s="64">
        <f t="shared" si="11"/>
        <v>3.6826422351725938</v>
      </c>
      <c r="N37" s="65">
        <f t="shared" si="12"/>
        <v>-78.468676583073972</v>
      </c>
      <c r="O37" s="64">
        <f t="shared" si="13"/>
        <v>80.202705645156925</v>
      </c>
      <c r="P37" s="64">
        <f t="shared" si="14"/>
        <v>9.7972943548430749</v>
      </c>
      <c r="Q37" s="65">
        <f t="shared" si="15"/>
        <v>-68.389555663163449</v>
      </c>
      <c r="R37" s="64">
        <f t="shared" si="16"/>
        <v>91.3667303839742</v>
      </c>
      <c r="S37" s="59">
        <f t="shared" si="17"/>
        <v>-1.3667303839742004</v>
      </c>
      <c r="T37" s="58">
        <f t="shared" si="18"/>
        <v>-86.529491722167094</v>
      </c>
      <c r="U37" s="66"/>
      <c r="V37" s="53"/>
      <c r="W37" s="49"/>
      <c r="X37" s="50"/>
      <c r="Y37" s="50"/>
      <c r="Z37" s="50"/>
      <c r="AA37" s="50"/>
    </row>
    <row r="38" spans="1:27" x14ac:dyDescent="0.2">
      <c r="A38" s="67">
        <v>-92</v>
      </c>
      <c r="B38" s="66">
        <f t="shared" si="0"/>
        <v>-1.6057029118347832</v>
      </c>
      <c r="C38" s="64">
        <f t="shared" si="1"/>
        <v>103.77045531944135</v>
      </c>
      <c r="D38" s="64">
        <f t="shared" si="2"/>
        <v>-13.770455319441353</v>
      </c>
      <c r="E38" s="65">
        <f t="shared" si="3"/>
        <v>-109.26866667590146</v>
      </c>
      <c r="F38" s="64">
        <f t="shared" si="4"/>
        <v>97.854979212931113</v>
      </c>
      <c r="G38" s="64">
        <f t="shared" si="5"/>
        <v>-7.8549792129311129</v>
      </c>
      <c r="H38" s="65">
        <f t="shared" si="6"/>
        <v>-98.956728052424467</v>
      </c>
      <c r="I38" s="64">
        <f t="shared" si="7"/>
        <v>91.695999436250204</v>
      </c>
      <c r="J38" s="64">
        <f t="shared" si="8"/>
        <v>-1.6959994362502044</v>
      </c>
      <c r="K38" s="65">
        <f t="shared" si="9"/>
        <v>-88.939851803299419</v>
      </c>
      <c r="L38" s="64">
        <f t="shared" si="10"/>
        <v>85.48567150524471</v>
      </c>
      <c r="M38" s="64">
        <f t="shared" si="11"/>
        <v>4.51432849475529</v>
      </c>
      <c r="N38" s="65">
        <f t="shared" si="12"/>
        <v>-78.986727234966722</v>
      </c>
      <c r="O38" s="64">
        <f t="shared" si="13"/>
        <v>79.412982030618167</v>
      </c>
      <c r="P38" s="64">
        <f t="shared" si="14"/>
        <v>10.587017969381833</v>
      </c>
      <c r="Q38" s="65">
        <f t="shared" si="15"/>
        <v>-68.863917969119498</v>
      </c>
      <c r="R38" s="64">
        <f t="shared" si="16"/>
        <v>90.520011825717376</v>
      </c>
      <c r="S38" s="59">
        <f t="shared" si="17"/>
        <v>-0.52001182571737559</v>
      </c>
      <c r="T38" s="58">
        <f t="shared" si="18"/>
        <v>-87.060201435627931</v>
      </c>
      <c r="U38" s="66"/>
      <c r="V38" s="53"/>
      <c r="Y38" s="50"/>
    </row>
    <row r="39" spans="1:27" x14ac:dyDescent="0.2">
      <c r="A39" s="67">
        <v>-91</v>
      </c>
      <c r="B39" s="66">
        <f t="shared" si="0"/>
        <v>-1.5882496193148399</v>
      </c>
      <c r="C39" s="64">
        <f t="shared" si="1"/>
        <v>102.97105101826429</v>
      </c>
      <c r="D39" s="64">
        <f t="shared" si="2"/>
        <v>-12.971051018264291</v>
      </c>
      <c r="E39" s="65">
        <f t="shared" si="3"/>
        <v>-109.7313071633598</v>
      </c>
      <c r="F39" s="64">
        <f t="shared" si="4"/>
        <v>97.017873150571376</v>
      </c>
      <c r="G39" s="64">
        <f t="shared" si="5"/>
        <v>-7.0178731505713756</v>
      </c>
      <c r="H39" s="65">
        <f t="shared" si="6"/>
        <v>-99.468934930685776</v>
      </c>
      <c r="I39" s="64">
        <f t="shared" si="7"/>
        <v>90.848036004673006</v>
      </c>
      <c r="J39" s="64">
        <f t="shared" si="8"/>
        <v>-0.84803600467300555</v>
      </c>
      <c r="K39" s="65">
        <f t="shared" si="9"/>
        <v>-89.470042035426559</v>
      </c>
      <c r="L39" s="64">
        <f t="shared" si="10"/>
        <v>84.652522930008615</v>
      </c>
      <c r="M39" s="64">
        <f t="shared" si="11"/>
        <v>5.3474770699913847</v>
      </c>
      <c r="N39" s="65">
        <f t="shared" si="12"/>
        <v>-79.503002658370875</v>
      </c>
      <c r="O39" s="64">
        <f t="shared" si="13"/>
        <v>78.62073509446283</v>
      </c>
      <c r="P39" s="64">
        <f t="shared" si="14"/>
        <v>11.37926490553717</v>
      </c>
      <c r="Q39" s="65">
        <f t="shared" si="15"/>
        <v>-69.335131075101657</v>
      </c>
      <c r="R39" s="64">
        <f t="shared" si="16"/>
        <v>89.672890666886275</v>
      </c>
      <c r="S39" s="59">
        <f t="shared" si="17"/>
        <v>0.32710933311372514</v>
      </c>
      <c r="T39" s="58">
        <f t="shared" si="18"/>
        <v>-87.590196997334502</v>
      </c>
      <c r="U39" s="66"/>
      <c r="V39" s="53"/>
      <c r="Z39" s="50"/>
    </row>
    <row r="40" spans="1:27" s="54" customFormat="1" x14ac:dyDescent="0.2">
      <c r="A40" s="63">
        <v>-90</v>
      </c>
      <c r="B40" s="62">
        <f t="shared" si="0"/>
        <v>-1.5707963267948966</v>
      </c>
      <c r="C40" s="60">
        <f t="shared" si="1"/>
        <v>102.17396532730339</v>
      </c>
      <c r="D40" s="60">
        <f t="shared" si="2"/>
        <v>-12.173965327303392</v>
      </c>
      <c r="E40" s="61">
        <f t="shared" si="3"/>
        <v>-110.19665924329928</v>
      </c>
      <c r="F40" s="60">
        <f t="shared" si="4"/>
        <v>96.1820156898563</v>
      </c>
      <c r="G40" s="60">
        <f t="shared" si="5"/>
        <v>-6.1820156898562999</v>
      </c>
      <c r="H40" s="61">
        <f t="shared" si="6"/>
        <v>-99.982287933048354</v>
      </c>
      <c r="I40" s="60">
        <f t="shared" si="7"/>
        <v>90</v>
      </c>
      <c r="J40" s="60">
        <f t="shared" si="8"/>
        <v>0</v>
      </c>
      <c r="K40" s="61">
        <f t="shared" si="9"/>
        <v>-90</v>
      </c>
      <c r="L40" s="60">
        <f t="shared" si="10"/>
        <v>83.8179843101437</v>
      </c>
      <c r="M40" s="60">
        <f t="shared" si="11"/>
        <v>6.1820156898562999</v>
      </c>
      <c r="N40" s="61">
        <f t="shared" si="12"/>
        <v>-80.017712066951646</v>
      </c>
      <c r="O40" s="60">
        <f t="shared" si="13"/>
        <v>77.826034672696608</v>
      </c>
      <c r="P40" s="60">
        <f t="shared" si="14"/>
        <v>12.173965327303392</v>
      </c>
      <c r="Q40" s="61">
        <f t="shared" si="15"/>
        <v>-69.80334075670072</v>
      </c>
      <c r="R40" s="60">
        <f t="shared" si="16"/>
        <v>88.825439817890214</v>
      </c>
      <c r="S40" s="59">
        <f t="shared" si="17"/>
        <v>1.1745601821097864</v>
      </c>
      <c r="T40" s="58">
        <f t="shared" si="18"/>
        <v>-88.119709943076757</v>
      </c>
      <c r="U40" s="62"/>
      <c r="V40" s="56">
        <f>E40</f>
        <v>-110.19665924329928</v>
      </c>
      <c r="X40" s="55"/>
      <c r="Y40" s="55">
        <f>D40</f>
        <v>-12.173965327303392</v>
      </c>
      <c r="Z40" s="55"/>
      <c r="AA40" s="55"/>
    </row>
    <row r="41" spans="1:27" x14ac:dyDescent="0.2">
      <c r="A41" s="67">
        <v>-89</v>
      </c>
      <c r="B41" s="66">
        <f t="shared" si="0"/>
        <v>-1.5533430342749532</v>
      </c>
      <c r="C41" s="64">
        <f t="shared" si="1"/>
        <v>101.37926490553717</v>
      </c>
      <c r="D41" s="64">
        <f t="shared" si="2"/>
        <v>-11.37926490553717</v>
      </c>
      <c r="E41" s="65">
        <f t="shared" si="3"/>
        <v>-110.66486892489834</v>
      </c>
      <c r="F41" s="64">
        <f t="shared" si="4"/>
        <v>95.347477069991385</v>
      </c>
      <c r="G41" s="64">
        <f t="shared" si="5"/>
        <v>-5.3474770699913847</v>
      </c>
      <c r="H41" s="65">
        <f t="shared" si="6"/>
        <v>-100.49699734162913</v>
      </c>
      <c r="I41" s="64">
        <f t="shared" si="7"/>
        <v>89.151963995326994</v>
      </c>
      <c r="J41" s="64">
        <f t="shared" si="8"/>
        <v>0.84803600467300555</v>
      </c>
      <c r="K41" s="65">
        <f t="shared" si="9"/>
        <v>-90.529957964573427</v>
      </c>
      <c r="L41" s="64">
        <f t="shared" si="10"/>
        <v>82.982126849428624</v>
      </c>
      <c r="M41" s="64">
        <f t="shared" si="11"/>
        <v>7.0178731505713756</v>
      </c>
      <c r="N41" s="65">
        <f t="shared" si="12"/>
        <v>-80.531065069314224</v>
      </c>
      <c r="O41" s="64">
        <f t="shared" si="13"/>
        <v>77.028948981735709</v>
      </c>
      <c r="P41" s="64">
        <f t="shared" si="14"/>
        <v>12.971051018264291</v>
      </c>
      <c r="Q41" s="65">
        <f t="shared" si="15"/>
        <v>-70.268692836640199</v>
      </c>
      <c r="R41" s="64">
        <f t="shared" si="16"/>
        <v>87.977731875306475</v>
      </c>
      <c r="S41" s="59">
        <f t="shared" si="17"/>
        <v>2.0222681246935252</v>
      </c>
      <c r="T41" s="58">
        <f t="shared" si="18"/>
        <v>-88.648971651514572</v>
      </c>
      <c r="U41" s="66"/>
      <c r="V41" s="53">
        <f>H40</f>
        <v>-99.982287933048354</v>
      </c>
      <c r="Y41" s="50">
        <f>G40</f>
        <v>-6.1820156898562999</v>
      </c>
      <c r="Z41" s="50"/>
    </row>
    <row r="42" spans="1:27" x14ac:dyDescent="0.2">
      <c r="A42" s="67">
        <v>-88</v>
      </c>
      <c r="B42" s="66">
        <f t="shared" si="0"/>
        <v>-1.5358897417550099</v>
      </c>
      <c r="C42" s="64">
        <f t="shared" si="1"/>
        <v>100.58701796938182</v>
      </c>
      <c r="D42" s="64">
        <f t="shared" si="2"/>
        <v>-10.587017969381819</v>
      </c>
      <c r="E42" s="65">
        <f t="shared" si="3"/>
        <v>-111.1360820308805</v>
      </c>
      <c r="F42" s="64">
        <f t="shared" si="4"/>
        <v>94.514328494755276</v>
      </c>
      <c r="G42" s="64">
        <f t="shared" si="5"/>
        <v>-4.5143284947552758</v>
      </c>
      <c r="H42" s="65">
        <f t="shared" si="6"/>
        <v>-101.01327276503329</v>
      </c>
      <c r="I42" s="64">
        <f t="shared" si="7"/>
        <v>88.304000563749781</v>
      </c>
      <c r="J42" s="64">
        <f t="shared" si="8"/>
        <v>1.6959994362502187</v>
      </c>
      <c r="K42" s="65">
        <f t="shared" si="9"/>
        <v>-91.060148196700581</v>
      </c>
      <c r="L42" s="64">
        <f t="shared" si="10"/>
        <v>82.145020787068873</v>
      </c>
      <c r="M42" s="64">
        <f t="shared" si="11"/>
        <v>7.8549792129311271</v>
      </c>
      <c r="N42" s="65">
        <f t="shared" si="12"/>
        <v>-81.043271947575548</v>
      </c>
      <c r="O42" s="64">
        <f t="shared" si="13"/>
        <v>76.229544680558647</v>
      </c>
      <c r="P42" s="64">
        <f t="shared" si="14"/>
        <v>13.770455319441353</v>
      </c>
      <c r="Q42" s="65">
        <f t="shared" si="15"/>
        <v>-70.731333324098543</v>
      </c>
      <c r="R42" s="64">
        <f t="shared" si="16"/>
        <v>87.129839242256111</v>
      </c>
      <c r="S42" s="59">
        <f t="shared" si="17"/>
        <v>2.8701607577438892</v>
      </c>
      <c r="T42" s="58">
        <f t="shared" si="18"/>
        <v>-89.178213669335548</v>
      </c>
      <c r="U42" s="66"/>
      <c r="V42" s="53">
        <f>K40</f>
        <v>-90</v>
      </c>
      <c r="Y42" s="50">
        <f>J40</f>
        <v>0</v>
      </c>
      <c r="Z42" s="50"/>
    </row>
    <row r="43" spans="1:27" x14ac:dyDescent="0.2">
      <c r="A43" s="67">
        <v>-87</v>
      </c>
      <c r="B43" s="66">
        <f t="shared" si="0"/>
        <v>-1.5184364492350666</v>
      </c>
      <c r="C43" s="64">
        <f t="shared" si="1"/>
        <v>99.797294354843075</v>
      </c>
      <c r="D43" s="64">
        <f t="shared" si="2"/>
        <v>-9.7972943548430749</v>
      </c>
      <c r="E43" s="65">
        <f t="shared" si="3"/>
        <v>-111.61044433683655</v>
      </c>
      <c r="F43" s="64">
        <f t="shared" si="4"/>
        <v>93.68264223517258</v>
      </c>
      <c r="G43" s="64">
        <f t="shared" si="5"/>
        <v>-3.6826422351725796</v>
      </c>
      <c r="H43" s="65">
        <f t="shared" si="6"/>
        <v>-101.53132341692604</v>
      </c>
      <c r="I43" s="64">
        <f t="shared" si="7"/>
        <v>87.456182399416434</v>
      </c>
      <c r="J43" s="64">
        <f t="shared" si="8"/>
        <v>2.5438176005835658</v>
      </c>
      <c r="K43" s="65">
        <f t="shared" si="9"/>
        <v>-91.590803291633421</v>
      </c>
      <c r="L43" s="64">
        <f t="shared" si="10"/>
        <v>81.30673549994026</v>
      </c>
      <c r="M43" s="64">
        <f t="shared" si="11"/>
        <v>8.6932645000597404</v>
      </c>
      <c r="N43" s="65">
        <f t="shared" si="12"/>
        <v>-81.554543944639818</v>
      </c>
      <c r="O43" s="64">
        <f t="shared" si="13"/>
        <v>75.427886932007766</v>
      </c>
      <c r="P43" s="64">
        <f t="shared" si="14"/>
        <v>14.572113067992234</v>
      </c>
      <c r="Q43" s="65">
        <f t="shared" si="15"/>
        <v>-71.191408562855486</v>
      </c>
      <c r="R43" s="64">
        <f t="shared" si="16"/>
        <v>86.281834248709984</v>
      </c>
      <c r="S43" s="59">
        <f t="shared" si="17"/>
        <v>3.7181657512900159</v>
      </c>
      <c r="T43" s="58">
        <f t="shared" si="18"/>
        <v>-89.70766803835815</v>
      </c>
      <c r="U43" s="66"/>
      <c r="V43" s="53">
        <f>N40</f>
        <v>-80.017712066951646</v>
      </c>
      <c r="W43" s="49"/>
      <c r="X43" s="50"/>
      <c r="Y43" s="50">
        <f>M40</f>
        <v>6.1820156898562999</v>
      </c>
      <c r="Z43" s="50"/>
      <c r="AA43" s="50"/>
    </row>
    <row r="44" spans="1:27" x14ac:dyDescent="0.2">
      <c r="A44" s="67">
        <v>-86</v>
      </c>
      <c r="B44" s="66">
        <f t="shared" si="0"/>
        <v>-1.5009831567151235</v>
      </c>
      <c r="C44" s="64">
        <f t="shared" si="1"/>
        <v>99.010165580572689</v>
      </c>
      <c r="D44" s="64">
        <f t="shared" si="2"/>
        <v>-9.0101655805726892</v>
      </c>
      <c r="E44" s="65">
        <f t="shared" si="3"/>
        <v>-112.08810170206183</v>
      </c>
      <c r="F44" s="64">
        <f t="shared" si="4"/>
        <v>92.852491732870135</v>
      </c>
      <c r="G44" s="64">
        <f t="shared" si="5"/>
        <v>-2.8524917328701349</v>
      </c>
      <c r="H44" s="65">
        <f t="shared" si="6"/>
        <v>-102.05135838651402</v>
      </c>
      <c r="I44" s="64">
        <f t="shared" si="7"/>
        <v>86.608582438934462</v>
      </c>
      <c r="J44" s="64">
        <f t="shared" si="8"/>
        <v>3.3914175610655377</v>
      </c>
      <c r="K44" s="65">
        <f t="shared" si="9"/>
        <v>-92.122156500657908</v>
      </c>
      <c r="L44" s="64">
        <f t="shared" si="10"/>
        <v>80.467339604665938</v>
      </c>
      <c r="M44" s="64">
        <f t="shared" si="11"/>
        <v>9.5326603953340623</v>
      </c>
      <c r="N44" s="65">
        <f t="shared" si="12"/>
        <v>-82.065093560856866</v>
      </c>
      <c r="O44" s="64">
        <f t="shared" si="13"/>
        <v>74.624039463301401</v>
      </c>
      <c r="P44" s="64">
        <f t="shared" si="14"/>
        <v>15.375960536698599</v>
      </c>
      <c r="Q44" s="65">
        <f t="shared" si="15"/>
        <v>-71.649065388667054</v>
      </c>
      <c r="R44" s="64">
        <f t="shared" si="16"/>
        <v>85.433789272077362</v>
      </c>
      <c r="S44" s="59">
        <f t="shared" si="17"/>
        <v>4.5662107279226376</v>
      </c>
      <c r="T44" s="58">
        <f t="shared" si="18"/>
        <v>-90.237567625225978</v>
      </c>
      <c r="U44" s="66"/>
      <c r="V44" s="53">
        <f>Q40</f>
        <v>-69.80334075670072</v>
      </c>
      <c r="Y44" s="50">
        <f>P40</f>
        <v>12.173965327303392</v>
      </c>
      <c r="AA44" s="50"/>
    </row>
    <row r="45" spans="1:27" x14ac:dyDescent="0.2">
      <c r="A45" s="67">
        <v>-85</v>
      </c>
      <c r="B45" s="66">
        <f t="shared" si="0"/>
        <v>-1.4835298641951802</v>
      </c>
      <c r="C45" s="64">
        <f t="shared" si="1"/>
        <v>98.22570491187733</v>
      </c>
      <c r="D45" s="64">
        <f t="shared" si="2"/>
        <v>-8.2257049118773296</v>
      </c>
      <c r="E45" s="65">
        <f t="shared" si="3"/>
        <v>-112.56920019218553</v>
      </c>
      <c r="F45" s="64">
        <f t="shared" si="4"/>
        <v>92.023951704363</v>
      </c>
      <c r="G45" s="64">
        <f t="shared" si="5"/>
        <v>-2.0239517043630002</v>
      </c>
      <c r="H45" s="65">
        <f t="shared" si="6"/>
        <v>-102.57358690148675</v>
      </c>
      <c r="I45" s="64">
        <f t="shared" si="7"/>
        <v>85.761273983489104</v>
      </c>
      <c r="J45" s="64">
        <f t="shared" si="8"/>
        <v>4.2387260165108955</v>
      </c>
      <c r="K45" s="65">
        <f t="shared" si="9"/>
        <v>-92.654442060703971</v>
      </c>
      <c r="L45" s="64">
        <f t="shared" si="10"/>
        <v>79.626901059799991</v>
      </c>
      <c r="M45" s="64">
        <f t="shared" si="11"/>
        <v>10.373098940200009</v>
      </c>
      <c r="N45" s="65">
        <f t="shared" si="12"/>
        <v>-82.57513486081065</v>
      </c>
      <c r="O45" s="64">
        <f t="shared" si="13"/>
        <v>73.818064625824888</v>
      </c>
      <c r="P45" s="64">
        <f t="shared" si="14"/>
        <v>16.181935374175112</v>
      </c>
      <c r="Q45" s="65">
        <f t="shared" si="15"/>
        <v>-72.10445129634229</v>
      </c>
      <c r="R45" s="64">
        <f t="shared" si="16"/>
        <v>84.585776858432723</v>
      </c>
      <c r="S45" s="59">
        <f t="shared" si="17"/>
        <v>5.4142231415672768</v>
      </c>
      <c r="T45" s="58">
        <f t="shared" si="18"/>
        <v>-90.768146454354024</v>
      </c>
      <c r="U45" s="66"/>
      <c r="V45" s="53"/>
      <c r="AA45" s="50"/>
    </row>
    <row r="46" spans="1:27" x14ac:dyDescent="0.2">
      <c r="A46" s="67">
        <v>-84</v>
      </c>
      <c r="B46" s="66">
        <f t="shared" si="0"/>
        <v>-1.4660765716752369</v>
      </c>
      <c r="C46" s="64">
        <f t="shared" si="1"/>
        <v>97.44398742572028</v>
      </c>
      <c r="D46" s="64">
        <f t="shared" si="2"/>
        <v>-7.4439874257202803</v>
      </c>
      <c r="E46" s="65">
        <f t="shared" si="3"/>
        <v>-113.05388619381017</v>
      </c>
      <c r="F46" s="64">
        <f t="shared" si="4"/>
        <v>91.197098246509114</v>
      </c>
      <c r="G46" s="64">
        <f t="shared" si="5"/>
        <v>-1.197098246509114</v>
      </c>
      <c r="H46" s="65">
        <f t="shared" si="6"/>
        <v>-103.09821858390414</v>
      </c>
      <c r="I46" s="64">
        <f t="shared" si="7"/>
        <v>84.914330822031559</v>
      </c>
      <c r="J46" s="64">
        <f t="shared" si="8"/>
        <v>5.0856691779684411</v>
      </c>
      <c r="K46" s="65">
        <f t="shared" si="9"/>
        <v>-93.187895525864946</v>
      </c>
      <c r="L46" s="64">
        <f t="shared" si="10"/>
        <v>78.785487268401013</v>
      </c>
      <c r="M46" s="64">
        <f t="shared" si="11"/>
        <v>11.214512731598987</v>
      </c>
      <c r="N46" s="65">
        <f t="shared" si="12"/>
        <v>-83.084883791055091</v>
      </c>
      <c r="O46" s="64">
        <f t="shared" si="13"/>
        <v>73.010023454274801</v>
      </c>
      <c r="P46" s="64">
        <f t="shared" si="14"/>
        <v>16.989976545725199</v>
      </c>
      <c r="Q46" s="65">
        <f t="shared" si="15"/>
        <v>-72.55771461706864</v>
      </c>
      <c r="R46" s="64">
        <f t="shared" si="16"/>
        <v>83.737869844741695</v>
      </c>
      <c r="S46" s="59">
        <f t="shared" si="17"/>
        <v>6.2621301552583049</v>
      </c>
      <c r="T46" s="58">
        <f t="shared" si="18"/>
        <v>-91.299640044799901</v>
      </c>
      <c r="U46" s="69"/>
      <c r="V46" s="53"/>
      <c r="X46" s="50"/>
      <c r="Y46" s="50"/>
      <c r="Z46" s="50"/>
      <c r="AA46" s="50"/>
    </row>
    <row r="47" spans="1:27" x14ac:dyDescent="0.2">
      <c r="A47" s="67">
        <v>-83</v>
      </c>
      <c r="B47" s="66">
        <f t="shared" si="0"/>
        <v>-1.4486232791552935</v>
      </c>
      <c r="C47" s="64">
        <f t="shared" si="1"/>
        <v>96.665090076748925</v>
      </c>
      <c r="D47" s="64">
        <f t="shared" si="2"/>
        <v>-6.6650900767489247</v>
      </c>
      <c r="E47" s="65">
        <f t="shared" si="3"/>
        <v>-113.5423065213226</v>
      </c>
      <c r="F47" s="64">
        <f t="shared" si="4"/>
        <v>90.372008943364307</v>
      </c>
      <c r="G47" s="64">
        <f t="shared" si="5"/>
        <v>-0.37200894336430679</v>
      </c>
      <c r="H47" s="65">
        <f t="shared" si="6"/>
        <v>-103.62546369945612</v>
      </c>
      <c r="I47" s="64">
        <f t="shared" si="7"/>
        <v>84.067827355899468</v>
      </c>
      <c r="J47" s="64">
        <f t="shared" si="8"/>
        <v>5.9321726441005325</v>
      </c>
      <c r="K47" s="65">
        <f t="shared" si="9"/>
        <v>-93.722754101460438</v>
      </c>
      <c r="L47" s="64">
        <f t="shared" si="10"/>
        <v>77.943165181291675</v>
      </c>
      <c r="M47" s="64">
        <f t="shared" si="11"/>
        <v>12.056834818708325</v>
      </c>
      <c r="N47" s="65">
        <f t="shared" si="12"/>
        <v>-83.594558509688838</v>
      </c>
      <c r="O47" s="64">
        <f t="shared" si="13"/>
        <v>72.199975725238517</v>
      </c>
      <c r="P47" s="64">
        <f t="shared" si="14"/>
        <v>17.800024274761483</v>
      </c>
      <c r="Q47" s="65">
        <f t="shared" si="15"/>
        <v>-73.009004706611606</v>
      </c>
      <c r="R47" s="64">
        <f t="shared" si="16"/>
        <v>82.89014148245252</v>
      </c>
      <c r="S47" s="59">
        <f t="shared" si="17"/>
        <v>7.1098585175474796</v>
      </c>
      <c r="T47" s="58">
        <f t="shared" si="18"/>
        <v>-91.832285751747662</v>
      </c>
      <c r="U47" s="69"/>
      <c r="V47" s="53"/>
      <c r="AA47" s="50"/>
    </row>
    <row r="48" spans="1:27" x14ac:dyDescent="0.2">
      <c r="A48" s="67">
        <v>-82</v>
      </c>
      <c r="B48" s="66">
        <f t="shared" si="0"/>
        <v>-1.4311699866353502</v>
      </c>
      <c r="C48" s="64">
        <f t="shared" si="1"/>
        <v>95.889091764374427</v>
      </c>
      <c r="D48" s="64">
        <f t="shared" si="2"/>
        <v>-5.8890917643744274</v>
      </c>
      <c r="E48" s="65">
        <f t="shared" si="3"/>
        <v>-114.03460851598227</v>
      </c>
      <c r="F48" s="64">
        <f t="shared" si="4"/>
        <v>89.548762974664186</v>
      </c>
      <c r="G48" s="64">
        <f t="shared" si="5"/>
        <v>0.45123702533581422</v>
      </c>
      <c r="H48" s="65">
        <f t="shared" si="6"/>
        <v>-104.15553340045693</v>
      </c>
      <c r="I48" s="64">
        <f t="shared" si="7"/>
        <v>83.221838725237404</v>
      </c>
      <c r="J48" s="64">
        <f t="shared" si="8"/>
        <v>6.7781612747625957</v>
      </c>
      <c r="K48" s="65">
        <f t="shared" si="9"/>
        <v>-94.259256981272429</v>
      </c>
      <c r="L48" s="64">
        <f t="shared" si="10"/>
        <v>77.100001401313293</v>
      </c>
      <c r="M48" s="64">
        <f t="shared" si="11"/>
        <v>12.899998598686707</v>
      </c>
      <c r="N48" s="65">
        <f t="shared" si="12"/>
        <v>-84.10437972873747</v>
      </c>
      <c r="O48" s="64">
        <f t="shared" si="13"/>
        <v>71.387980015298027</v>
      </c>
      <c r="P48" s="64">
        <f t="shared" si="14"/>
        <v>18.612019984701973</v>
      </c>
      <c r="Q48" s="65">
        <f t="shared" si="15"/>
        <v>-73.458472145097957</v>
      </c>
      <c r="R48" s="64">
        <f t="shared" si="16"/>
        <v>82.042665562827253</v>
      </c>
      <c r="S48" s="59">
        <f t="shared" si="17"/>
        <v>7.9573344371727472</v>
      </c>
      <c r="T48" s="58">
        <f t="shared" si="18"/>
        <v>-92.366323113303778</v>
      </c>
      <c r="U48" s="69"/>
      <c r="V48" s="53"/>
      <c r="AA48" s="50"/>
    </row>
    <row r="49" spans="1:29" x14ac:dyDescent="0.2">
      <c r="A49" s="67">
        <v>-81</v>
      </c>
      <c r="B49" s="66">
        <f t="shared" si="0"/>
        <v>-1.4137166941154069</v>
      </c>
      <c r="C49" s="64">
        <f t="shared" si="1"/>
        <v>95.116073400920826</v>
      </c>
      <c r="D49" s="64">
        <f t="shared" si="2"/>
        <v>-5.1160734009208255</v>
      </c>
      <c r="E49" s="65">
        <f t="shared" si="3"/>
        <v>-114.53094013734035</v>
      </c>
      <c r="F49" s="64">
        <f t="shared" si="4"/>
        <v>88.727441226152479</v>
      </c>
      <c r="G49" s="64">
        <f t="shared" si="5"/>
        <v>1.2725587738475213</v>
      </c>
      <c r="H49" s="65">
        <f t="shared" si="6"/>
        <v>-104.6886399628759</v>
      </c>
      <c r="I49" s="64">
        <f t="shared" si="7"/>
        <v>82.376440937591099</v>
      </c>
      <c r="J49" s="64">
        <f t="shared" si="8"/>
        <v>7.6235590624089014</v>
      </c>
      <c r="K49" s="65">
        <f t="shared" si="9"/>
        <v>-94.797645688581369</v>
      </c>
      <c r="L49" s="64">
        <f t="shared" si="10"/>
        <v>76.256062288899983</v>
      </c>
      <c r="M49" s="64">
        <f t="shared" si="11"/>
        <v>13.743937711100017</v>
      </c>
      <c r="N49" s="65">
        <f t="shared" si="12"/>
        <v>-84.614571070393211</v>
      </c>
      <c r="O49" s="64">
        <f t="shared" si="13"/>
        <v>70.574093758754486</v>
      </c>
      <c r="P49" s="64">
        <f t="shared" si="14"/>
        <v>19.425906241245514</v>
      </c>
      <c r="Q49" s="65">
        <f t="shared" si="15"/>
        <v>-73.906268949184295</v>
      </c>
      <c r="R49" s="64">
        <f t="shared" si="16"/>
        <v>81.1955165443959</v>
      </c>
      <c r="S49" s="59">
        <f t="shared" si="17"/>
        <v>8.8044834556040996</v>
      </c>
      <c r="T49" s="58">
        <f t="shared" si="18"/>
        <v>-92.90199420331723</v>
      </c>
      <c r="U49" s="69"/>
      <c r="V49" s="53"/>
      <c r="X49" s="50"/>
      <c r="Y49" s="50"/>
      <c r="Z49" s="50"/>
      <c r="AA49" s="50"/>
      <c r="AB49" s="50"/>
    </row>
    <row r="50" spans="1:29" x14ac:dyDescent="0.2">
      <c r="A50" s="67">
        <v>-80</v>
      </c>
      <c r="B50" s="66">
        <f t="shared" si="0"/>
        <v>-1.3962634015954636</v>
      </c>
      <c r="C50" s="64">
        <f t="shared" si="1"/>
        <v>94.346117980853222</v>
      </c>
      <c r="D50" s="64">
        <f t="shared" si="2"/>
        <v>-4.3461179808532222</v>
      </c>
      <c r="E50" s="65">
        <f t="shared" si="3"/>
        <v>-115.03145004698978</v>
      </c>
      <c r="F50" s="64">
        <f t="shared" si="4"/>
        <v>87.908126401970222</v>
      </c>
      <c r="G50" s="64">
        <f t="shared" si="5"/>
        <v>2.0918735980297782</v>
      </c>
      <c r="H50" s="65">
        <f t="shared" si="6"/>
        <v>-105.22499701764309</v>
      </c>
      <c r="I50" s="64">
        <f t="shared" si="7"/>
        <v>81.531710999057253</v>
      </c>
      <c r="J50" s="64">
        <f t="shared" si="8"/>
        <v>8.4682890009427467</v>
      </c>
      <c r="K50" s="65">
        <f t="shared" si="9"/>
        <v>-95.338164421622807</v>
      </c>
      <c r="L50" s="64">
        <f t="shared" si="10"/>
        <v>75.411414069312798</v>
      </c>
      <c r="M50" s="64">
        <f t="shared" si="11"/>
        <v>14.588585930687202</v>
      </c>
      <c r="N50" s="65">
        <f t="shared" si="12"/>
        <v>-85.12535943824976</v>
      </c>
      <c r="O50" s="64">
        <f t="shared" si="13"/>
        <v>69.758373305078393</v>
      </c>
      <c r="P50" s="64">
        <f t="shared" si="14"/>
        <v>20.241626694921607</v>
      </c>
      <c r="Q50" s="65">
        <f t="shared" si="15"/>
        <v>-74.352548797510167</v>
      </c>
      <c r="R50" s="64">
        <f t="shared" si="16"/>
        <v>80.348769682926857</v>
      </c>
      <c r="S50" s="59">
        <f t="shared" si="17"/>
        <v>9.6512303170731428</v>
      </c>
      <c r="T50" s="58">
        <f t="shared" si="18"/>
        <v>-93.439543990947115</v>
      </c>
      <c r="U50" s="69"/>
      <c r="V50" s="53"/>
      <c r="AB50" s="50"/>
    </row>
    <row r="51" spans="1:29" x14ac:dyDescent="0.2">
      <c r="A51" s="67">
        <v>-79</v>
      </c>
      <c r="B51" s="66">
        <f t="shared" si="0"/>
        <v>-1.3788101090755203</v>
      </c>
      <c r="C51" s="64">
        <f t="shared" si="1"/>
        <v>93.579310651085891</v>
      </c>
      <c r="D51" s="64">
        <f t="shared" si="2"/>
        <v>-3.5793106510858905</v>
      </c>
      <c r="E51" s="65">
        <f t="shared" si="3"/>
        <v>-115.53628768459593</v>
      </c>
      <c r="F51" s="64">
        <f t="shared" si="4"/>
        <v>87.09090313931469</v>
      </c>
      <c r="G51" s="64">
        <f t="shared" si="5"/>
        <v>2.9090968606853096</v>
      </c>
      <c r="H51" s="65">
        <f t="shared" si="6"/>
        <v>-105.76481977640448</v>
      </c>
      <c r="I51" s="64">
        <f t="shared" si="7"/>
        <v>80.687727048378875</v>
      </c>
      <c r="J51" s="64">
        <f t="shared" si="8"/>
        <v>9.3122729516211251</v>
      </c>
      <c r="K51" s="65">
        <f t="shared" si="9"/>
        <v>-95.881060404078369</v>
      </c>
      <c r="L51" s="64">
        <f t="shared" si="10"/>
        <v>74.56612294189388</v>
      </c>
      <c r="M51" s="64">
        <f t="shared" si="11"/>
        <v>15.43387705810612</v>
      </c>
      <c r="N51" s="65">
        <f t="shared" si="12"/>
        <v>-85.636975404760349</v>
      </c>
      <c r="O51" s="64">
        <f t="shared" si="13"/>
        <v>68.940873976198461</v>
      </c>
      <c r="P51" s="64">
        <f t="shared" si="14"/>
        <v>21.059126023801539</v>
      </c>
      <c r="Q51" s="65">
        <f t="shared" si="15"/>
        <v>-74.797467270444017</v>
      </c>
      <c r="R51" s="64">
        <f t="shared" si="16"/>
        <v>79.502501164318659</v>
      </c>
      <c r="S51" s="59">
        <f t="shared" si="17"/>
        <v>10.497498835681341</v>
      </c>
      <c r="T51" s="58">
        <f t="shared" si="18"/>
        <v>-93.979220707712457</v>
      </c>
      <c r="U51" s="69"/>
      <c r="V51" s="53"/>
      <c r="AB51" s="50"/>
    </row>
    <row r="52" spans="1:29" x14ac:dyDescent="0.2">
      <c r="A52" s="67">
        <v>-78</v>
      </c>
      <c r="B52" s="66">
        <f t="shared" si="0"/>
        <v>-1.3613568165555769</v>
      </c>
      <c r="C52" s="64">
        <f t="shared" si="1"/>
        <v>92.81573878236064</v>
      </c>
      <c r="D52" s="64">
        <f t="shared" si="2"/>
        <v>-2.8157387823606399</v>
      </c>
      <c r="E52" s="65">
        <f t="shared" si="3"/>
        <v>-116.04560333610711</v>
      </c>
      <c r="F52" s="64">
        <f t="shared" si="4"/>
        <v>86.275858125570949</v>
      </c>
      <c r="G52" s="64">
        <f t="shared" si="5"/>
        <v>3.7241418744290513</v>
      </c>
      <c r="H52" s="65">
        <f t="shared" si="6"/>
        <v>-106.30832525183571</v>
      </c>
      <c r="I52" s="64">
        <f t="shared" si="7"/>
        <v>79.844568494387019</v>
      </c>
      <c r="J52" s="64">
        <f t="shared" si="8"/>
        <v>10.155431505612981</v>
      </c>
      <c r="K52" s="65">
        <f t="shared" si="9"/>
        <v>-96.426584241205546</v>
      </c>
      <c r="L52" s="64">
        <f t="shared" si="10"/>
        <v>73.720255191720213</v>
      </c>
      <c r="M52" s="64">
        <f t="shared" si="11"/>
        <v>16.279744808279787</v>
      </c>
      <c r="N52" s="65">
        <f t="shared" si="12"/>
        <v>-86.149653616246383</v>
      </c>
      <c r="O52" s="64">
        <f t="shared" si="13"/>
        <v>68.121650123752076</v>
      </c>
      <c r="P52" s="64">
        <f t="shared" si="14"/>
        <v>21.878349876247924</v>
      </c>
      <c r="Q52" s="65">
        <f t="shared" si="15"/>
        <v>-75.241182105246253</v>
      </c>
      <c r="R52" s="64">
        <f t="shared" si="16"/>
        <v>78.656788240831915</v>
      </c>
      <c r="S52" s="59">
        <f t="shared" si="17"/>
        <v>11.343211759168085</v>
      </c>
      <c r="T52" s="58">
        <f t="shared" si="18"/>
        <v>-94.521276222767426</v>
      </c>
      <c r="U52" s="69"/>
      <c r="V52" s="53"/>
      <c r="X52" s="50"/>
      <c r="Y52" s="50"/>
      <c r="Z52" s="50"/>
      <c r="AA52" s="50"/>
      <c r="AB52" s="50"/>
    </row>
    <row r="53" spans="1:29" x14ac:dyDescent="0.2">
      <c r="A53" s="67">
        <v>-77</v>
      </c>
      <c r="B53" s="66">
        <f t="shared" si="0"/>
        <v>-1.3439035240356338</v>
      </c>
      <c r="C53" s="64">
        <f t="shared" si="1"/>
        <v>92.055492041677169</v>
      </c>
      <c r="D53" s="64">
        <f t="shared" si="2"/>
        <v>-2.0554920416771694</v>
      </c>
      <c r="E53" s="65">
        <f t="shared" si="3"/>
        <v>-116.5595481939929</v>
      </c>
      <c r="F53" s="64">
        <f t="shared" si="4"/>
        <v>85.463080218113546</v>
      </c>
      <c r="G53" s="64">
        <f t="shared" si="5"/>
        <v>4.5369197818864535</v>
      </c>
      <c r="H53" s="65">
        <f t="shared" si="6"/>
        <v>-106.85573247255505</v>
      </c>
      <c r="I53" s="64">
        <f t="shared" si="7"/>
        <v>79.002316157200838</v>
      </c>
      <c r="J53" s="64">
        <f t="shared" si="8"/>
        <v>10.997683842799162</v>
      </c>
      <c r="K53" s="65">
        <f t="shared" si="9"/>
        <v>-96.974990282198689</v>
      </c>
      <c r="L53" s="64">
        <f t="shared" si="10"/>
        <v>72.873877304060116</v>
      </c>
      <c r="M53" s="64">
        <f t="shared" si="11"/>
        <v>17.126122695939884</v>
      </c>
      <c r="N53" s="65">
        <f t="shared" si="12"/>
        <v>-86.663633216887746</v>
      </c>
      <c r="O53" s="64">
        <f t="shared" si="13"/>
        <v>67.3007551864292</v>
      </c>
      <c r="P53" s="64">
        <f t="shared" si="14"/>
        <v>22.6992448135708</v>
      </c>
      <c r="Q53" s="65">
        <f t="shared" si="15"/>
        <v>-75.683853467904754</v>
      </c>
      <c r="R53" s="64">
        <f t="shared" si="16"/>
        <v>77.811709371094707</v>
      </c>
      <c r="S53" s="59">
        <f t="shared" si="17"/>
        <v>12.188290628905293</v>
      </c>
      <c r="T53" s="58">
        <f t="shared" si="18"/>
        <v>-95.065966427153995</v>
      </c>
      <c r="U53" s="69"/>
      <c r="V53" s="53"/>
      <c r="AB53" s="50"/>
    </row>
    <row r="54" spans="1:29" x14ac:dyDescent="0.2">
      <c r="A54" s="67">
        <v>-76</v>
      </c>
      <c r="B54" s="66">
        <f t="shared" si="0"/>
        <v>-1.3264502315156905</v>
      </c>
      <c r="C54" s="64">
        <f t="shared" si="1"/>
        <v>91.298662465744201</v>
      </c>
      <c r="D54" s="64">
        <f t="shared" si="2"/>
        <v>-1.2986624657442007</v>
      </c>
      <c r="E54" s="65">
        <f t="shared" si="3"/>
        <v>-117.07827440931055</v>
      </c>
      <c r="F54" s="64">
        <f t="shared" si="4"/>
        <v>84.652660566969416</v>
      </c>
      <c r="G54" s="64">
        <f t="shared" si="5"/>
        <v>5.3473394330305837</v>
      </c>
      <c r="H54" s="65">
        <f t="shared" si="6"/>
        <v>-107.4072626926058</v>
      </c>
      <c r="I54" s="64">
        <f t="shared" si="7"/>
        <v>78.161052413610378</v>
      </c>
      <c r="J54" s="64">
        <f t="shared" si="8"/>
        <v>11.838947586389622</v>
      </c>
      <c r="K54" s="65">
        <f t="shared" si="9"/>
        <v>-97.526536989359784</v>
      </c>
      <c r="L54" s="64">
        <f t="shared" si="10"/>
        <v>72.02705608206081</v>
      </c>
      <c r="M54" s="64">
        <f t="shared" si="11"/>
        <v>17.97294391793919</v>
      </c>
      <c r="N54" s="65">
        <f t="shared" si="12"/>
        <v>-87.179158293238018</v>
      </c>
      <c r="O54" s="64">
        <f t="shared" si="13"/>
        <v>66.478241747554208</v>
      </c>
      <c r="P54" s="64">
        <f t="shared" si="14"/>
        <v>23.521758252445792</v>
      </c>
      <c r="Q54" s="65">
        <f t="shared" si="15"/>
        <v>-76.12564424303747</v>
      </c>
      <c r="R54" s="64">
        <f t="shared" si="16"/>
        <v>76.967344364331609</v>
      </c>
      <c r="S54" s="59">
        <f t="shared" si="17"/>
        <v>13.032655635668391</v>
      </c>
      <c r="T54" s="58">
        <f t="shared" si="18"/>
        <v>-95.613551627789903</v>
      </c>
      <c r="U54" s="69"/>
      <c r="V54" s="53"/>
      <c r="AC54" s="50"/>
    </row>
    <row r="55" spans="1:29" s="54" customFormat="1" x14ac:dyDescent="0.2">
      <c r="A55" s="63">
        <v>-75</v>
      </c>
      <c r="B55" s="62">
        <f t="shared" si="0"/>
        <v>-1.3089969389957472</v>
      </c>
      <c r="C55" s="60">
        <f t="shared" si="1"/>
        <v>90.545344535410322</v>
      </c>
      <c r="D55" s="60">
        <f t="shared" si="2"/>
        <v>-0.54534453541032235</v>
      </c>
      <c r="E55" s="61">
        <f t="shared" si="3"/>
        <v>-117.60193513534711</v>
      </c>
      <c r="F55" s="60">
        <f t="shared" si="4"/>
        <v>83.844692740526611</v>
      </c>
      <c r="G55" s="60">
        <f t="shared" si="5"/>
        <v>6.1553072594733891</v>
      </c>
      <c r="H55" s="61">
        <f t="shared" si="6"/>
        <v>-107.96313959540366</v>
      </c>
      <c r="I55" s="60">
        <f t="shared" si="7"/>
        <v>77.320861347080907</v>
      </c>
      <c r="J55" s="60">
        <f t="shared" si="8"/>
        <v>12.679138652919093</v>
      </c>
      <c r="K55" s="61">
        <f t="shared" si="9"/>
        <v>-98.081487314637457</v>
      </c>
      <c r="L55" s="60">
        <f t="shared" si="10"/>
        <v>71.179858768123239</v>
      </c>
      <c r="M55" s="60">
        <f t="shared" si="11"/>
        <v>18.820141231876761</v>
      </c>
      <c r="N55" s="61">
        <f t="shared" si="12"/>
        <v>-87.696478340927868</v>
      </c>
      <c r="O55" s="60">
        <f t="shared" si="13"/>
        <v>65.654161593060337</v>
      </c>
      <c r="P55" s="60">
        <f t="shared" si="14"/>
        <v>24.345838406939663</v>
      </c>
      <c r="Q55" s="61">
        <f t="shared" si="15"/>
        <v>-76.566720343415298</v>
      </c>
      <c r="R55" s="60">
        <f t="shared" si="16"/>
        <v>76.123774529284447</v>
      </c>
      <c r="S55" s="59">
        <f t="shared" si="17"/>
        <v>13.876225470715553</v>
      </c>
      <c r="T55" s="58">
        <f t="shared" si="18"/>
        <v>-96.16429695195356</v>
      </c>
      <c r="U55" s="70"/>
      <c r="V55" s="56">
        <f>E55</f>
        <v>-117.60193513534711</v>
      </c>
      <c r="W55" s="55"/>
      <c r="X55" s="55"/>
      <c r="Y55" s="55"/>
      <c r="Z55" s="55">
        <f>D55</f>
        <v>-0.54534453541032235</v>
      </c>
      <c r="AA55" s="55"/>
      <c r="AC55" s="55"/>
    </row>
    <row r="56" spans="1:29" x14ac:dyDescent="0.2">
      <c r="A56" s="67">
        <v>-74</v>
      </c>
      <c r="B56" s="66">
        <f t="shared" si="0"/>
        <v>-1.2915436464758039</v>
      </c>
      <c r="C56" s="64">
        <f t="shared" si="1"/>
        <v>89.79563525101905</v>
      </c>
      <c r="D56" s="64">
        <f t="shared" si="2"/>
        <v>0.20436474898095014</v>
      </c>
      <c r="E56" s="65">
        <f t="shared" si="3"/>
        <v>-118.13068456253747</v>
      </c>
      <c r="F56" s="64">
        <f t="shared" si="4"/>
        <v>83.039272854466049</v>
      </c>
      <c r="G56" s="64">
        <f t="shared" si="5"/>
        <v>6.9607271455339514</v>
      </c>
      <c r="H56" s="65">
        <f t="shared" si="6"/>
        <v>-108.52358949196656</v>
      </c>
      <c r="I56" s="64">
        <f t="shared" si="7"/>
        <v>76.481828902832376</v>
      </c>
      <c r="J56" s="64">
        <f t="shared" si="8"/>
        <v>13.518171097167624</v>
      </c>
      <c r="K56" s="65">
        <f t="shared" si="9"/>
        <v>-98.640109084071483</v>
      </c>
      <c r="L56" s="64">
        <f t="shared" si="10"/>
        <v>70.332353169451892</v>
      </c>
      <c r="M56" s="64">
        <f t="shared" si="11"/>
        <v>19.667646830548108</v>
      </c>
      <c r="N56" s="65">
        <f t="shared" si="12"/>
        <v>-88.215848755347551</v>
      </c>
      <c r="O56" s="64">
        <f t="shared" si="13"/>
        <v>64.828565770026373</v>
      </c>
      <c r="P56" s="64">
        <f t="shared" si="14"/>
        <v>25.171434229973627</v>
      </c>
      <c r="Q56" s="65">
        <f t="shared" si="15"/>
        <v>-77.007251040830013</v>
      </c>
      <c r="R56" s="64">
        <f t="shared" si="16"/>
        <v>75.281082828313018</v>
      </c>
      <c r="S56" s="59">
        <f t="shared" si="17"/>
        <v>14.718917171686982</v>
      </c>
      <c r="T56" s="58">
        <f t="shared" si="18"/>
        <v>-96.718472763028004</v>
      </c>
      <c r="U56" s="69"/>
      <c r="V56" s="53">
        <f>H55</f>
        <v>-107.96313959540366</v>
      </c>
      <c r="Z56" s="50">
        <f>G55</f>
        <v>6.1553072594733891</v>
      </c>
      <c r="AC56" s="50"/>
    </row>
    <row r="57" spans="1:29" x14ac:dyDescent="0.2">
      <c r="A57" s="67">
        <v>-73</v>
      </c>
      <c r="B57" s="66">
        <f t="shared" si="0"/>
        <v>-1.2740903539558606</v>
      </c>
      <c r="C57" s="64">
        <f t="shared" si="1"/>
        <v>89.049634208619551</v>
      </c>
      <c r="D57" s="64">
        <f t="shared" si="2"/>
        <v>0.95036579138044885</v>
      </c>
      <c r="E57" s="65">
        <f t="shared" si="3"/>
        <v>-118.66467794430757</v>
      </c>
      <c r="F57" s="64">
        <f t="shared" si="4"/>
        <v>82.236499704085503</v>
      </c>
      <c r="G57" s="64">
        <f t="shared" si="5"/>
        <v>7.763500295914497</v>
      </c>
      <c r="H57" s="65">
        <f t="shared" si="6"/>
        <v>-109.08884151316185</v>
      </c>
      <c r="I57" s="64">
        <f t="shared" si="7"/>
        <v>75.644043048463942</v>
      </c>
      <c r="J57" s="64">
        <f t="shared" si="8"/>
        <v>14.355956951536058</v>
      </c>
      <c r="K57" s="65">
        <f t="shared" si="9"/>
        <v>-99.202675390650427</v>
      </c>
      <c r="L57" s="64">
        <f t="shared" si="10"/>
        <v>69.484607788301545</v>
      </c>
      <c r="M57" s="64">
        <f t="shared" si="11"/>
        <v>20.515392211698455</v>
      </c>
      <c r="N57" s="65">
        <f t="shared" si="12"/>
        <v>-88.737531348238221</v>
      </c>
      <c r="O57" s="64">
        <f t="shared" si="13"/>
        <v>64.001504645958704</v>
      </c>
      <c r="P57" s="64">
        <f t="shared" si="14"/>
        <v>25.998495354041296</v>
      </c>
      <c r="Q57" s="65">
        <f t="shared" si="15"/>
        <v>-77.447409320224395</v>
      </c>
      <c r="R57" s="64">
        <f t="shared" si="16"/>
        <v>74.439354037185382</v>
      </c>
      <c r="S57" s="59">
        <f t="shared" si="17"/>
        <v>15.560645962814618</v>
      </c>
      <c r="T57" s="58">
        <f t="shared" si="18"/>
        <v>-97.276355088263017</v>
      </c>
      <c r="U57" s="69"/>
      <c r="V57" s="53">
        <f>K55</f>
        <v>-98.081487314637457</v>
      </c>
      <c r="Z57" s="50">
        <f>J55</f>
        <v>12.679138652919093</v>
      </c>
      <c r="AC57" s="50"/>
    </row>
    <row r="58" spans="1:29" x14ac:dyDescent="0.2">
      <c r="A58" s="67">
        <v>-72</v>
      </c>
      <c r="B58" s="66">
        <f t="shared" si="0"/>
        <v>-1.2566370614359172</v>
      </c>
      <c r="C58" s="64">
        <f t="shared" si="1"/>
        <v>88.307443676949717</v>
      </c>
      <c r="D58" s="64">
        <f t="shared" si="2"/>
        <v>1.6925563230502831</v>
      </c>
      <c r="E58" s="65">
        <f t="shared" si="3"/>
        <v>-119.20407161344143</v>
      </c>
      <c r="F58" s="64">
        <f t="shared" si="4"/>
        <v>81.436474900175838</v>
      </c>
      <c r="G58" s="64">
        <f t="shared" si="5"/>
        <v>8.5635250998241617</v>
      </c>
      <c r="H58" s="65">
        <f t="shared" si="6"/>
        <v>-109.65912779561714</v>
      </c>
      <c r="I58" s="64">
        <f t="shared" si="7"/>
        <v>74.807593940611142</v>
      </c>
      <c r="J58" s="64">
        <f t="shared" si="8"/>
        <v>15.192406059388858</v>
      </c>
      <c r="K58" s="65">
        <f t="shared" si="9"/>
        <v>-99.769464996056485</v>
      </c>
      <c r="L58" s="64">
        <f t="shared" si="10"/>
        <v>68.636691957481148</v>
      </c>
      <c r="M58" s="64">
        <f t="shared" si="11"/>
        <v>21.363308042518852</v>
      </c>
      <c r="N58" s="65">
        <f t="shared" si="12"/>
        <v>-89.261794892268455</v>
      </c>
      <c r="O58" s="64">
        <f t="shared" si="13"/>
        <v>63.173027969019202</v>
      </c>
      <c r="P58" s="64">
        <f t="shared" si="14"/>
        <v>26.826972030980798</v>
      </c>
      <c r="Q58" s="65">
        <f t="shared" si="15"/>
        <v>-77.887372259214317</v>
      </c>
      <c r="R58" s="64">
        <f t="shared" si="16"/>
        <v>73.598674911090797</v>
      </c>
      <c r="S58" s="59">
        <f t="shared" si="17"/>
        <v>16.401325088909203</v>
      </c>
      <c r="T58" s="58">
        <f t="shared" si="18"/>
        <v>-97.838226059307146</v>
      </c>
      <c r="U58" s="69"/>
      <c r="V58" s="53">
        <f>N55</f>
        <v>-87.696478340927868</v>
      </c>
      <c r="X58" s="50"/>
      <c r="Y58" s="50"/>
      <c r="Z58" s="50">
        <f>M55</f>
        <v>18.820141231876761</v>
      </c>
      <c r="AA58" s="50"/>
      <c r="AC58" s="50"/>
    </row>
    <row r="59" spans="1:29" x14ac:dyDescent="0.2">
      <c r="A59" s="67">
        <v>-71</v>
      </c>
      <c r="B59" s="66">
        <f t="shared" si="0"/>
        <v>-1.2391837689159739</v>
      </c>
      <c r="C59" s="64">
        <f t="shared" si="1"/>
        <v>87.569168675091404</v>
      </c>
      <c r="D59" s="64">
        <f t="shared" si="2"/>
        <v>2.4308313249085955</v>
      </c>
      <c r="E59" s="65">
        <f t="shared" si="3"/>
        <v>-119.74902298852072</v>
      </c>
      <c r="F59" s="64">
        <f t="shared" si="4"/>
        <v>80.639303008598816</v>
      </c>
      <c r="G59" s="64">
        <f t="shared" si="5"/>
        <v>9.3606969914011842</v>
      </c>
      <c r="H59" s="65">
        <f t="shared" si="6"/>
        <v>-110.23468366084802</v>
      </c>
      <c r="I59" s="64">
        <f t="shared" si="7"/>
        <v>73.97257409814172</v>
      </c>
      <c r="J59" s="64">
        <f t="shared" si="8"/>
        <v>16.02742590185828</v>
      </c>
      <c r="K59" s="65">
        <f t="shared" si="9"/>
        <v>-100.34076274172889</v>
      </c>
      <c r="L59" s="64">
        <f t="shared" si="10"/>
        <v>67.788675981717006</v>
      </c>
      <c r="M59" s="64">
        <f t="shared" si="11"/>
        <v>22.211324018282994</v>
      </c>
      <c r="N59" s="65">
        <f t="shared" si="12"/>
        <v>-89.788915695832173</v>
      </c>
      <c r="O59" s="64">
        <f t="shared" si="13"/>
        <v>62.343184929417092</v>
      </c>
      <c r="P59" s="64">
        <f t="shared" si="14"/>
        <v>27.656815070582908</v>
      </c>
      <c r="Q59" s="65">
        <f t="shared" si="15"/>
        <v>-78.327321435370678</v>
      </c>
      <c r="R59" s="64">
        <f t="shared" si="16"/>
        <v>72.759134357433467</v>
      </c>
      <c r="S59" s="59">
        <f t="shared" si="17"/>
        <v>17.240865642566533</v>
      </c>
      <c r="T59" s="58">
        <f t="shared" si="18"/>
        <v>-98.404374366246671</v>
      </c>
      <c r="U59" s="69"/>
      <c r="V59" s="53">
        <f>Q55</f>
        <v>-76.566720343415298</v>
      </c>
      <c r="Z59" s="50">
        <f>P55</f>
        <v>24.345838406939663</v>
      </c>
    </row>
    <row r="60" spans="1:29" x14ac:dyDescent="0.2">
      <c r="A60" s="67">
        <v>-70</v>
      </c>
      <c r="B60" s="66">
        <f t="shared" si="0"/>
        <v>-1.2217304763960306</v>
      </c>
      <c r="C60" s="64">
        <f t="shared" si="1"/>
        <v>86.834917050680815</v>
      </c>
      <c r="D60" s="64">
        <f t="shared" si="2"/>
        <v>3.165082949319185</v>
      </c>
      <c r="E60" s="65">
        <f t="shared" si="3"/>
        <v>-120.29969056993468</v>
      </c>
      <c r="F60" s="64">
        <f t="shared" si="4"/>
        <v>79.845091693704404</v>
      </c>
      <c r="G60" s="64">
        <f t="shared" si="5"/>
        <v>10.154908306295596</v>
      </c>
      <c r="H60" s="65">
        <f t="shared" si="6"/>
        <v>-110.815747787055</v>
      </c>
      <c r="I60" s="64">
        <f t="shared" si="7"/>
        <v>73.139078582415664</v>
      </c>
      <c r="J60" s="64">
        <f t="shared" si="8"/>
        <v>16.860921417584336</v>
      </c>
      <c r="K60" s="65">
        <f t="shared" si="9"/>
        <v>-100.91685996962721</v>
      </c>
      <c r="L60" s="64">
        <f t="shared" si="10"/>
        <v>66.940631285524461</v>
      </c>
      <c r="M60" s="64">
        <f t="shared" si="11"/>
        <v>23.059368714475539</v>
      </c>
      <c r="N60" s="65">
        <f t="shared" si="12"/>
        <v>-90.319178210473041</v>
      </c>
      <c r="O60" s="64">
        <f t="shared" si="13"/>
        <v>61.512024222204104</v>
      </c>
      <c r="P60" s="64">
        <f t="shared" si="14"/>
        <v>28.487975777795896</v>
      </c>
      <c r="Q60" s="65">
        <f t="shared" si="15"/>
        <v>-78.767443363892525</v>
      </c>
      <c r="R60" s="64">
        <f t="shared" si="16"/>
        <v>71.920823615992205</v>
      </c>
      <c r="S60" s="59">
        <f t="shared" si="17"/>
        <v>18.079176384007795</v>
      </c>
      <c r="T60" s="58">
        <f t="shared" si="18"/>
        <v>-98.975095725869636</v>
      </c>
      <c r="U60" s="69"/>
      <c r="W60" s="74"/>
      <c r="X60" s="74"/>
      <c r="Y60" s="74"/>
      <c r="Z60" s="74"/>
      <c r="AA60" s="74"/>
      <c r="AB60" s="74"/>
      <c r="AC60" s="74"/>
    </row>
    <row r="61" spans="1:29" x14ac:dyDescent="0.2">
      <c r="A61" s="67">
        <v>-69</v>
      </c>
      <c r="B61" s="66">
        <f t="shared" si="0"/>
        <v>-1.2042771838760873</v>
      </c>
      <c r="C61" s="64">
        <f t="shared" si="1"/>
        <v>86.104799558537692</v>
      </c>
      <c r="D61" s="64">
        <f t="shared" si="2"/>
        <v>3.8952004414623076</v>
      </c>
      <c r="E61" s="65">
        <f t="shared" si="3"/>
        <v>-120.85623392490719</v>
      </c>
      <c r="F61" s="64">
        <f t="shared" si="4"/>
        <v>79.053951865710957</v>
      </c>
      <c r="G61" s="64">
        <f t="shared" si="5"/>
        <v>10.946048134289043</v>
      </c>
      <c r="H61" s="65">
        <f t="shared" si="6"/>
        <v>-111.40256237293512</v>
      </c>
      <c r="I61" s="64">
        <f t="shared" si="7"/>
        <v>72.307205185155325</v>
      </c>
      <c r="J61" s="64">
        <f t="shared" si="8"/>
        <v>17.692794814844675</v>
      </c>
      <c r="K61" s="65">
        <f t="shared" si="9"/>
        <v>-101.49805495301463</v>
      </c>
      <c r="L61" s="64">
        <f t="shared" si="10"/>
        <v>66.092630568288286</v>
      </c>
      <c r="M61" s="64">
        <f t="shared" si="11"/>
        <v>23.907369431711714</v>
      </c>
      <c r="N61" s="65">
        <f t="shared" si="12"/>
        <v>-90.852875673523855</v>
      </c>
      <c r="O61" s="64">
        <f t="shared" si="13"/>
        <v>60.679594111734502</v>
      </c>
      <c r="P61" s="64">
        <f t="shared" si="14"/>
        <v>29.320405888265498</v>
      </c>
      <c r="Q61" s="65">
        <f t="shared" si="15"/>
        <v>-79.207929968600837</v>
      </c>
      <c r="R61" s="64">
        <f t="shared" si="16"/>
        <v>71.08383644705934</v>
      </c>
      <c r="S61" s="59">
        <f t="shared" si="17"/>
        <v>18.91616355294066</v>
      </c>
      <c r="T61" s="58">
        <f t="shared" si="18"/>
        <v>-99.550693364843283</v>
      </c>
      <c r="U61" s="69"/>
      <c r="V61" s="53"/>
      <c r="Y61" s="50"/>
      <c r="AA61" s="50"/>
      <c r="AC61" s="50"/>
    </row>
    <row r="62" spans="1:29" x14ac:dyDescent="0.2">
      <c r="A62" s="67">
        <v>-68</v>
      </c>
      <c r="B62" s="66">
        <f t="shared" si="0"/>
        <v>-1.1868238913561442</v>
      </c>
      <c r="C62" s="64">
        <f t="shared" si="1"/>
        <v>85.378929939557125</v>
      </c>
      <c r="D62" s="64">
        <f t="shared" si="2"/>
        <v>4.6210700604428752</v>
      </c>
      <c r="E62" s="65">
        <f t="shared" si="3"/>
        <v>-121.41881366093673</v>
      </c>
      <c r="F62" s="64">
        <f t="shared" si="4"/>
        <v>78.265997832156785</v>
      </c>
      <c r="G62" s="64">
        <f t="shared" si="5"/>
        <v>11.734002167843215</v>
      </c>
      <c r="H62" s="65">
        <f t="shared" si="6"/>
        <v>-111.99537329273784</v>
      </c>
      <c r="I62" s="64">
        <f t="shared" si="7"/>
        <v>71.477054624493078</v>
      </c>
      <c r="J62" s="64">
        <f t="shared" si="8"/>
        <v>18.522945375506922</v>
      </c>
      <c r="K62" s="65">
        <f t="shared" si="9"/>
        <v>-102.08465333750816</v>
      </c>
      <c r="L62" s="64">
        <f t="shared" si="10"/>
        <v>65.244747967309223</v>
      </c>
      <c r="M62" s="64">
        <f t="shared" si="11"/>
        <v>24.755252032690777</v>
      </c>
      <c r="N62" s="65">
        <f t="shared" si="12"/>
        <v>-91.390310788744188</v>
      </c>
      <c r="O62" s="64">
        <f t="shared" si="13"/>
        <v>59.845942498078479</v>
      </c>
      <c r="P62" s="64">
        <f t="shared" si="14"/>
        <v>30.154057501921521</v>
      </c>
      <c r="Q62" s="65">
        <f t="shared" si="15"/>
        <v>-79.64897908951248</v>
      </c>
      <c r="R62" s="64">
        <f t="shared" si="16"/>
        <v>70.248269328203321</v>
      </c>
      <c r="S62" s="59">
        <f t="shared" si="17"/>
        <v>19.751730671796679</v>
      </c>
      <c r="T62" s="58">
        <f t="shared" si="18"/>
        <v>-100.13147851845464</v>
      </c>
      <c r="U62" s="69"/>
      <c r="V62" s="53"/>
      <c r="X62" s="50"/>
      <c r="Y62" s="50"/>
      <c r="Z62" s="50"/>
      <c r="AA62" s="50"/>
      <c r="AB62" s="50"/>
      <c r="AC62" s="50"/>
    </row>
    <row r="63" spans="1:29" x14ac:dyDescent="0.2">
      <c r="A63" s="67">
        <v>-67</v>
      </c>
      <c r="B63" s="66">
        <f t="shared" si="0"/>
        <v>-1.1693705988362009</v>
      </c>
      <c r="C63" s="64">
        <f t="shared" si="1"/>
        <v>84.657424999685063</v>
      </c>
      <c r="D63" s="64">
        <f t="shared" si="2"/>
        <v>5.3425750003149375</v>
      </c>
      <c r="E63" s="65">
        <f t="shared" si="3"/>
        <v>-121.98759138699415</v>
      </c>
      <c r="F63" s="64">
        <f t="shared" si="4"/>
        <v>77.481347453512626</v>
      </c>
      <c r="G63" s="64">
        <f t="shared" si="5"/>
        <v>12.518652546487374</v>
      </c>
      <c r="H63" s="65">
        <f t="shared" si="6"/>
        <v>-112.59443024167221</v>
      </c>
      <c r="I63" s="64">
        <f t="shared" si="7"/>
        <v>70.648730749785216</v>
      </c>
      <c r="J63" s="64">
        <f t="shared" si="8"/>
        <v>19.351269250214784</v>
      </c>
      <c r="K63" s="65">
        <f t="shared" si="9"/>
        <v>-102.67696859255658</v>
      </c>
      <c r="L63" s="64">
        <f t="shared" si="10"/>
        <v>64.397059229636696</v>
      </c>
      <c r="M63" s="64">
        <f t="shared" si="11"/>
        <v>25.602940770363304</v>
      </c>
      <c r="N63" s="65">
        <f t="shared" si="12"/>
        <v>-91.931796447948571</v>
      </c>
      <c r="O63" s="64">
        <f t="shared" si="13"/>
        <v>59.011116985705733</v>
      </c>
      <c r="P63" s="64">
        <f t="shared" si="14"/>
        <v>30.988883014294267</v>
      </c>
      <c r="Q63" s="65">
        <f t="shared" si="15"/>
        <v>-80.090795030628172</v>
      </c>
      <c r="R63" s="64">
        <f t="shared" si="16"/>
        <v>69.414221660330625</v>
      </c>
      <c r="S63" s="59">
        <f t="shared" si="17"/>
        <v>20.585778339669375</v>
      </c>
      <c r="T63" s="58">
        <f t="shared" si="18"/>
        <v>-100.71777094551348</v>
      </c>
      <c r="U63" s="69"/>
      <c r="V63" s="53"/>
      <c r="X63" s="50"/>
      <c r="Y63" s="50"/>
      <c r="Z63" s="50"/>
      <c r="AA63" s="50"/>
      <c r="AB63" s="50"/>
      <c r="AC63" s="50"/>
    </row>
    <row r="64" spans="1:29" x14ac:dyDescent="0.2">
      <c r="A64" s="67">
        <v>-66</v>
      </c>
      <c r="B64" s="66">
        <f t="shared" si="0"/>
        <v>-1.1519173063162575</v>
      </c>
      <c r="C64" s="64">
        <f t="shared" si="1"/>
        <v>83.940404688776027</v>
      </c>
      <c r="D64" s="64">
        <f t="shared" si="2"/>
        <v>6.0595953112239727</v>
      </c>
      <c r="E64" s="65">
        <f t="shared" si="3"/>
        <v>-122.56272966177184</v>
      </c>
      <c r="F64" s="64">
        <f t="shared" si="4"/>
        <v>76.700122303024514</v>
      </c>
      <c r="G64" s="64">
        <f t="shared" si="5"/>
        <v>13.299877696975486</v>
      </c>
      <c r="H64" s="65">
        <f t="shared" si="6"/>
        <v>-113.19998687063806</v>
      </c>
      <c r="I64" s="64">
        <f t="shared" si="7"/>
        <v>69.822340755803197</v>
      </c>
      <c r="J64" s="64">
        <f t="shared" si="8"/>
        <v>20.177659244196803</v>
      </c>
      <c r="K64" s="65">
        <f t="shared" si="9"/>
        <v>-103.27532247340335</v>
      </c>
      <c r="L64" s="64">
        <f t="shared" si="10"/>
        <v>63.549641893577267</v>
      </c>
      <c r="M64" s="64">
        <f t="shared" si="11"/>
        <v>26.450358106422733</v>
      </c>
      <c r="N64" s="65">
        <f t="shared" si="12"/>
        <v>-92.477656496840623</v>
      </c>
      <c r="O64" s="64">
        <f t="shared" si="13"/>
        <v>58.175164954789828</v>
      </c>
      <c r="P64" s="64">
        <f t="shared" si="14"/>
        <v>31.824835045210172</v>
      </c>
      <c r="Q64" s="65">
        <f t="shared" si="15"/>
        <v>-80.53358915198632</v>
      </c>
      <c r="R64" s="64">
        <f t="shared" si="16"/>
        <v>68.581795983756621</v>
      </c>
      <c r="S64" s="59">
        <f t="shared" si="17"/>
        <v>21.418204016243379</v>
      </c>
      <c r="T64" s="58">
        <f t="shared" si="18"/>
        <v>-101.30989945995179</v>
      </c>
      <c r="U64" s="69"/>
      <c r="V64" s="53"/>
      <c r="X64" s="50"/>
      <c r="Y64" s="50"/>
      <c r="Z64" s="50"/>
      <c r="AA64" s="50"/>
      <c r="AB64" s="50"/>
      <c r="AC64" s="50"/>
    </row>
    <row r="65" spans="1:29" x14ac:dyDescent="0.2">
      <c r="A65" s="67">
        <v>-65</v>
      </c>
      <c r="B65" s="66">
        <f t="shared" si="0"/>
        <v>-1.1344640137963142</v>
      </c>
      <c r="C65" s="64">
        <f t="shared" si="1"/>
        <v>83.227992179105271</v>
      </c>
      <c r="D65" s="64">
        <f t="shared" si="2"/>
        <v>6.7720078208947285</v>
      </c>
      <c r="E65" s="65">
        <f t="shared" si="3"/>
        <v>-123.14439192822853</v>
      </c>
      <c r="F65" s="64">
        <f t="shared" si="4"/>
        <v>75.922447830831572</v>
      </c>
      <c r="G65" s="64">
        <f t="shared" si="5"/>
        <v>14.077552169168428</v>
      </c>
      <c r="H65" s="65">
        <f t="shared" si="6"/>
        <v>-113.81230090911271</v>
      </c>
      <c r="I65" s="64">
        <f t="shared" si="7"/>
        <v>68.997995406935701</v>
      </c>
      <c r="J65" s="64">
        <f t="shared" si="8"/>
        <v>21.002004593064299</v>
      </c>
      <c r="K65" s="65">
        <f t="shared" si="9"/>
        <v>-103.88004549347018</v>
      </c>
      <c r="L65" s="64">
        <f t="shared" si="10"/>
        <v>62.702575480844551</v>
      </c>
      <c r="M65" s="64">
        <f t="shared" si="11"/>
        <v>27.297424519155449</v>
      </c>
      <c r="N65" s="65">
        <f t="shared" si="12"/>
        <v>-93.028226548506424</v>
      </c>
      <c r="O65" s="64">
        <f t="shared" si="13"/>
        <v>57.338133635520926</v>
      </c>
      <c r="P65" s="64">
        <f t="shared" si="14"/>
        <v>32.661866364479074</v>
      </c>
      <c r="Q65" s="65">
        <f t="shared" si="15"/>
        <v>-80.97758051050765</v>
      </c>
      <c r="R65" s="64">
        <f t="shared" si="16"/>
        <v>67.751098205029905</v>
      </c>
      <c r="S65" s="59">
        <f t="shared" si="17"/>
        <v>22.248901794970095</v>
      </c>
      <c r="T65" s="58">
        <f t="shared" si="18"/>
        <v>-101.90820247957204</v>
      </c>
      <c r="U65" s="69"/>
      <c r="V65" s="53"/>
      <c r="X65" s="50"/>
      <c r="Y65" s="50"/>
      <c r="Z65" s="50"/>
      <c r="AA65" s="50"/>
      <c r="AB65" s="50"/>
      <c r="AC65" s="50"/>
    </row>
    <row r="66" spans="1:29" x14ac:dyDescent="0.2">
      <c r="A66" s="67">
        <v>-64</v>
      </c>
      <c r="B66" s="66">
        <f t="shared" si="0"/>
        <v>-1.1170107212763709</v>
      </c>
      <c r="C66" s="64">
        <f t="shared" si="1"/>
        <v>82.520313943280897</v>
      </c>
      <c r="D66" s="64">
        <f t="shared" si="2"/>
        <v>7.4796860567191032</v>
      </c>
      <c r="E66" s="65">
        <f t="shared" si="3"/>
        <v>-123.73274243362353</v>
      </c>
      <c r="F66" s="64">
        <f t="shared" si="4"/>
        <v>75.148453532377033</v>
      </c>
      <c r="G66" s="64">
        <f t="shared" si="5"/>
        <v>14.851546467622967</v>
      </c>
      <c r="H66" s="65">
        <f t="shared" si="6"/>
        <v>-114.43163427487063</v>
      </c>
      <c r="I66" s="64">
        <f t="shared" si="7"/>
        <v>68.175809272056526</v>
      </c>
      <c r="J66" s="64">
        <f t="shared" si="8"/>
        <v>21.824190727943474</v>
      </c>
      <c r="K66" s="65">
        <f t="shared" si="9"/>
        <v>-104.49147740695399</v>
      </c>
      <c r="L66" s="64">
        <f t="shared" si="10"/>
        <v>61.855941700401168</v>
      </c>
      <c r="M66" s="64">
        <f t="shared" si="11"/>
        <v>28.144058299598832</v>
      </c>
      <c r="N66" s="65">
        <f t="shared" si="12"/>
        <v>-93.583854848272324</v>
      </c>
      <c r="O66" s="64">
        <f t="shared" si="13"/>
        <v>56.500070185857155</v>
      </c>
      <c r="P66" s="64">
        <f t="shared" si="14"/>
        <v>33.499929814142845</v>
      </c>
      <c r="Q66" s="65">
        <f t="shared" si="15"/>
        <v>-81.422996554688211</v>
      </c>
      <c r="R66" s="64">
        <f t="shared" si="16"/>
        <v>66.922237835290673</v>
      </c>
      <c r="S66" s="59">
        <f t="shared" si="17"/>
        <v>23.077762164709327</v>
      </c>
      <c r="T66" s="58">
        <f t="shared" si="18"/>
        <v>-102.51302859229497</v>
      </c>
      <c r="U66" s="69"/>
      <c r="V66" s="53"/>
      <c r="X66" s="50"/>
      <c r="Y66" s="50"/>
      <c r="Z66" s="50"/>
      <c r="AA66" s="50"/>
      <c r="AB66" s="50"/>
      <c r="AC66" s="50"/>
    </row>
    <row r="67" spans="1:29" x14ac:dyDescent="0.2">
      <c r="A67" s="67">
        <v>-63</v>
      </c>
      <c r="B67" s="66">
        <f t="shared" si="0"/>
        <v>-1.0995574287564276</v>
      </c>
      <c r="C67" s="64">
        <f t="shared" si="1"/>
        <v>81.817499831272386</v>
      </c>
      <c r="D67" s="64">
        <f t="shared" si="2"/>
        <v>8.1825001687276142</v>
      </c>
      <c r="E67" s="65">
        <f t="shared" si="3"/>
        <v>-124.32794613418696</v>
      </c>
      <c r="F67" s="64">
        <f t="shared" si="4"/>
        <v>74.378273121098331</v>
      </c>
      <c r="G67" s="64">
        <f t="shared" si="5"/>
        <v>15.621726878901669</v>
      </c>
      <c r="H67" s="65">
        <f t="shared" si="6"/>
        <v>-115.05825316904985</v>
      </c>
      <c r="I67" s="64">
        <f t="shared" si="7"/>
        <v>67.355900970735263</v>
      </c>
      <c r="J67" s="64">
        <f t="shared" si="8"/>
        <v>22.644099029264737</v>
      </c>
      <c r="K67" s="65">
        <f t="shared" si="9"/>
        <v>-105.10996770126138</v>
      </c>
      <c r="L67" s="64">
        <f t="shared" si="10"/>
        <v>61.009824665135838</v>
      </c>
      <c r="M67" s="64">
        <f t="shared" si="11"/>
        <v>28.990175334864162</v>
      </c>
      <c r="N67" s="65">
        <f t="shared" si="12"/>
        <v>-94.144903193900859</v>
      </c>
      <c r="O67" s="64">
        <f t="shared" si="13"/>
        <v>55.661021773192907</v>
      </c>
      <c r="P67" s="64">
        <f t="shared" si="14"/>
        <v>34.338978226807093</v>
      </c>
      <c r="Q67" s="65">
        <f t="shared" si="15"/>
        <v>-81.870073878802003</v>
      </c>
      <c r="R67" s="64">
        <f t="shared" si="16"/>
        <v>66.095328240981374</v>
      </c>
      <c r="S67" s="59">
        <f t="shared" si="17"/>
        <v>23.904671759018626</v>
      </c>
      <c r="T67" s="58">
        <f t="shared" si="18"/>
        <v>-103.12473714013272</v>
      </c>
      <c r="U67" s="69"/>
      <c r="V67" s="53"/>
      <c r="X67" s="50"/>
      <c r="Y67" s="50"/>
      <c r="Z67" s="50"/>
      <c r="AA67" s="50"/>
      <c r="AB67" s="50"/>
      <c r="AC67" s="50"/>
    </row>
    <row r="68" spans="1:29" x14ac:dyDescent="0.2">
      <c r="A68" s="67">
        <v>-62</v>
      </c>
      <c r="B68" s="66">
        <f t="shared" si="0"/>
        <v>-1.0821041362364843</v>
      </c>
      <c r="C68" s="64">
        <f t="shared" si="1"/>
        <v>81.119683146240959</v>
      </c>
      <c r="D68" s="64">
        <f t="shared" si="2"/>
        <v>8.8803168537590409</v>
      </c>
      <c r="E68" s="65">
        <f t="shared" si="3"/>
        <v>-124.93016858352479</v>
      </c>
      <c r="F68" s="64">
        <f t="shared" si="4"/>
        <v>73.612044705347216</v>
      </c>
      <c r="G68" s="64">
        <f t="shared" si="5"/>
        <v>16.387955294652784</v>
      </c>
      <c r="H68" s="64">
        <f t="shared" si="6"/>
        <v>-115.69242815490257</v>
      </c>
      <c r="I68" s="72">
        <f t="shared" si="7"/>
        <v>66.538393431487478</v>
      </c>
      <c r="J68" s="64">
        <f t="shared" si="8"/>
        <v>23.461606568512522</v>
      </c>
      <c r="K68" s="65">
        <f t="shared" si="9"/>
        <v>-105.7358760987082</v>
      </c>
      <c r="L68" s="64">
        <f t="shared" si="10"/>
        <v>60.164311122621896</v>
      </c>
      <c r="M68" s="64">
        <f t="shared" si="11"/>
        <v>29.835688877378104</v>
      </c>
      <c r="N68" s="65">
        <f t="shared" si="12"/>
        <v>-94.71174791537986</v>
      </c>
      <c r="O68" s="64">
        <f t="shared" si="13"/>
        <v>54.821035660477406</v>
      </c>
      <c r="P68" s="64">
        <f t="shared" si="14"/>
        <v>35.178964339522594</v>
      </c>
      <c r="Q68" s="65">
        <f t="shared" si="15"/>
        <v>-82.319059042956425</v>
      </c>
      <c r="R68" s="64">
        <f t="shared" si="16"/>
        <v>65.270486907765161</v>
      </c>
      <c r="S68" s="59">
        <f t="shared" si="17"/>
        <v>24.729513092234839</v>
      </c>
      <c r="T68" s="58">
        <f t="shared" si="18"/>
        <v>-103.7436988209605</v>
      </c>
      <c r="U68" s="68"/>
      <c r="V68" s="53"/>
      <c r="X68" s="50"/>
      <c r="Y68" s="50"/>
      <c r="Z68" s="50"/>
      <c r="AA68" s="50"/>
      <c r="AB68" s="50"/>
      <c r="AC68" s="50"/>
    </row>
    <row r="69" spans="1:29" x14ac:dyDescent="0.2">
      <c r="A69" s="67">
        <v>-61</v>
      </c>
      <c r="B69" s="66">
        <f t="shared" si="0"/>
        <v>-1.064650843716541</v>
      </c>
      <c r="C69" s="64">
        <f t="shared" si="1"/>
        <v>80.427000718823919</v>
      </c>
      <c r="D69" s="64">
        <f t="shared" si="2"/>
        <v>9.5729992811760809</v>
      </c>
      <c r="E69" s="65">
        <f t="shared" si="3"/>
        <v>-125.53957580381513</v>
      </c>
      <c r="F69" s="64">
        <f t="shared" si="4"/>
        <v>72.84991096944961</v>
      </c>
      <c r="G69" s="64">
        <f t="shared" si="5"/>
        <v>17.15008903055039</v>
      </c>
      <c r="H69" s="64">
        <f t="shared" si="6"/>
        <v>-116.33443421838034</v>
      </c>
      <c r="I69" s="72">
        <f t="shared" si="7"/>
        <v>65.723414162779946</v>
      </c>
      <c r="J69" s="64">
        <f t="shared" si="8"/>
        <v>24.276585837220054</v>
      </c>
      <c r="K69" s="65">
        <f t="shared" si="9"/>
        <v>-106.3695730666827</v>
      </c>
      <c r="L69" s="64">
        <f t="shared" si="10"/>
        <v>59.31949070131612</v>
      </c>
      <c r="M69" s="64">
        <f t="shared" si="11"/>
        <v>30.68050929868388</v>
      </c>
      <c r="N69" s="65">
        <f t="shared" si="12"/>
        <v>-95.284780918856626</v>
      </c>
      <c r="O69" s="64">
        <f t="shared" si="13"/>
        <v>53.980159297379245</v>
      </c>
      <c r="P69" s="64">
        <f t="shared" si="14"/>
        <v>36.019840702620755</v>
      </c>
      <c r="Q69" s="65">
        <f t="shared" si="15"/>
        <v>-82.770209466119411</v>
      </c>
      <c r="R69" s="64">
        <f t="shared" si="16"/>
        <v>64.447835718546003</v>
      </c>
      <c r="S69" s="59">
        <f t="shared" si="17"/>
        <v>25.552164281453997</v>
      </c>
      <c r="T69" s="58">
        <f t="shared" si="18"/>
        <v>-104.37029630797623</v>
      </c>
      <c r="U69" s="66"/>
      <c r="V69" s="53"/>
      <c r="X69" s="50"/>
      <c r="Y69" s="50"/>
      <c r="Z69" s="50"/>
      <c r="AA69" s="50"/>
      <c r="AB69" s="50"/>
      <c r="AC69" s="50"/>
    </row>
    <row r="70" spans="1:29" s="54" customFormat="1" x14ac:dyDescent="0.2">
      <c r="A70" s="63">
        <v>-60</v>
      </c>
      <c r="B70" s="62">
        <f t="shared" si="0"/>
        <v>-1.0471975511965976</v>
      </c>
      <c r="C70" s="60">
        <f t="shared" si="1"/>
        <v>79.739592979490382</v>
      </c>
      <c r="D70" s="60">
        <f t="shared" si="2"/>
        <v>10.260407020509618</v>
      </c>
      <c r="E70" s="61">
        <f t="shared" si="3"/>
        <v>-126.15633413880917</v>
      </c>
      <c r="F70" s="60">
        <f t="shared" si="4"/>
        <v>72.092019358769178</v>
      </c>
      <c r="G70" s="60">
        <f t="shared" si="5"/>
        <v>17.907980641230822</v>
      </c>
      <c r="H70" s="60">
        <f t="shared" si="6"/>
        <v>-116.984550808503</v>
      </c>
      <c r="I70" s="73">
        <f t="shared" si="7"/>
        <v>64.911095537522598</v>
      </c>
      <c r="J70" s="60">
        <f t="shared" si="8"/>
        <v>25.088904462477402</v>
      </c>
      <c r="K70" s="61">
        <f t="shared" si="9"/>
        <v>-107.01144033520333</v>
      </c>
      <c r="L70" s="60">
        <f t="shared" si="10"/>
        <v>58.475456173681614</v>
      </c>
      <c r="M70" s="60">
        <f t="shared" si="11"/>
        <v>31.524543826318386</v>
      </c>
      <c r="N70" s="61">
        <f t="shared" si="12"/>
        <v>-95.864410799578479</v>
      </c>
      <c r="O70" s="60">
        <f t="shared" si="13"/>
        <v>53.138440417164254</v>
      </c>
      <c r="P70" s="60">
        <f t="shared" si="14"/>
        <v>36.861559582835746</v>
      </c>
      <c r="Q70" s="61">
        <f t="shared" si="15"/>
        <v>-83.223794400118152</v>
      </c>
      <c r="R70" s="60">
        <f t="shared" si="16"/>
        <v>63.627501246522598</v>
      </c>
      <c r="S70" s="59">
        <f t="shared" si="17"/>
        <v>26.372498753477402</v>
      </c>
      <c r="T70" s="58">
        <f t="shared" si="18"/>
        <v>-105.00492488651548</v>
      </c>
      <c r="U70" s="62"/>
      <c r="V70" s="56">
        <f>E70</f>
        <v>-126.15633413880917</v>
      </c>
      <c r="W70" s="55"/>
      <c r="X70" s="55"/>
      <c r="Y70" s="55"/>
      <c r="Z70" s="55"/>
      <c r="AA70" s="55">
        <f>D70</f>
        <v>10.260407020509618</v>
      </c>
      <c r="AB70" s="55"/>
      <c r="AC70" s="55"/>
    </row>
    <row r="71" spans="1:29" x14ac:dyDescent="0.2">
      <c r="A71" s="67">
        <v>-59</v>
      </c>
      <c r="B71" s="66">
        <f t="shared" si="0"/>
        <v>-1.0297442586766545</v>
      </c>
      <c r="C71" s="64">
        <f t="shared" si="1"/>
        <v>79.057604028548738</v>
      </c>
      <c r="D71" s="64">
        <f t="shared" si="2"/>
        <v>10.942395971451262</v>
      </c>
      <c r="E71" s="65">
        <f t="shared" si="3"/>
        <v>-126.78061008761344</v>
      </c>
      <c r="F71" s="64">
        <f t="shared" si="4"/>
        <v>71.338522268586416</v>
      </c>
      <c r="G71" s="64">
        <f t="shared" si="5"/>
        <v>18.661477731413584</v>
      </c>
      <c r="H71" s="64">
        <f t="shared" si="6"/>
        <v>-117.64306185524792</v>
      </c>
      <c r="I71" s="72">
        <f t="shared" si="7"/>
        <v>64.10157509179156</v>
      </c>
      <c r="J71" s="64">
        <f t="shared" si="8"/>
        <v>25.89842490820844</v>
      </c>
      <c r="K71" s="65">
        <f t="shared" si="9"/>
        <v>-107.66187142049313</v>
      </c>
      <c r="L71" s="64">
        <f t="shared" si="10"/>
        <v>57.632303737856013</v>
      </c>
      <c r="M71" s="64">
        <f t="shared" si="11"/>
        <v>32.367696262143987</v>
      </c>
      <c r="N71" s="65">
        <f t="shared" si="12"/>
        <v>-96.451064029020785</v>
      </c>
      <c r="O71" s="64">
        <f t="shared" si="13"/>
        <v>52.295927140035445</v>
      </c>
      <c r="P71" s="64">
        <f t="shared" si="14"/>
        <v>37.704072859964555</v>
      </c>
      <c r="Q71" s="65">
        <f t="shared" si="15"/>
        <v>-83.680095993611701</v>
      </c>
      <c r="R71" s="64">
        <f t="shared" si="16"/>
        <v>62.809615064244561</v>
      </c>
      <c r="S71" s="59">
        <f t="shared" si="17"/>
        <v>27.190384935755439</v>
      </c>
      <c r="T71" s="58">
        <f t="shared" si="18"/>
        <v>-105.64799310762446</v>
      </c>
      <c r="U71" s="66"/>
      <c r="V71" s="53">
        <f>H70</f>
        <v>-116.984550808503</v>
      </c>
      <c r="X71" s="50"/>
      <c r="Y71" s="50"/>
      <c r="Z71" s="50"/>
      <c r="AA71" s="50">
        <f>G70</f>
        <v>17.907980641230822</v>
      </c>
      <c r="AB71" s="50"/>
      <c r="AC71" s="50"/>
    </row>
    <row r="72" spans="1:29" x14ac:dyDescent="0.2">
      <c r="A72" s="67">
        <v>-58</v>
      </c>
      <c r="B72" s="66">
        <f t="shared" si="0"/>
        <v>-1.0122909661567112</v>
      </c>
      <c r="C72" s="64">
        <f t="shared" si="1"/>
        <v>78.381181703346627</v>
      </c>
      <c r="D72" s="64">
        <f t="shared" si="2"/>
        <v>11.618818296653373</v>
      </c>
      <c r="E72" s="65">
        <f t="shared" si="3"/>
        <v>-127.41257011819755</v>
      </c>
      <c r="F72" s="64">
        <f t="shared" si="4"/>
        <v>70.589577236545907</v>
      </c>
      <c r="G72" s="64">
        <f t="shared" si="5"/>
        <v>19.410422763454093</v>
      </c>
      <c r="H72" s="64">
        <f t="shared" si="6"/>
        <v>-118.31025576247059</v>
      </c>
      <c r="I72" s="72">
        <f t="shared" si="7"/>
        <v>63.294995838536728</v>
      </c>
      <c r="J72" s="64">
        <f t="shared" si="8"/>
        <v>26.705004161463272</v>
      </c>
      <c r="K72" s="65">
        <f t="shared" si="9"/>
        <v>-108.32127215283478</v>
      </c>
      <c r="L72" s="64">
        <f t="shared" si="10"/>
        <v>56.790133319636183</v>
      </c>
      <c r="M72" s="64">
        <f t="shared" si="11"/>
        <v>33.209866680363817</v>
      </c>
      <c r="N72" s="65">
        <f t="shared" si="12"/>
        <v>-97.045186221713578</v>
      </c>
      <c r="O72" s="64">
        <f t="shared" si="13"/>
        <v>51.452668083777581</v>
      </c>
      <c r="P72" s="64">
        <f t="shared" si="14"/>
        <v>38.547331916222419</v>
      </c>
      <c r="Q72" s="65">
        <f t="shared" si="15"/>
        <v>-84.139410456185061</v>
      </c>
      <c r="R72" s="64">
        <f t="shared" si="16"/>
        <v>61.994314069674793</v>
      </c>
      <c r="S72" s="59">
        <f t="shared" si="17"/>
        <v>28.005685930325207</v>
      </c>
      <c r="T72" s="58">
        <f t="shared" si="18"/>
        <v>-106.29992345747866</v>
      </c>
      <c r="U72" s="66"/>
      <c r="V72" s="53">
        <f>K70</f>
        <v>-107.01144033520333</v>
      </c>
      <c r="X72" s="50"/>
      <c r="Y72" s="50"/>
      <c r="Z72" s="50"/>
      <c r="AA72" s="50">
        <f>J70</f>
        <v>25.088904462477402</v>
      </c>
      <c r="AB72" s="50"/>
      <c r="AC72" s="50"/>
    </row>
    <row r="73" spans="1:29" x14ac:dyDescent="0.2">
      <c r="A73" s="67">
        <v>-57</v>
      </c>
      <c r="B73" s="66">
        <f t="shared" si="0"/>
        <v>-0.99483767363676789</v>
      </c>
      <c r="C73" s="64">
        <f t="shared" si="1"/>
        <v>77.710477642163966</v>
      </c>
      <c r="D73" s="64">
        <f t="shared" si="2"/>
        <v>12.289522357836034</v>
      </c>
      <c r="E73" s="65">
        <f t="shared" si="3"/>
        <v>-128.0523804595432</v>
      </c>
      <c r="F73" s="64">
        <f t="shared" si="4"/>
        <v>69.845347138358974</v>
      </c>
      <c r="G73" s="64">
        <f t="shared" si="5"/>
        <v>20.154652861641026</v>
      </c>
      <c r="H73" s="64">
        <f t="shared" si="6"/>
        <v>-118.98642537312831</v>
      </c>
      <c r="I73" s="72">
        <f t="shared" si="7"/>
        <v>62.49150659703016</v>
      </c>
      <c r="J73" s="64">
        <f t="shared" si="8"/>
        <v>27.50849340296984</v>
      </c>
      <c r="K73" s="65">
        <f t="shared" si="9"/>
        <v>-108.990061206557</v>
      </c>
      <c r="L73" s="64">
        <f t="shared" si="10"/>
        <v>55.949048896718409</v>
      </c>
      <c r="M73" s="64">
        <f t="shared" si="11"/>
        <v>34.050951103281591</v>
      </c>
      <c r="N73" s="65">
        <f t="shared" si="12"/>
        <v>-97.647243487610794</v>
      </c>
      <c r="O73" s="64">
        <f t="shared" si="13"/>
        <v>50.608712482656685</v>
      </c>
      <c r="P73" s="64">
        <f t="shared" si="14"/>
        <v>39.391287517343315</v>
      </c>
      <c r="Q73" s="65">
        <f t="shared" si="15"/>
        <v>-84.602049334019469</v>
      </c>
      <c r="R73" s="64">
        <f t="shared" si="16"/>
        <v>61.181740830294558</v>
      </c>
      <c r="S73" s="59">
        <f t="shared" si="17"/>
        <v>28.818259169705442</v>
      </c>
      <c r="T73" s="58">
        <f t="shared" si="18"/>
        <v>-106.96115304136173</v>
      </c>
      <c r="U73" s="66"/>
      <c r="V73" s="53">
        <f>N70</f>
        <v>-95.864410799578479</v>
      </c>
      <c r="X73" s="50"/>
      <c r="Y73" s="50"/>
      <c r="Z73" s="50"/>
      <c r="AA73" s="50">
        <f>M70</f>
        <v>31.524543826318386</v>
      </c>
      <c r="AB73" s="50"/>
      <c r="AC73" s="50"/>
    </row>
    <row r="74" spans="1:29" x14ac:dyDescent="0.2">
      <c r="A74" s="67">
        <v>-56</v>
      </c>
      <c r="B74" s="66">
        <f t="shared" ref="B74:B137" si="19">RADIANS(A74)</f>
        <v>-0.97738438111682457</v>
      </c>
      <c r="C74" s="64">
        <f t="shared" ref="C74:C137" si="20">DEGREES(ACOS(SIN(C$5)*SIN($C$6)+COS(C$5)*COS($C$6)*COS($B74)))</f>
        <v>77.0456473442553</v>
      </c>
      <c r="D74" s="64">
        <f t="shared" ref="D74:D137" si="21">90-C74</f>
        <v>12.9543526557447</v>
      </c>
      <c r="E74" s="65">
        <f t="shared" ref="E74:E130" si="22">DEGREES(-ACOS((SIN(RADIANS(D74))*SIN($C$6)-SIN(C$5))/(COS(RADIANS(D74))*COS($C$6))))</f>
        <v>-128.70020687133069</v>
      </c>
      <c r="F74" s="64">
        <f t="shared" ref="F74:F137" si="23">DEGREES(ACOS(SIN(G$5)*SIN($C$6)+COS(G$5)*COS($C$6)*COS($B74)))</f>
        <v>69.106000386374049</v>
      </c>
      <c r="G74" s="64">
        <f t="shared" ref="G74:G137" si="24">90-F74</f>
        <v>20.893999613625951</v>
      </c>
      <c r="H74" s="64">
        <f t="shared" ref="H74:H130" si="25">DEGREES(-ACOS((SIN(RADIANS(G74))*SIN($C$6)-SIN(G$5))/(COS(RADIANS(G74))*COS($C$6))))</f>
        <v>-119.67186790382947</v>
      </c>
      <c r="I74" s="72">
        <f t="shared" ref="I74:I137" si="26">DEGREES(ACOS(SIN(J$5)*SIN($C$6)+COS(J$5)*COS($C$6)*COS($B74)))</f>
        <v>61.691262338808187</v>
      </c>
      <c r="J74" s="64">
        <f t="shared" ref="J74:J137" si="27">90-I74</f>
        <v>28.308737661191813</v>
      </c>
      <c r="K74" s="65">
        <f t="shared" ref="K74:K130" si="28">DEGREES(-ACOS((SIN(RADIANS(J74))*SIN($C$6)-SIN(J$5))/(COS(RADIANS(J74))*COS($C$6))))</f>
        <v>-109.66867062952824</v>
      </c>
      <c r="L74" s="64">
        <f t="shared" ref="L74:L137" si="29">DEGREES(ACOS(SIN(M$5)*SIN($C$6)+COS(M$5)*COS($C$6)*COS($B74)))</f>
        <v>55.109158847313942</v>
      </c>
      <c r="M74" s="64">
        <f t="shared" ref="M74:M137" si="30">90-L74</f>
        <v>34.890841152686058</v>
      </c>
      <c r="N74" s="65">
        <f t="shared" ref="N74:N130" si="31">DEGREES(-ACOS((SIN(RADIANS(M74))*SIN($C$6)-SIN(M$5))/(COS(RADIANS(M74))*COS($C$6))))</f>
        <v>-98.257723876179725</v>
      </c>
      <c r="O74" s="64">
        <f t="shared" ref="O74:O137" si="32">DEGREES(ACOS(SIN(P$5)*SIN($C$6)+COS(P$5)*COS($C$6)*COS($B74)))</f>
        <v>49.764110315647919</v>
      </c>
      <c r="P74" s="64">
        <f t="shared" ref="P74:P137" si="33">90-O74</f>
        <v>40.235889684352081</v>
      </c>
      <c r="Q74" s="65">
        <f t="shared" ref="Q74:Q130" si="34">DEGREES(-ACOS((SIN(RADIANS(P74))*SIN($C$6)-SIN(P$5))/(COS(RADIANS(P74))*COS($C$6))))</f>
        <v>-85.068340910091138</v>
      </c>
      <c r="R74" s="64">
        <f t="shared" ref="R74:R137" si="35">DEGREES(ACOS(SIN(S$5)*SIN($C$6)+COS(S$5)*COS($C$6)*COS($B74)))</f>
        <v>60.372043946316282</v>
      </c>
      <c r="S74" s="59">
        <f t="shared" ref="S74:S137" si="36">90-R74</f>
        <v>29.627956053683718</v>
      </c>
      <c r="T74" s="58">
        <f t="shared" ref="T74:T130" si="37">DEGREES(-ACOS((SIN(RADIANS(S74))*SIN($C$6)-SIN(S$5))/(COS(RADIANS(S74))*COS($C$6))))</f>
        <v>-107.6321342804781</v>
      </c>
      <c r="U74" s="66"/>
      <c r="V74" s="53">
        <f>Q70</f>
        <v>-83.223794400118152</v>
      </c>
      <c r="X74" s="50"/>
      <c r="Y74" s="50"/>
      <c r="Z74" s="50"/>
      <c r="AA74" s="50">
        <f>P70</f>
        <v>36.861559582835746</v>
      </c>
      <c r="AB74" s="50"/>
      <c r="AC74" s="50"/>
    </row>
    <row r="75" spans="1:29" x14ac:dyDescent="0.2">
      <c r="A75" s="67">
        <v>-55</v>
      </c>
      <c r="B75" s="66">
        <f t="shared" si="19"/>
        <v>-0.95993108859688125</v>
      </c>
      <c r="C75" s="64">
        <f t="shared" si="20"/>
        <v>76.386850225454268</v>
      </c>
      <c r="D75" s="64">
        <f t="shared" si="21"/>
        <v>13.613149774545732</v>
      </c>
      <c r="E75" s="65">
        <f t="shared" si="22"/>
        <v>-129.35621439004521</v>
      </c>
      <c r="F75" s="64">
        <f t="shared" si="23"/>
        <v>68.371711130545151</v>
      </c>
      <c r="G75" s="64">
        <f t="shared" si="24"/>
        <v>21.628288869454849</v>
      </c>
      <c r="H75" s="64">
        <f t="shared" si="25"/>
        <v>-120.3668848454674</v>
      </c>
      <c r="I75" s="72">
        <f t="shared" si="26"/>
        <v>60.894424550848193</v>
      </c>
      <c r="J75" s="64">
        <f t="shared" si="27"/>
        <v>29.105575449151807</v>
      </c>
      <c r="K75" s="65">
        <f t="shared" si="28"/>
        <v>-110.35754636898791</v>
      </c>
      <c r="L75" s="64">
        <f t="shared" si="29"/>
        <v>54.270576325460759</v>
      </c>
      <c r="M75" s="64">
        <f t="shared" si="30"/>
        <v>35.729423674539241</v>
      </c>
      <c r="N75" s="65">
        <f t="shared" si="31"/>
        <v>-98.877138918715431</v>
      </c>
      <c r="O75" s="64">
        <f t="shared" si="32"/>
        <v>48.918912445208221</v>
      </c>
      <c r="P75" s="64">
        <f t="shared" si="33"/>
        <v>41.081087554791779</v>
      </c>
      <c r="Q75" s="65">
        <f t="shared" si="34"/>
        <v>-85.538631743568217</v>
      </c>
      <c r="R75" s="64">
        <f t="shared" si="35"/>
        <v>59.565378434091713</v>
      </c>
      <c r="S75" s="59">
        <f t="shared" si="36"/>
        <v>30.434621565908287</v>
      </c>
      <c r="T75" s="58">
        <f t="shared" si="37"/>
        <v>-108.31333561935756</v>
      </c>
      <c r="U75" s="66"/>
      <c r="V75" s="53"/>
      <c r="X75" s="50"/>
      <c r="Y75" s="50"/>
      <c r="Z75" s="50"/>
      <c r="AA75" s="50"/>
      <c r="AB75" s="50"/>
      <c r="AC75" s="50"/>
    </row>
    <row r="76" spans="1:29" x14ac:dyDescent="0.2">
      <c r="A76" s="67">
        <v>-54</v>
      </c>
      <c r="B76" s="66">
        <f t="shared" si="19"/>
        <v>-0.94247779607693793</v>
      </c>
      <c r="C76" s="64">
        <f t="shared" si="20"/>
        <v>75.73424966870553</v>
      </c>
      <c r="D76" s="64">
        <f t="shared" si="21"/>
        <v>14.26575033129447</v>
      </c>
      <c r="E76" s="65">
        <f t="shared" si="22"/>
        <v>-130.02056705038271</v>
      </c>
      <c r="F76" s="64">
        <f t="shared" si="23"/>
        <v>67.642659461235709</v>
      </c>
      <c r="G76" s="64">
        <f t="shared" si="24"/>
        <v>22.357340538764291</v>
      </c>
      <c r="H76" s="64">
        <f t="shared" si="25"/>
        <v>-121.07178182642731</v>
      </c>
      <c r="I76" s="72">
        <f t="shared" si="26"/>
        <v>60.101161616698519</v>
      </c>
      <c r="J76" s="64">
        <f t="shared" si="27"/>
        <v>29.898838383301481</v>
      </c>
      <c r="K76" s="65">
        <f t="shared" si="28"/>
        <v>-111.0571487899217</v>
      </c>
      <c r="L76" s="64">
        <f t="shared" si="29"/>
        <v>53.433419665572494</v>
      </c>
      <c r="M76" s="64">
        <f t="shared" si="30"/>
        <v>36.566580334427506</v>
      </c>
      <c r="N76" s="65">
        <f t="shared" si="31"/>
        <v>-99.506025275693247</v>
      </c>
      <c r="O76" s="64">
        <f t="shared" si="32"/>
        <v>48.073170767974773</v>
      </c>
      <c r="P76" s="64">
        <f t="shared" si="33"/>
        <v>41.926829232025227</v>
      </c>
      <c r="Q76" s="65">
        <f t="shared" si="34"/>
        <v>-86.013288365048737</v>
      </c>
      <c r="R76" s="64">
        <f t="shared" si="35"/>
        <v>58.761906130820108</v>
      </c>
      <c r="S76" s="59">
        <f t="shared" si="36"/>
        <v>31.238093869179892</v>
      </c>
      <c r="T76" s="58">
        <f t="shared" si="37"/>
        <v>-109.00524224100124</v>
      </c>
      <c r="U76" s="66"/>
      <c r="V76" s="53"/>
      <c r="X76" s="50"/>
      <c r="Y76" s="50"/>
      <c r="Z76" s="50"/>
      <c r="AA76" s="50"/>
      <c r="AB76" s="50"/>
      <c r="AC76" s="50"/>
    </row>
    <row r="77" spans="1:29" x14ac:dyDescent="0.2">
      <c r="A77" s="67">
        <v>-53</v>
      </c>
      <c r="B77" s="66">
        <f t="shared" si="19"/>
        <v>-0.92502450355699462</v>
      </c>
      <c r="C77" s="64">
        <f t="shared" si="20"/>
        <v>75.088013068841803</v>
      </c>
      <c r="D77" s="64">
        <f t="shared" si="21"/>
        <v>14.911986931158197</v>
      </c>
      <c r="E77" s="65">
        <f t="shared" si="22"/>
        <v>-130.69342758084215</v>
      </c>
      <c r="F77" s="64">
        <f t="shared" si="23"/>
        <v>66.919031613193297</v>
      </c>
      <c r="G77" s="64">
        <f t="shared" si="24"/>
        <v>23.080968386806703</v>
      </c>
      <c r="H77" s="64">
        <f t="shared" si="25"/>
        <v>-121.78686843457228</v>
      </c>
      <c r="I77" s="72">
        <f t="shared" si="26"/>
        <v>59.311649216244724</v>
      </c>
      <c r="J77" s="64">
        <f t="shared" si="27"/>
        <v>30.688350783755276</v>
      </c>
      <c r="K77" s="65">
        <f t="shared" si="28"/>
        <v>-111.76795318147458</v>
      </c>
      <c r="L77" s="64">
        <f t="shared" si="29"/>
        <v>52.597812819004808</v>
      </c>
      <c r="M77" s="64">
        <f t="shared" si="30"/>
        <v>37.402187180995192</v>
      </c>
      <c r="N77" s="65">
        <f t="shared" si="31"/>
        <v>-100.14494649625668</v>
      </c>
      <c r="O77" s="64">
        <f t="shared" si="32"/>
        <v>47.226938378960419</v>
      </c>
      <c r="P77" s="64">
        <f t="shared" si="33"/>
        <v>42.773061621039581</v>
      </c>
      <c r="Q77" s="65">
        <f t="shared" si="34"/>
        <v>-86.492699146554926</v>
      </c>
      <c r="R77" s="64">
        <f t="shared" si="35"/>
        <v>57.961796121666204</v>
      </c>
      <c r="S77" s="59">
        <f t="shared" si="36"/>
        <v>32.038203878333796</v>
      </c>
      <c r="T77" s="58">
        <f t="shared" si="37"/>
        <v>-109.70835678621513</v>
      </c>
      <c r="U77" s="66"/>
      <c r="V77" s="53"/>
      <c r="X77" s="50"/>
      <c r="Y77" s="50"/>
      <c r="Z77" s="50"/>
      <c r="AA77" s="50"/>
      <c r="AB77" s="50"/>
      <c r="AC77" s="50"/>
    </row>
    <row r="78" spans="1:29" x14ac:dyDescent="0.2">
      <c r="A78" s="67">
        <v>-52</v>
      </c>
      <c r="B78" s="66">
        <f t="shared" si="19"/>
        <v>-0.90757121103705141</v>
      </c>
      <c r="C78" s="64">
        <f t="shared" si="20"/>
        <v>74.448311870874818</v>
      </c>
      <c r="D78" s="64">
        <f t="shared" si="21"/>
        <v>15.551688129125182</v>
      </c>
      <c r="E78" s="65">
        <f t="shared" si="22"/>
        <v>-131.37495707241018</v>
      </c>
      <c r="F78" s="64">
        <f t="shared" si="23"/>
        <v>66.2010201699172</v>
      </c>
      <c r="G78" s="64">
        <f t="shared" si="24"/>
        <v>23.7989798300828</v>
      </c>
      <c r="H78" s="64">
        <f t="shared" si="25"/>
        <v>-122.51245799392851</v>
      </c>
      <c r="I78" s="72">
        <f t="shared" si="26"/>
        <v>58.526070744745837</v>
      </c>
      <c r="J78" s="64">
        <f t="shared" si="27"/>
        <v>31.473929255254163</v>
      </c>
      <c r="K78" s="65">
        <f t="shared" si="28"/>
        <v>-112.49045024608462</v>
      </c>
      <c r="L78" s="64">
        <f t="shared" si="29"/>
        <v>51.763885825683289</v>
      </c>
      <c r="M78" s="64">
        <f t="shared" si="30"/>
        <v>38.236114174316711</v>
      </c>
      <c r="N78" s="65">
        <f t="shared" si="31"/>
        <v>-100.79449489717518</v>
      </c>
      <c r="O78" s="64">
        <f t="shared" si="32"/>
        <v>46.38026975103881</v>
      </c>
      <c r="P78" s="64">
        <f t="shared" si="33"/>
        <v>43.61973024896119</v>
      </c>
      <c r="Q78" s="65">
        <f t="shared" si="34"/>
        <v>-86.977276367819371</v>
      </c>
      <c r="R78" s="64">
        <f t="shared" si="35"/>
        <v>57.165225190393762</v>
      </c>
      <c r="S78" s="59">
        <f t="shared" si="36"/>
        <v>32.834774809606238</v>
      </c>
      <c r="T78" s="58">
        <f t="shared" si="37"/>
        <v>-110.42320007275192</v>
      </c>
      <c r="U78" s="66"/>
      <c r="V78" s="53"/>
      <c r="X78" s="50"/>
      <c r="Y78" s="50"/>
      <c r="Z78" s="50"/>
      <c r="AA78" s="50"/>
      <c r="AB78" s="50"/>
      <c r="AC78" s="50"/>
    </row>
    <row r="79" spans="1:29" x14ac:dyDescent="0.2">
      <c r="A79" s="67">
        <v>-51</v>
      </c>
      <c r="B79" s="66">
        <f t="shared" si="19"/>
        <v>-0.89011791851710809</v>
      </c>
      <c r="C79" s="64">
        <f t="shared" si="20"/>
        <v>73.815321601018411</v>
      </c>
      <c r="D79" s="64">
        <f t="shared" si="21"/>
        <v>16.184678398981589</v>
      </c>
      <c r="E79" s="65">
        <f t="shared" si="22"/>
        <v>-132.06531461927892</v>
      </c>
      <c r="F79" s="64">
        <f t="shared" si="23"/>
        <v>65.488824267516009</v>
      </c>
      <c r="G79" s="64">
        <f t="shared" si="24"/>
        <v>24.511175732483991</v>
      </c>
      <c r="H79" s="64">
        <f t="shared" si="25"/>
        <v>-123.24886729169776</v>
      </c>
      <c r="I79" s="72">
        <f t="shared" si="26"/>
        <v>57.744617751704894</v>
      </c>
      <c r="J79" s="64">
        <f t="shared" si="27"/>
        <v>32.255382248295106</v>
      </c>
      <c r="K79" s="65">
        <f t="shared" si="28"/>
        <v>-113.22514656510032</v>
      </c>
      <c r="L79" s="64">
        <f t="shared" si="29"/>
        <v>50.931775324122476</v>
      </c>
      <c r="M79" s="64">
        <f t="shared" si="30"/>
        <v>39.068224675877524</v>
      </c>
      <c r="N79" s="65">
        <f t="shared" si="31"/>
        <v>-101.45529356878507</v>
      </c>
      <c r="O79" s="64">
        <f t="shared" si="32"/>
        <v>45.533220931768049</v>
      </c>
      <c r="P79" s="64">
        <f t="shared" si="33"/>
        <v>44.466779068231951</v>
      </c>
      <c r="Q79" s="65">
        <f t="shared" si="34"/>
        <v>-87.467458503427878</v>
      </c>
      <c r="R79" s="64">
        <f t="shared" si="35"/>
        <v>56.3723782945994</v>
      </c>
      <c r="S79" s="59">
        <f t="shared" si="36"/>
        <v>33.6276217054006</v>
      </c>
      <c r="T79" s="58">
        <f t="shared" si="37"/>
        <v>-111.15031180893077</v>
      </c>
      <c r="U79" s="66"/>
      <c r="V79" s="53"/>
      <c r="X79" s="50"/>
      <c r="Y79" s="50"/>
      <c r="Z79" s="50"/>
      <c r="AA79" s="50"/>
      <c r="AB79" s="50"/>
      <c r="AC79" s="50"/>
    </row>
    <row r="80" spans="1:29" x14ac:dyDescent="0.2">
      <c r="A80" s="67">
        <v>-50</v>
      </c>
      <c r="B80" s="66">
        <f t="shared" si="19"/>
        <v>-0.87266462599716477</v>
      </c>
      <c r="C80" s="64">
        <f t="shared" si="20"/>
        <v>73.189221889611829</v>
      </c>
      <c r="D80" s="64">
        <f t="shared" si="21"/>
        <v>16.810778110388171</v>
      </c>
      <c r="E80" s="65">
        <f t="shared" si="22"/>
        <v>-132.76465693058685</v>
      </c>
      <c r="F80" s="64">
        <f t="shared" si="23"/>
        <v>64.782649797014869</v>
      </c>
      <c r="G80" s="64">
        <f t="shared" si="24"/>
        <v>25.217350202985131</v>
      </c>
      <c r="H80" s="64">
        <f t="shared" si="25"/>
        <v>-123.99641625093574</v>
      </c>
      <c r="I80" s="72">
        <f t="shared" si="26"/>
        <v>56.967490400048554</v>
      </c>
      <c r="J80" s="64">
        <f t="shared" si="27"/>
        <v>33.032509599951446</v>
      </c>
      <c r="K80" s="65">
        <f t="shared" si="28"/>
        <v>-113.97256503360353</v>
      </c>
      <c r="L80" s="64">
        <f t="shared" si="29"/>
        <v>50.101625103477687</v>
      </c>
      <c r="M80" s="64">
        <f t="shared" si="30"/>
        <v>39.898374896522313</v>
      </c>
      <c r="N80" s="65">
        <f t="shared" si="31"/>
        <v>-102.12799851551438</v>
      </c>
      <c r="O80" s="64">
        <f t="shared" si="32"/>
        <v>44.68584975990148</v>
      </c>
      <c r="P80" s="64">
        <f t="shared" si="33"/>
        <v>45.31415024009852</v>
      </c>
      <c r="Q80" s="65">
        <f t="shared" si="34"/>
        <v>-87.963712758890566</v>
      </c>
      <c r="R80" s="64">
        <f t="shared" si="35"/>
        <v>55.58344906659282</v>
      </c>
      <c r="S80" s="59">
        <f t="shared" si="36"/>
        <v>34.41655093340718</v>
      </c>
      <c r="T80" s="58">
        <f t="shared" si="37"/>
        <v>-111.89025129530209</v>
      </c>
      <c r="U80" s="66"/>
      <c r="V80" s="53"/>
      <c r="X80" s="50"/>
      <c r="Y80" s="50"/>
      <c r="Z80" s="50"/>
      <c r="AA80" s="50"/>
      <c r="AB80" s="50"/>
      <c r="AC80" s="50"/>
    </row>
    <row r="81" spans="1:29" x14ac:dyDescent="0.2">
      <c r="A81" s="67">
        <v>-49</v>
      </c>
      <c r="B81" s="66">
        <f t="shared" si="19"/>
        <v>-0.85521133347722145</v>
      </c>
      <c r="C81" s="64">
        <f t="shared" si="20"/>
        <v>72.570196485060691</v>
      </c>
      <c r="D81" s="64">
        <f t="shared" si="21"/>
        <v>17.429803514939309</v>
      </c>
      <c r="E81" s="65">
        <f t="shared" si="22"/>
        <v>-133.47313791224096</v>
      </c>
      <c r="F81" s="64">
        <f t="shared" si="23"/>
        <v>64.082709603922481</v>
      </c>
      <c r="G81" s="64">
        <f t="shared" si="24"/>
        <v>25.917290396077519</v>
      </c>
      <c r="H81" s="64">
        <f t="shared" si="25"/>
        <v>-124.75542754394679</v>
      </c>
      <c r="I81" s="72">
        <f t="shared" si="26"/>
        <v>56.194897945974574</v>
      </c>
      <c r="J81" s="64">
        <f t="shared" si="27"/>
        <v>33.805102054025426</v>
      </c>
      <c r="K81" s="65">
        <f t="shared" si="28"/>
        <v>-114.73324525598528</v>
      </c>
      <c r="L81" s="64">
        <f t="shared" si="29"/>
        <v>49.273586701608167</v>
      </c>
      <c r="M81" s="64">
        <f t="shared" si="30"/>
        <v>40.726413298391833</v>
      </c>
      <c r="N81" s="65">
        <f t="shared" si="31"/>
        <v>-102.81330093856697</v>
      </c>
      <c r="O81" s="64">
        <f t="shared" si="32"/>
        <v>43.838216104282836</v>
      </c>
      <c r="P81" s="64">
        <f t="shared" si="33"/>
        <v>46.161783895717164</v>
      </c>
      <c r="Q81" s="65">
        <f t="shared" si="34"/>
        <v>-88.466537887782536</v>
      </c>
      <c r="R81" s="64">
        <f t="shared" si="35"/>
        <v>54.798640340908328</v>
      </c>
      <c r="S81" s="59">
        <f t="shared" si="36"/>
        <v>35.201359659091672</v>
      </c>
      <c r="T81" s="58">
        <f t="shared" si="37"/>
        <v>-112.64359810665555</v>
      </c>
      <c r="U81" s="66"/>
      <c r="V81" s="53"/>
      <c r="X81" s="50"/>
      <c r="Y81" s="50"/>
      <c r="Z81" s="50"/>
      <c r="AA81" s="50"/>
      <c r="AB81" s="50"/>
      <c r="AC81" s="50"/>
    </row>
    <row r="82" spans="1:29" x14ac:dyDescent="0.2">
      <c r="A82" s="67">
        <v>-48</v>
      </c>
      <c r="B82" s="66">
        <f t="shared" si="19"/>
        <v>-0.83775804095727824</v>
      </c>
      <c r="C82" s="64">
        <f t="shared" si="20"/>
        <v>71.958433257862637</v>
      </c>
      <c r="D82" s="64">
        <f t="shared" si="21"/>
        <v>18.041566742137363</v>
      </c>
      <c r="E82" s="65">
        <f t="shared" si="22"/>
        <v>-134.19090821796664</v>
      </c>
      <c r="F82" s="64">
        <f t="shared" si="23"/>
        <v>63.389223683704181</v>
      </c>
      <c r="G82" s="64">
        <f t="shared" si="24"/>
        <v>26.610776316295819</v>
      </c>
      <c r="H82" s="64">
        <f t="shared" si="25"/>
        <v>-125.52622614117148</v>
      </c>
      <c r="I82" s="72">
        <f t="shared" si="26"/>
        <v>55.42705923967948</v>
      </c>
      <c r="J82" s="64">
        <f t="shared" si="27"/>
        <v>34.57294076032052</v>
      </c>
      <c r="K82" s="65">
        <f t="shared" si="28"/>
        <v>-115.50774389250458</v>
      </c>
      <c r="L82" s="64">
        <f t="shared" si="29"/>
        <v>48.447820053495256</v>
      </c>
      <c r="M82" s="64">
        <f t="shared" si="30"/>
        <v>41.552179946504744</v>
      </c>
      <c r="N82" s="65">
        <f t="shared" si="31"/>
        <v>-103.51192966815316</v>
      </c>
      <c r="O82" s="64">
        <f t="shared" si="32"/>
        <v>42.990382128232127</v>
      </c>
      <c r="P82" s="64">
        <f t="shared" si="33"/>
        <v>47.009617871767873</v>
      </c>
      <c r="Q82" s="65">
        <f t="shared" si="34"/>
        <v>-88.976467326826068</v>
      </c>
      <c r="R82" s="64">
        <f t="shared" si="35"/>
        <v>54.018164709342606</v>
      </c>
      <c r="S82" s="59">
        <f t="shared" si="36"/>
        <v>35.981835290657394</v>
      </c>
      <c r="T82" s="58">
        <f t="shared" si="37"/>
        <v>-113.41095274521304</v>
      </c>
      <c r="U82" s="66"/>
      <c r="V82" s="53"/>
      <c r="X82" s="50"/>
      <c r="Y82" s="50"/>
      <c r="Z82" s="50"/>
      <c r="AA82" s="50"/>
      <c r="AB82" s="50"/>
      <c r="AC82" s="50"/>
    </row>
    <row r="83" spans="1:29" x14ac:dyDescent="0.2">
      <c r="A83" s="67">
        <v>-47</v>
      </c>
      <c r="B83" s="66">
        <f t="shared" si="19"/>
        <v>-0.82030474843733492</v>
      </c>
      <c r="C83" s="64">
        <f t="shared" si="20"/>
        <v>71.354124193736112</v>
      </c>
      <c r="D83" s="64">
        <f t="shared" si="21"/>
        <v>18.645875806263888</v>
      </c>
      <c r="E83" s="65">
        <f t="shared" si="22"/>
        <v>-134.91811476884166</v>
      </c>
      <c r="F83" s="64">
        <f t="shared" si="23"/>
        <v>62.702419371630157</v>
      </c>
      <c r="G83" s="64">
        <f t="shared" si="24"/>
        <v>27.297580628369843</v>
      </c>
      <c r="H83" s="64">
        <f t="shared" si="25"/>
        <v>-126.30913879008124</v>
      </c>
      <c r="I83" s="72">
        <f t="shared" si="26"/>
        <v>54.664203246997971</v>
      </c>
      <c r="J83" s="64">
        <f t="shared" si="27"/>
        <v>35.335796753002029</v>
      </c>
      <c r="K83" s="65">
        <f t="shared" si="28"/>
        <v>-116.29663494558309</v>
      </c>
      <c r="L83" s="64">
        <f t="shared" si="29"/>
        <v>47.6244941947499</v>
      </c>
      <c r="M83" s="64">
        <f t="shared" si="30"/>
        <v>42.3755058052501</v>
      </c>
      <c r="N83" s="65">
        <f t="shared" si="31"/>
        <v>-104.22465375226606</v>
      </c>
      <c r="O83" s="64">
        <f t="shared" si="32"/>
        <v>42.142412583007783</v>
      </c>
      <c r="P83" s="64">
        <f t="shared" si="33"/>
        <v>47.857587416992217</v>
      </c>
      <c r="Q83" s="65">
        <f t="shared" si="34"/>
        <v>-89.494072691297276</v>
      </c>
      <c r="R83" s="64">
        <f t="shared" si="35"/>
        <v>53.242245104291591</v>
      </c>
      <c r="S83" s="59">
        <f t="shared" si="36"/>
        <v>36.757754895708409</v>
      </c>
      <c r="T83" s="58">
        <f t="shared" si="37"/>
        <v>-114.1929372541821</v>
      </c>
      <c r="U83" s="66"/>
      <c r="V83" s="53"/>
      <c r="X83" s="50"/>
      <c r="Y83" s="50"/>
      <c r="Z83" s="50"/>
      <c r="AA83" s="50"/>
      <c r="AB83" s="50"/>
      <c r="AC83" s="50"/>
    </row>
    <row r="84" spans="1:29" x14ac:dyDescent="0.2">
      <c r="A84" s="67">
        <v>-46</v>
      </c>
      <c r="B84" s="66">
        <f t="shared" si="19"/>
        <v>-0.8028514559173916</v>
      </c>
      <c r="C84" s="64">
        <f t="shared" si="20"/>
        <v>70.757465374823553</v>
      </c>
      <c r="D84" s="64">
        <f t="shared" si="21"/>
        <v>19.242534625176447</v>
      </c>
      <c r="E84" s="65">
        <f t="shared" si="22"/>
        <v>-135.65490024070536</v>
      </c>
      <c r="F84" s="64">
        <f t="shared" si="23"/>
        <v>62.022531525277095</v>
      </c>
      <c r="G84" s="64">
        <f t="shared" si="24"/>
        <v>27.977468474722905</v>
      </c>
      <c r="H84" s="64">
        <f t="shared" si="25"/>
        <v>-127.10449341836144</v>
      </c>
      <c r="I84" s="72">
        <f t="shared" si="26"/>
        <v>53.906569591762221</v>
      </c>
      <c r="J84" s="64">
        <f t="shared" si="27"/>
        <v>36.093430408237779</v>
      </c>
      <c r="K84" s="65">
        <f t="shared" si="28"/>
        <v>-117.10050997294616</v>
      </c>
      <c r="L84" s="64">
        <f t="shared" si="29"/>
        <v>46.803788025362167</v>
      </c>
      <c r="M84" s="64">
        <f t="shared" si="30"/>
        <v>43.196211974637833</v>
      </c>
      <c r="N84" s="65">
        <f t="shared" si="31"/>
        <v>-104.95228520834328</v>
      </c>
      <c r="O84" s="64">
        <f t="shared" si="32"/>
        <v>41.294375134494352</v>
      </c>
      <c r="P84" s="64">
        <f t="shared" si="33"/>
        <v>48.705624865505648</v>
      </c>
      <c r="Q84" s="65">
        <f t="shared" si="34"/>
        <v>-90.019967679573355</v>
      </c>
      <c r="R84" s="64">
        <f t="shared" si="35"/>
        <v>52.47111541099548</v>
      </c>
      <c r="S84" s="59">
        <f t="shared" si="36"/>
        <v>37.52888458900452</v>
      </c>
      <c r="T84" s="58">
        <f t="shared" si="37"/>
        <v>-114.99019577894596</v>
      </c>
      <c r="U84" s="66"/>
      <c r="V84" s="53"/>
      <c r="X84" s="50"/>
      <c r="Y84" s="50"/>
      <c r="Z84" s="50"/>
      <c r="AA84" s="50"/>
      <c r="AB84" s="50"/>
      <c r="AC84" s="50"/>
    </row>
    <row r="85" spans="1:29" s="54" customFormat="1" x14ac:dyDescent="0.2">
      <c r="A85" s="63">
        <v>-45</v>
      </c>
      <c r="B85" s="62">
        <f t="shared" si="19"/>
        <v>-0.78539816339744828</v>
      </c>
      <c r="C85" s="60">
        <f t="shared" si="20"/>
        <v>70.168656947895656</v>
      </c>
      <c r="D85" s="60">
        <f t="shared" si="21"/>
        <v>19.831343052104344</v>
      </c>
      <c r="E85" s="61">
        <f t="shared" si="22"/>
        <v>-136.40140251899646</v>
      </c>
      <c r="F85" s="60">
        <f t="shared" si="23"/>
        <v>61.349802697755756</v>
      </c>
      <c r="G85" s="60">
        <f t="shared" si="24"/>
        <v>28.650197302244244</v>
      </c>
      <c r="H85" s="60">
        <f t="shared" si="25"/>
        <v>-127.91261845546173</v>
      </c>
      <c r="I85" s="73">
        <f t="shared" si="26"/>
        <v>53.154409118419402</v>
      </c>
      <c r="J85" s="60">
        <f t="shared" si="27"/>
        <v>36.845590881580598</v>
      </c>
      <c r="K85" s="61">
        <f t="shared" si="28"/>
        <v>-117.91997821289543</v>
      </c>
      <c r="L85" s="60">
        <f t="shared" si="29"/>
        <v>45.985891139288903</v>
      </c>
      <c r="M85" s="60">
        <f t="shared" si="30"/>
        <v>44.014108860711097</v>
      </c>
      <c r="N85" s="61">
        <f t="shared" si="31"/>
        <v>-105.69568194315536</v>
      </c>
      <c r="O85" s="60">
        <f t="shared" si="32"/>
        <v>40.446340727929801</v>
      </c>
      <c r="P85" s="60">
        <f t="shared" si="33"/>
        <v>49.553659272070199</v>
      </c>
      <c r="Q85" s="61">
        <f t="shared" si="34"/>
        <v>-90.554812443159989</v>
      </c>
      <c r="R85" s="60">
        <f t="shared" si="35"/>
        <v>51.705021109090239</v>
      </c>
      <c r="S85" s="59">
        <f t="shared" si="36"/>
        <v>38.294978890909761</v>
      </c>
      <c r="T85" s="58">
        <f t="shared" si="37"/>
        <v>-115.80339506101176</v>
      </c>
      <c r="U85" s="62"/>
      <c r="V85" s="56">
        <f>E85</f>
        <v>-136.40140251899646</v>
      </c>
      <c r="W85" s="55"/>
      <c r="X85" s="55"/>
      <c r="Y85" s="55"/>
      <c r="Z85" s="55"/>
      <c r="AA85" s="55"/>
      <c r="AB85" s="55">
        <f>D85</f>
        <v>19.831343052104344</v>
      </c>
      <c r="AC85" s="55"/>
    </row>
    <row r="86" spans="1:29" x14ac:dyDescent="0.2">
      <c r="A86" s="67">
        <v>-44</v>
      </c>
      <c r="B86" s="66">
        <f t="shared" si="19"/>
        <v>-0.76794487087750496</v>
      </c>
      <c r="C86" s="64">
        <f t="shared" si="20"/>
        <v>69.587903078442807</v>
      </c>
      <c r="D86" s="64">
        <f t="shared" si="21"/>
        <v>20.412096921557193</v>
      </c>
      <c r="E86" s="65">
        <f t="shared" si="22"/>
        <v>-137.15775412076212</v>
      </c>
      <c r="F86" s="64">
        <f t="shared" si="23"/>
        <v>60.684483299519243</v>
      </c>
      <c r="G86" s="64">
        <f t="shared" si="24"/>
        <v>29.315516700480757</v>
      </c>
      <c r="H86" s="64">
        <f t="shared" si="25"/>
        <v>-128.7338420664355</v>
      </c>
      <c r="I86" s="72">
        <f t="shared" si="26"/>
        <v>52.407984474120099</v>
      </c>
      <c r="J86" s="64">
        <f t="shared" si="27"/>
        <v>37.592015525879901</v>
      </c>
      <c r="K86" s="65">
        <f t="shared" si="28"/>
        <v>-118.75566660499022</v>
      </c>
      <c r="L86" s="64">
        <f t="shared" si="29"/>
        <v>45.171004725940378</v>
      </c>
      <c r="M86" s="64">
        <f t="shared" si="30"/>
        <v>44.828995274059622</v>
      </c>
      <c r="N86" s="65">
        <f t="shared" si="31"/>
        <v>-106.45575084482776</v>
      </c>
      <c r="O86" s="64">
        <f t="shared" si="32"/>
        <v>39.598383996272084</v>
      </c>
      <c r="P86" s="64">
        <f t="shared" si="33"/>
        <v>50.401616003727916</v>
      </c>
      <c r="Q86" s="65">
        <f t="shared" si="34"/>
        <v>-91.099318487357465</v>
      </c>
      <c r="R86" s="64">
        <f t="shared" si="35"/>
        <v>50.944219943595257</v>
      </c>
      <c r="S86" s="59">
        <f t="shared" si="36"/>
        <v>39.055780056404743</v>
      </c>
      <c r="T86" s="58">
        <f t="shared" si="37"/>
        <v>-116.6332248474024</v>
      </c>
      <c r="U86" s="66"/>
      <c r="V86" s="53">
        <f>H85</f>
        <v>-127.91261845546173</v>
      </c>
      <c r="X86" s="50"/>
      <c r="Y86" s="50"/>
      <c r="Z86" s="50"/>
      <c r="AA86" s="50"/>
      <c r="AB86" s="50">
        <f>G85</f>
        <v>28.650197302244244</v>
      </c>
      <c r="AC86" s="50"/>
    </row>
    <row r="87" spans="1:29" x14ac:dyDescent="0.2">
      <c r="A87" s="67">
        <v>-43</v>
      </c>
      <c r="B87" s="66">
        <f t="shared" si="19"/>
        <v>-0.75049157835756175</v>
      </c>
      <c r="C87" s="64">
        <f t="shared" si="20"/>
        <v>69.015411889503753</v>
      </c>
      <c r="D87" s="64">
        <f t="shared" si="21"/>
        <v>20.984588110496247</v>
      </c>
      <c r="E87" s="65">
        <f t="shared" si="22"/>
        <v>-137.92408158380334</v>
      </c>
      <c r="F87" s="64">
        <f t="shared" si="23"/>
        <v>60.026831746373894</v>
      </c>
      <c r="G87" s="64">
        <f t="shared" si="24"/>
        <v>29.973168253626106</v>
      </c>
      <c r="H87" s="64">
        <f t="shared" si="25"/>
        <v>-129.56849129189203</v>
      </c>
      <c r="I87" s="72">
        <f t="shared" si="26"/>
        <v>51.667570709101888</v>
      </c>
      <c r="J87" s="64">
        <f t="shared" si="27"/>
        <v>38.332429290898112</v>
      </c>
      <c r="K87" s="65">
        <f t="shared" si="28"/>
        <v>-119.60821968720886</v>
      </c>
      <c r="L87" s="64">
        <f t="shared" si="29"/>
        <v>44.359342550110199</v>
      </c>
      <c r="M87" s="64">
        <f t="shared" si="30"/>
        <v>45.640657449889801</v>
      </c>
      <c r="N87" s="65">
        <f t="shared" si="31"/>
        <v>-107.23345104891786</v>
      </c>
      <c r="O87" s="64">
        <f t="shared" si="32"/>
        <v>38.750583718736202</v>
      </c>
      <c r="P87" s="64">
        <f t="shared" si="33"/>
        <v>51.249416281263798</v>
      </c>
      <c r="Q87" s="65">
        <f t="shared" si="34"/>
        <v>-91.654254178078517</v>
      </c>
      <c r="R87" s="64">
        <f t="shared" si="35"/>
        <v>50.188982625131374</v>
      </c>
      <c r="S87" s="59">
        <f t="shared" si="36"/>
        <v>39.811017374868626</v>
      </c>
      <c r="T87" s="58">
        <f t="shared" si="37"/>
        <v>-117.48039819543938</v>
      </c>
      <c r="U87" s="66"/>
      <c r="V87" s="53">
        <f>K85</f>
        <v>-117.91997821289543</v>
      </c>
      <c r="X87" s="50"/>
      <c r="Y87" s="50"/>
      <c r="Z87" s="50"/>
      <c r="AA87" s="50"/>
      <c r="AB87" s="50">
        <f>J85</f>
        <v>36.845590881580598</v>
      </c>
      <c r="AC87" s="50"/>
    </row>
    <row r="88" spans="1:29" x14ac:dyDescent="0.2">
      <c r="A88" s="67">
        <v>-42</v>
      </c>
      <c r="B88" s="66">
        <f t="shared" si="19"/>
        <v>-0.73303828583761843</v>
      </c>
      <c r="C88" s="64">
        <f t="shared" si="20"/>
        <v>68.451395384051111</v>
      </c>
      <c r="D88" s="64">
        <f t="shared" si="21"/>
        <v>21.548604615948889</v>
      </c>
      <c r="E88" s="65">
        <f t="shared" si="22"/>
        <v>-138.70050482317461</v>
      </c>
      <c r="F88" s="64">
        <f t="shared" si="23"/>
        <v>59.377114591071887</v>
      </c>
      <c r="G88" s="64">
        <f t="shared" si="24"/>
        <v>30.622885408928113</v>
      </c>
      <c r="H88" s="64">
        <f t="shared" si="25"/>
        <v>-130.41689108785457</v>
      </c>
      <c r="I88" s="72">
        <f t="shared" si="26"/>
        <v>50.93345589373245</v>
      </c>
      <c r="J88" s="64">
        <f t="shared" si="27"/>
        <v>39.06654410626755</v>
      </c>
      <c r="K88" s="65">
        <f t="shared" si="28"/>
        <v>-120.47829934826305</v>
      </c>
      <c r="L88" s="64">
        <f t="shared" si="29"/>
        <v>43.551132017385733</v>
      </c>
      <c r="M88" s="64">
        <f t="shared" si="30"/>
        <v>46.448867982614267</v>
      </c>
      <c r="N88" s="65">
        <f t="shared" si="31"/>
        <v>-108.02979737779444</v>
      </c>
      <c r="O88" s="64">
        <f t="shared" si="32"/>
        <v>37.903023337138599</v>
      </c>
      <c r="P88" s="64">
        <f t="shared" si="33"/>
        <v>52.096976662861401</v>
      </c>
      <c r="Q88" s="65">
        <f t="shared" si="34"/>
        <v>-92.220450942517473</v>
      </c>
      <c r="R88" s="64">
        <f t="shared" si="35"/>
        <v>49.439593558749436</v>
      </c>
      <c r="S88" s="59">
        <f t="shared" si="36"/>
        <v>40.560406441250564</v>
      </c>
      <c r="T88" s="58">
        <f t="shared" si="37"/>
        <v>-118.34565164979919</v>
      </c>
      <c r="U88" s="66"/>
      <c r="V88" s="53">
        <f>N85</f>
        <v>-105.69568194315536</v>
      </c>
      <c r="X88" s="50"/>
      <c r="Y88" s="50"/>
      <c r="Z88" s="50"/>
      <c r="AA88" s="50"/>
      <c r="AB88" s="50">
        <f>M85</f>
        <v>44.014108860711097</v>
      </c>
      <c r="AC88" s="50"/>
    </row>
    <row r="89" spans="1:29" x14ac:dyDescent="0.2">
      <c r="A89" s="67">
        <v>-41</v>
      </c>
      <c r="B89" s="66">
        <f t="shared" si="19"/>
        <v>-0.71558499331767511</v>
      </c>
      <c r="C89" s="64">
        <f t="shared" si="20"/>
        <v>67.89606934973024</v>
      </c>
      <c r="D89" s="64">
        <f t="shared" si="21"/>
        <v>22.10393065026976</v>
      </c>
      <c r="E89" s="65">
        <f t="shared" si="22"/>
        <v>-139.48713645554614</v>
      </c>
      <c r="F89" s="64">
        <f t="shared" si="23"/>
        <v>58.735606635610488</v>
      </c>
      <c r="G89" s="64">
        <f t="shared" si="24"/>
        <v>31.264393364389512</v>
      </c>
      <c r="H89" s="64">
        <f t="shared" si="25"/>
        <v>-131.27936325937813</v>
      </c>
      <c r="I89" s="72">
        <f t="shared" si="26"/>
        <v>50.205941750035116</v>
      </c>
      <c r="J89" s="64">
        <f t="shared" si="27"/>
        <v>39.794058249964884</v>
      </c>
      <c r="K89" s="65">
        <f t="shared" si="28"/>
        <v>-121.36658441114886</v>
      </c>
      <c r="L89" s="64">
        <f t="shared" si="29"/>
        <v>42.746615332569924</v>
      </c>
      <c r="M89" s="64">
        <f t="shared" si="30"/>
        <v>47.253384667430076</v>
      </c>
      <c r="N89" s="65">
        <f t="shared" si="31"/>
        <v>-108.84586394902783</v>
      </c>
      <c r="O89" s="64">
        <f t="shared" si="32"/>
        <v>37.055791539006613</v>
      </c>
      <c r="P89" s="64">
        <f t="shared" si="33"/>
        <v>52.944208460993387</v>
      </c>
      <c r="Q89" s="65">
        <f t="shared" si="34"/>
        <v>-92.798810265734261</v>
      </c>
      <c r="R89" s="64">
        <f t="shared" si="35"/>
        <v>48.696351600242743</v>
      </c>
      <c r="S89" s="59">
        <f t="shared" si="36"/>
        <v>41.303648399757257</v>
      </c>
      <c r="T89" s="58">
        <f t="shared" si="37"/>
        <v>-119.22974526532134</v>
      </c>
      <c r="U89" s="66"/>
      <c r="V89" s="53">
        <f>Q85</f>
        <v>-90.554812443159989</v>
      </c>
      <c r="X89" s="50"/>
      <c r="Y89" s="50"/>
      <c r="Z89" s="50"/>
      <c r="AA89" s="50"/>
      <c r="AB89" s="50">
        <f>P85</f>
        <v>49.553659272070199</v>
      </c>
      <c r="AC89" s="50"/>
    </row>
    <row r="90" spans="1:29" x14ac:dyDescent="0.2">
      <c r="A90" s="67">
        <v>-40</v>
      </c>
      <c r="B90" s="66">
        <f t="shared" si="19"/>
        <v>-0.69813170079773179</v>
      </c>
      <c r="C90" s="64">
        <f t="shared" si="20"/>
        <v>67.349653244733673</v>
      </c>
      <c r="D90" s="64">
        <f t="shared" si="21"/>
        <v>22.650346755266327</v>
      </c>
      <c r="E90" s="65">
        <f t="shared" si="22"/>
        <v>-140.28408109225984</v>
      </c>
      <c r="F90" s="64">
        <f t="shared" si="23"/>
        <v>58.102591021100068</v>
      </c>
      <c r="G90" s="64">
        <f t="shared" si="24"/>
        <v>31.897408978899932</v>
      </c>
      <c r="H90" s="64">
        <f t="shared" si="25"/>
        <v>-132.15622528194359</v>
      </c>
      <c r="I90" s="72">
        <f t="shared" si="26"/>
        <v>49.485344294887504</v>
      </c>
      <c r="J90" s="64">
        <f t="shared" si="27"/>
        <v>40.514655705112496</v>
      </c>
      <c r="K90" s="65">
        <f t="shared" si="28"/>
        <v>-122.27377002124692</v>
      </c>
      <c r="L90" s="64">
        <f t="shared" si="29"/>
        <v>41.946050759123999</v>
      </c>
      <c r="M90" s="64">
        <f t="shared" si="30"/>
        <v>48.053949240876001</v>
      </c>
      <c r="N90" s="65">
        <f t="shared" si="31"/>
        <v>-109.68278794388944</v>
      </c>
      <c r="O90" s="64">
        <f t="shared" si="32"/>
        <v>36.208982917984876</v>
      </c>
      <c r="P90" s="64">
        <f t="shared" si="33"/>
        <v>53.791017082015124</v>
      </c>
      <c r="Q90" s="65">
        <f t="shared" si="34"/>
        <v>-93.390311602188063</v>
      </c>
      <c r="R90" s="64">
        <f t="shared" si="35"/>
        <v>47.959570838204506</v>
      </c>
      <c r="S90" s="59">
        <f t="shared" si="36"/>
        <v>42.040429161795494</v>
      </c>
      <c r="T90" s="58">
        <f t="shared" si="37"/>
        <v>-120.13346244528373</v>
      </c>
      <c r="U90" s="66"/>
      <c r="V90" s="53"/>
      <c r="X90" s="50"/>
      <c r="Y90" s="50"/>
      <c r="Z90" s="50"/>
      <c r="AA90" s="50"/>
      <c r="AB90" s="50"/>
      <c r="AC90" s="50"/>
    </row>
    <row r="91" spans="1:29" x14ac:dyDescent="0.2">
      <c r="A91" s="67">
        <v>-39</v>
      </c>
      <c r="B91" s="66">
        <f t="shared" si="19"/>
        <v>-0.68067840827778847</v>
      </c>
      <c r="C91" s="64">
        <f t="shared" si="20"/>
        <v>66.812370063587707</v>
      </c>
      <c r="D91" s="64">
        <f t="shared" si="21"/>
        <v>23.187629936412293</v>
      </c>
      <c r="E91" s="65">
        <f t="shared" si="22"/>
        <v>-141.09143460227438</v>
      </c>
      <c r="F91" s="64">
        <f t="shared" si="23"/>
        <v>57.478359291796487</v>
      </c>
      <c r="G91" s="64">
        <f t="shared" si="24"/>
        <v>32.521640708203513</v>
      </c>
      <c r="H91" s="64">
        <f t="shared" si="25"/>
        <v>-133.04778900493216</v>
      </c>
      <c r="I91" s="72">
        <f t="shared" si="26"/>
        <v>48.771994491349673</v>
      </c>
      <c r="J91" s="64">
        <f t="shared" si="27"/>
        <v>41.228005508650327</v>
      </c>
      <c r="K91" s="65">
        <f t="shared" si="28"/>
        <v>-123.20056680935669</v>
      </c>
      <c r="L91" s="64">
        <f t="shared" si="29"/>
        <v>41.149713988085161</v>
      </c>
      <c r="M91" s="64">
        <f t="shared" si="30"/>
        <v>48.850286011914839</v>
      </c>
      <c r="N91" s="65">
        <f t="shared" si="31"/>
        <v>-110.54177352112501</v>
      </c>
      <c r="O91" s="64">
        <f t="shared" si="32"/>
        <v>35.362698723961557</v>
      </c>
      <c r="P91" s="64">
        <f t="shared" si="33"/>
        <v>54.637301276038443</v>
      </c>
      <c r="Q91" s="65">
        <f t="shared" si="34"/>
        <v>-93.996021341332423</v>
      </c>
      <c r="R91" s="64">
        <f t="shared" si="35"/>
        <v>47.229581399356974</v>
      </c>
      <c r="S91" s="59">
        <f t="shared" si="36"/>
        <v>42.770418600643026</v>
      </c>
      <c r="T91" s="58">
        <f t="shared" si="37"/>
        <v>-121.05760956074302</v>
      </c>
      <c r="U91" s="69"/>
      <c r="V91" s="53"/>
      <c r="X91" s="50"/>
      <c r="Y91" s="50"/>
      <c r="Z91" s="50"/>
      <c r="AA91" s="50"/>
      <c r="AB91" s="50"/>
      <c r="AC91" s="50"/>
    </row>
    <row r="92" spans="1:29" x14ac:dyDescent="0.2">
      <c r="A92" s="67">
        <v>-38</v>
      </c>
      <c r="B92" s="66">
        <f t="shared" si="19"/>
        <v>-0.66322511575784526</v>
      </c>
      <c r="C92" s="64">
        <f t="shared" si="20"/>
        <v>66.284446181635644</v>
      </c>
      <c r="D92" s="64">
        <f t="shared" si="21"/>
        <v>23.715553818364356</v>
      </c>
      <c r="E92" s="65">
        <f t="shared" si="22"/>
        <v>-141.90928334659131</v>
      </c>
      <c r="F92" s="64">
        <f t="shared" si="23"/>
        <v>56.863211429622709</v>
      </c>
      <c r="G92" s="64">
        <f t="shared" si="24"/>
        <v>33.136788570377291</v>
      </c>
      <c r="H92" s="64">
        <f t="shared" si="25"/>
        <v>-133.95435923192011</v>
      </c>
      <c r="I92" s="72">
        <f t="shared" si="26"/>
        <v>48.06623890373244</v>
      </c>
      <c r="J92" s="64">
        <f t="shared" si="27"/>
        <v>41.93376109626756</v>
      </c>
      <c r="K92" s="65">
        <f t="shared" si="28"/>
        <v>-124.14769979699466</v>
      </c>
      <c r="L92" s="64">
        <f t="shared" si="29"/>
        <v>40.35789962529639</v>
      </c>
      <c r="M92" s="64">
        <f t="shared" si="30"/>
        <v>49.64210037470361</v>
      </c>
      <c r="N92" s="65">
        <f t="shared" si="31"/>
        <v>-111.4240958536018</v>
      </c>
      <c r="O92" s="64">
        <f t="shared" si="32"/>
        <v>34.517047717608236</v>
      </c>
      <c r="P92" s="64">
        <f t="shared" si="33"/>
        <v>55.482952282391764</v>
      </c>
      <c r="Q92" s="65">
        <f t="shared" si="34"/>
        <v>-94.617102990185757</v>
      </c>
      <c r="R92" s="64">
        <f t="shared" si="35"/>
        <v>46.506730273804045</v>
      </c>
      <c r="S92" s="59">
        <f t="shared" si="36"/>
        <v>43.493269726195955</v>
      </c>
      <c r="T92" s="58">
        <f t="shared" si="37"/>
        <v>-122.00301531206598</v>
      </c>
      <c r="U92" s="69"/>
      <c r="V92" s="53"/>
      <c r="X92" s="50"/>
      <c r="Y92" s="50"/>
      <c r="Z92" s="50"/>
      <c r="AA92" s="50"/>
      <c r="AB92" s="50"/>
      <c r="AC92" s="50"/>
    </row>
    <row r="93" spans="1:29" x14ac:dyDescent="0.2">
      <c r="A93" s="67">
        <v>-37</v>
      </c>
      <c r="B93" s="66">
        <f t="shared" si="19"/>
        <v>-0.64577182323790194</v>
      </c>
      <c r="C93" s="64">
        <f t="shared" si="20"/>
        <v>65.766111177020989</v>
      </c>
      <c r="D93" s="64">
        <f t="shared" si="21"/>
        <v>24.233888822979011</v>
      </c>
      <c r="E93" s="65">
        <f t="shared" si="22"/>
        <v>-142.73770338619298</v>
      </c>
      <c r="F93" s="64">
        <f t="shared" si="23"/>
        <v>56.257455855238682</v>
      </c>
      <c r="G93" s="64">
        <f t="shared" si="24"/>
        <v>33.742544144761318</v>
      </c>
      <c r="H93" s="64">
        <f t="shared" si="25"/>
        <v>-134.87623217313305</v>
      </c>
      <c r="I93" s="72">
        <f t="shared" si="26"/>
        <v>47.368440351046821</v>
      </c>
      <c r="J93" s="64">
        <f t="shared" si="27"/>
        <v>42.631559648953179</v>
      </c>
      <c r="K93" s="65">
        <f t="shared" si="28"/>
        <v>-125.11590700815698</v>
      </c>
      <c r="L93" s="64">
        <f t="shared" si="29"/>
        <v>39.570922806072353</v>
      </c>
      <c r="M93" s="64">
        <f t="shared" si="30"/>
        <v>50.429077193927647</v>
      </c>
      <c r="N93" s="65">
        <f t="shared" si="31"/>
        <v>-112.33110525587408</v>
      </c>
      <c r="O93" s="64">
        <f t="shared" si="32"/>
        <v>33.672147146765589</v>
      </c>
      <c r="P93" s="64">
        <f t="shared" si="33"/>
        <v>56.327852853234411</v>
      </c>
      <c r="Q93" s="65">
        <f t="shared" si="34"/>
        <v>-95.254828764045001</v>
      </c>
      <c r="R93" s="64">
        <f t="shared" si="35"/>
        <v>45.791382155827755</v>
      </c>
      <c r="S93" s="59">
        <f t="shared" si="36"/>
        <v>44.208617844172245</v>
      </c>
      <c r="T93" s="58">
        <f t="shared" si="37"/>
        <v>-122.97052978897963</v>
      </c>
      <c r="U93" s="69"/>
      <c r="V93" s="53"/>
      <c r="X93" s="50"/>
      <c r="Y93" s="50"/>
      <c r="Z93" s="50"/>
      <c r="AA93" s="50"/>
      <c r="AB93" s="50"/>
      <c r="AC93" s="50"/>
    </row>
    <row r="94" spans="1:29" x14ac:dyDescent="0.2">
      <c r="A94" s="67">
        <v>-36</v>
      </c>
      <c r="B94" s="66">
        <f t="shared" si="19"/>
        <v>-0.62831853071795862</v>
      </c>
      <c r="C94" s="64">
        <f t="shared" si="20"/>
        <v>65.257597629009084</v>
      </c>
      <c r="D94" s="64">
        <f t="shared" si="21"/>
        <v>24.742402370990916</v>
      </c>
      <c r="E94" s="65">
        <f t="shared" si="22"/>
        <v>-143.5767596659951</v>
      </c>
      <c r="F94" s="64">
        <f t="shared" si="23"/>
        <v>55.661409391459401</v>
      </c>
      <c r="G94" s="64">
        <f t="shared" si="24"/>
        <v>34.338590608540599</v>
      </c>
      <c r="H94" s="64">
        <f t="shared" si="25"/>
        <v>-135.81369376619421</v>
      </c>
      <c r="I94" s="72">
        <f t="shared" si="26"/>
        <v>46.678978552375163</v>
      </c>
      <c r="J94" s="64">
        <f t="shared" si="27"/>
        <v>43.321021447624837</v>
      </c>
      <c r="K94" s="65">
        <f t="shared" si="28"/>
        <v>-126.10593774860732</v>
      </c>
      <c r="L94" s="64">
        <f t="shared" si="29"/>
        <v>38.789120946567785</v>
      </c>
      <c r="M94" s="64">
        <f t="shared" si="30"/>
        <v>51.210879053432215</v>
      </c>
      <c r="N94" s="65">
        <f t="shared" si="31"/>
        <v>-113.26423135873254</v>
      </c>
      <c r="O94" s="64">
        <f t="shared" si="32"/>
        <v>32.828123865419421</v>
      </c>
      <c r="P94" s="64">
        <f t="shared" si="33"/>
        <v>57.171876134580579</v>
      </c>
      <c r="Q94" s="65">
        <f t="shared" si="34"/>
        <v>-95.910592810096404</v>
      </c>
      <c r="R94" s="64">
        <f t="shared" si="35"/>
        <v>45.083920294639682</v>
      </c>
      <c r="S94" s="59">
        <f t="shared" si="36"/>
        <v>44.916079705360318</v>
      </c>
      <c r="T94" s="58">
        <f t="shared" si="37"/>
        <v>-123.96102318038702</v>
      </c>
      <c r="U94" s="69"/>
      <c r="V94" s="53"/>
      <c r="X94" s="50"/>
      <c r="Y94" s="50"/>
      <c r="Z94" s="50"/>
      <c r="AA94" s="50"/>
      <c r="AB94" s="50"/>
      <c r="AC94" s="50"/>
    </row>
    <row r="95" spans="1:29" x14ac:dyDescent="0.2">
      <c r="A95" s="67">
        <v>-35</v>
      </c>
      <c r="B95" s="66">
        <f t="shared" si="19"/>
        <v>-0.6108652381980153</v>
      </c>
      <c r="C95" s="64">
        <f t="shared" si="20"/>
        <v>64.759140891536873</v>
      </c>
      <c r="D95" s="64">
        <f t="shared" si="21"/>
        <v>25.240859108463127</v>
      </c>
      <c r="E95" s="65">
        <f t="shared" si="22"/>
        <v>-144.42650517782522</v>
      </c>
      <c r="F95" s="64">
        <f t="shared" si="23"/>
        <v>55.075397184576779</v>
      </c>
      <c r="G95" s="64">
        <f t="shared" si="24"/>
        <v>34.924602815423221</v>
      </c>
      <c r="H95" s="64">
        <f t="shared" si="25"/>
        <v>-136.76701786230981</v>
      </c>
      <c r="I95" s="72">
        <f t="shared" si="26"/>
        <v>45.998250756461083</v>
      </c>
      <c r="J95" s="64">
        <f t="shared" si="27"/>
        <v>44.001749243538917</v>
      </c>
      <c r="K95" s="65">
        <f t="shared" si="28"/>
        <v>-127.11855051069635</v>
      </c>
      <c r="L95" s="64">
        <f t="shared" si="29"/>
        <v>38.012855641054017</v>
      </c>
      <c r="M95" s="64">
        <f t="shared" si="30"/>
        <v>51.987144358945983</v>
      </c>
      <c r="N95" s="65">
        <f t="shared" si="31"/>
        <v>-114.22498727189551</v>
      </c>
      <c r="O95" s="64">
        <f t="shared" si="32"/>
        <v>31.985115620028772</v>
      </c>
      <c r="P95" s="64">
        <f t="shared" si="33"/>
        <v>58.014884379971228</v>
      </c>
      <c r="Q95" s="65">
        <f t="shared" si="34"/>
        <v>-96.585926328646266</v>
      </c>
      <c r="R95" s="64">
        <f t="shared" si="35"/>
        <v>44.38474734809288</v>
      </c>
      <c r="S95" s="59">
        <f t="shared" si="36"/>
        <v>45.61525265190712</v>
      </c>
      <c r="T95" s="58">
        <f t="shared" si="37"/>
        <v>-124.97538407990136</v>
      </c>
      <c r="U95" s="69"/>
      <c r="V95" s="53"/>
      <c r="X95" s="50"/>
      <c r="Y95" s="50"/>
      <c r="Z95" s="50"/>
      <c r="AA95" s="50"/>
      <c r="AB95" s="50"/>
      <c r="AC95" s="50"/>
    </row>
    <row r="96" spans="1:29" x14ac:dyDescent="0.2">
      <c r="A96" s="67">
        <v>-34</v>
      </c>
      <c r="B96" s="66">
        <f t="shared" si="19"/>
        <v>-0.59341194567807209</v>
      </c>
      <c r="C96" s="64">
        <f t="shared" si="20"/>
        <v>64.27097884094934</v>
      </c>
      <c r="D96" s="64">
        <f t="shared" si="21"/>
        <v>25.72902115905066</v>
      </c>
      <c r="E96" s="65">
        <f t="shared" si="22"/>
        <v>-145.2869801059781</v>
      </c>
      <c r="F96" s="64">
        <f t="shared" si="23"/>
        <v>54.499752578919129</v>
      </c>
      <c r="G96" s="64">
        <f t="shared" si="24"/>
        <v>35.500247421080871</v>
      </c>
      <c r="H96" s="64">
        <f t="shared" si="25"/>
        <v>-137.73646427628455</v>
      </c>
      <c r="I96" s="72">
        <f t="shared" si="26"/>
        <v>45.326672346425795</v>
      </c>
      <c r="J96" s="64">
        <f t="shared" si="27"/>
        <v>44.673327653574205</v>
      </c>
      <c r="K96" s="65">
        <f t="shared" si="28"/>
        <v>-128.15451045886672</v>
      </c>
      <c r="L96" s="64">
        <f t="shared" si="29"/>
        <v>37.242514713966223</v>
      </c>
      <c r="M96" s="64">
        <f t="shared" si="30"/>
        <v>52.757485286033777</v>
      </c>
      <c r="N96" s="65">
        <f t="shared" si="31"/>
        <v>-115.21497365757713</v>
      </c>
      <c r="O96" s="64">
        <f t="shared" si="32"/>
        <v>31.143272532855065</v>
      </c>
      <c r="P96" s="64">
        <f t="shared" si="33"/>
        <v>58.856727467144935</v>
      </c>
      <c r="Q96" s="65">
        <f t="shared" si="34"/>
        <v>-97.282514904291304</v>
      </c>
      <c r="R96" s="64">
        <f t="shared" si="35"/>
        <v>43.694286230739024</v>
      </c>
      <c r="S96" s="59">
        <f t="shared" si="36"/>
        <v>46.305713769260976</v>
      </c>
      <c r="T96" s="58">
        <f t="shared" si="37"/>
        <v>-126.01451732765349</v>
      </c>
      <c r="U96" s="69"/>
      <c r="V96" s="53"/>
      <c r="X96" s="50"/>
      <c r="Y96" s="50"/>
      <c r="Z96" s="50"/>
      <c r="AA96" s="50"/>
      <c r="AB96" s="50"/>
      <c r="AC96" s="50"/>
    </row>
    <row r="97" spans="1:29" x14ac:dyDescent="0.2">
      <c r="A97" s="67">
        <v>-33</v>
      </c>
      <c r="B97" s="66">
        <f t="shared" si="19"/>
        <v>-0.57595865315812877</v>
      </c>
      <c r="C97" s="64">
        <f t="shared" si="20"/>
        <v>63.793351596970695</v>
      </c>
      <c r="D97" s="64">
        <f t="shared" si="21"/>
        <v>26.206648403029305</v>
      </c>
      <c r="E97" s="65">
        <f t="shared" si="22"/>
        <v>-146.15821095946816</v>
      </c>
      <c r="F97" s="64">
        <f t="shared" si="23"/>
        <v>53.934816939790657</v>
      </c>
      <c r="G97" s="64">
        <f t="shared" si="24"/>
        <v>36.065183060209343</v>
      </c>
      <c r="H97" s="64">
        <f t="shared" si="25"/>
        <v>-138.72227670027047</v>
      </c>
      <c r="I97" s="72">
        <f t="shared" si="26"/>
        <v>44.664677408977376</v>
      </c>
      <c r="J97" s="64">
        <f t="shared" si="27"/>
        <v>45.335322591022624</v>
      </c>
      <c r="K97" s="65">
        <f t="shared" si="28"/>
        <v>-129.21458644849901</v>
      </c>
      <c r="L97" s="64">
        <f t="shared" si="29"/>
        <v>36.478514434860266</v>
      </c>
      <c r="M97" s="64">
        <f t="shared" si="30"/>
        <v>53.521485565139734</v>
      </c>
      <c r="N97" s="65">
        <f t="shared" si="31"/>
        <v>-116.23588261505942</v>
      </c>
      <c r="O97" s="64">
        <f t="shared" si="32"/>
        <v>30.302758817905794</v>
      </c>
      <c r="P97" s="64">
        <f t="shared" si="33"/>
        <v>59.697241182094203</v>
      </c>
      <c r="Q97" s="65">
        <f t="shared" si="34"/>
        <v>-98.002218416047469</v>
      </c>
      <c r="R97" s="64">
        <f t="shared" si="35"/>
        <v>43.012980945762038</v>
      </c>
      <c r="S97" s="59">
        <f t="shared" si="36"/>
        <v>46.987019054237962</v>
      </c>
      <c r="T97" s="58">
        <f t="shared" si="37"/>
        <v>-127.07934132357273</v>
      </c>
      <c r="U97" s="69"/>
      <c r="V97" s="53"/>
      <c r="X97" s="50"/>
    </row>
    <row r="98" spans="1:29" x14ac:dyDescent="0.2">
      <c r="A98" s="67">
        <v>-32</v>
      </c>
      <c r="B98" s="66">
        <f t="shared" si="19"/>
        <v>-0.55850536063818546</v>
      </c>
      <c r="C98" s="64">
        <f t="shared" si="20"/>
        <v>63.326501216068628</v>
      </c>
      <c r="D98" s="64">
        <f t="shared" si="21"/>
        <v>26.673498783931372</v>
      </c>
      <c r="E98" s="65">
        <f t="shared" si="22"/>
        <v>-147.04020969568967</v>
      </c>
      <c r="F98" s="64">
        <f t="shared" si="23"/>
        <v>53.380939419783431</v>
      </c>
      <c r="G98" s="64">
        <f t="shared" si="24"/>
        <v>36.619060580216569</v>
      </c>
      <c r="H98" s="64">
        <f t="shared" si="25"/>
        <v>-139.72468048295153</v>
      </c>
      <c r="I98" s="72">
        <f t="shared" si="26"/>
        <v>44.01271925578795</v>
      </c>
      <c r="J98" s="64">
        <f t="shared" si="27"/>
        <v>45.98728074421205</v>
      </c>
      <c r="K98" s="65">
        <f t="shared" si="28"/>
        <v>-130.2995475288007</v>
      </c>
      <c r="L98" s="64">
        <f t="shared" si="29"/>
        <v>35.721301903189598</v>
      </c>
      <c r="M98" s="64">
        <f t="shared" si="30"/>
        <v>54.278698096810402</v>
      </c>
      <c r="N98" s="65">
        <f t="shared" si="31"/>
        <v>-117.28950124884581</v>
      </c>
      <c r="O98" s="64">
        <f t="shared" si="32"/>
        <v>29.463754772404762</v>
      </c>
      <c r="P98" s="64">
        <f t="shared" si="33"/>
        <v>60.536245227595238</v>
      </c>
      <c r="Q98" s="65">
        <f t="shared" si="34"/>
        <v>-98.747093962977459</v>
      </c>
      <c r="R98" s="64">
        <f t="shared" si="35"/>
        <v>42.341297388218749</v>
      </c>
      <c r="S98" s="59">
        <f t="shared" si="36"/>
        <v>47.658702611781251</v>
      </c>
      <c r="T98" s="58">
        <f t="shared" si="37"/>
        <v>-128.17078474223297</v>
      </c>
      <c r="U98" s="69"/>
    </row>
    <row r="99" spans="1:29" x14ac:dyDescent="0.2">
      <c r="A99" s="67">
        <v>-31</v>
      </c>
      <c r="B99" s="66">
        <f t="shared" si="19"/>
        <v>-0.54105206811824214</v>
      </c>
      <c r="C99" s="64">
        <f t="shared" si="20"/>
        <v>62.87067135650306</v>
      </c>
      <c r="D99" s="64">
        <f t="shared" si="21"/>
        <v>27.12932864349694</v>
      </c>
      <c r="E99" s="65">
        <f t="shared" si="22"/>
        <v>-147.93297284080509</v>
      </c>
      <c r="F99" s="64">
        <f t="shared" si="23"/>
        <v>52.838476663355735</v>
      </c>
      <c r="G99" s="64">
        <f t="shared" si="24"/>
        <v>37.161523336644265</v>
      </c>
      <c r="H99" s="64">
        <f t="shared" si="25"/>
        <v>-140.74388027796078</v>
      </c>
      <c r="I99" s="72">
        <f t="shared" si="26"/>
        <v>43.371270882879728</v>
      </c>
      <c r="J99" s="64">
        <f t="shared" si="27"/>
        <v>46.628729117120272</v>
      </c>
      <c r="K99" s="65">
        <f t="shared" si="28"/>
        <v>-131.41015887926011</v>
      </c>
      <c r="L99" s="64">
        <f t="shared" si="29"/>
        <v>34.971357607922307</v>
      </c>
      <c r="M99" s="64">
        <f t="shared" si="30"/>
        <v>55.028642392077693</v>
      </c>
      <c r="N99" s="65">
        <f t="shared" si="31"/>
        <v>-118.37771475966568</v>
      </c>
      <c r="O99" s="64">
        <f t="shared" si="32"/>
        <v>28.626459095658841</v>
      </c>
      <c r="P99" s="64">
        <f t="shared" si="33"/>
        <v>61.373540904341155</v>
      </c>
      <c r="Q99" s="65">
        <f t="shared" si="34"/>
        <v>-99.519422322180347</v>
      </c>
      <c r="R99" s="64">
        <f t="shared" si="35"/>
        <v>41.679724104660174</v>
      </c>
      <c r="S99" s="59">
        <f t="shared" si="36"/>
        <v>48.320275895339826</v>
      </c>
      <c r="T99" s="58">
        <f t="shared" si="37"/>
        <v>-129.28978257475765</v>
      </c>
      <c r="U99" s="69"/>
    </row>
    <row r="100" spans="1:29" s="54" customFormat="1" x14ac:dyDescent="0.2">
      <c r="A100" s="63">
        <v>-30</v>
      </c>
      <c r="B100" s="62">
        <f t="shared" si="19"/>
        <v>-0.52359877559829882</v>
      </c>
      <c r="C100" s="60">
        <f t="shared" si="20"/>
        <v>62.426106914508075</v>
      </c>
      <c r="D100" s="60">
        <f t="shared" si="21"/>
        <v>27.573893085491925</v>
      </c>
      <c r="E100" s="61">
        <f t="shared" si="22"/>
        <v>-148.8364806127997</v>
      </c>
      <c r="F100" s="60">
        <f t="shared" si="23"/>
        <v>52.307792444536901</v>
      </c>
      <c r="G100" s="60">
        <f t="shared" si="24"/>
        <v>37.692207555463099</v>
      </c>
      <c r="H100" s="60">
        <f t="shared" si="25"/>
        <v>-141.78005756774201</v>
      </c>
      <c r="I100" s="73">
        <f t="shared" si="26"/>
        <v>42.740825351897882</v>
      </c>
      <c r="J100" s="60">
        <f t="shared" si="27"/>
        <v>47.259174648102118</v>
      </c>
      <c r="K100" s="61">
        <f t="shared" si="28"/>
        <v>-132.54717712905693</v>
      </c>
      <c r="L100" s="60">
        <f t="shared" si="29"/>
        <v>34.229198164277101</v>
      </c>
      <c r="M100" s="60">
        <f t="shared" si="30"/>
        <v>55.770801835722899</v>
      </c>
      <c r="N100" s="61">
        <f t="shared" si="31"/>
        <v>-119.5025088576532</v>
      </c>
      <c r="O100" s="60">
        <f t="shared" si="32"/>
        <v>27.791091598214859</v>
      </c>
      <c r="P100" s="60">
        <f t="shared" si="33"/>
        <v>62.208908401785138</v>
      </c>
      <c r="Q100" s="61">
        <f t="shared" si="34"/>
        <v>-100.3217385513595</v>
      </c>
      <c r="R100" s="60">
        <f t="shared" si="35"/>
        <v>41.028772991591715</v>
      </c>
      <c r="S100" s="59">
        <f t="shared" si="36"/>
        <v>48.971227008408285</v>
      </c>
      <c r="T100" s="58">
        <f t="shared" si="37"/>
        <v>-130.43727141952951</v>
      </c>
      <c r="U100" s="70"/>
      <c r="V100" s="56">
        <f>E100</f>
        <v>-148.8364806127997</v>
      </c>
      <c r="W100" s="55"/>
      <c r="X100" s="55"/>
      <c r="AC100" s="55">
        <f>D100</f>
        <v>27.573893085491925</v>
      </c>
    </row>
    <row r="101" spans="1:29" x14ac:dyDescent="0.2">
      <c r="A101" s="67">
        <v>-29</v>
      </c>
      <c r="B101" s="66">
        <f t="shared" si="19"/>
        <v>-0.50614548307835561</v>
      </c>
      <c r="C101" s="64">
        <f t="shared" si="20"/>
        <v>61.993053631237814</v>
      </c>
      <c r="D101" s="64">
        <f t="shared" si="21"/>
        <v>28.006946368762186</v>
      </c>
      <c r="E101" s="65">
        <f t="shared" si="22"/>
        <v>-149.75069605375748</v>
      </c>
      <c r="F101" s="64">
        <f t="shared" si="23"/>
        <v>51.789257232662472</v>
      </c>
      <c r="G101" s="64">
        <f t="shared" si="24"/>
        <v>38.210742767337528</v>
      </c>
      <c r="H101" s="64">
        <f t="shared" si="25"/>
        <v>-142.83336807179873</v>
      </c>
      <c r="I101" s="72">
        <f t="shared" si="26"/>
        <v>42.121896075080308</v>
      </c>
      <c r="J101" s="64">
        <f t="shared" si="27"/>
        <v>47.878103924919692</v>
      </c>
      <c r="K101" s="65">
        <f t="shared" si="28"/>
        <v>-133.7113450100683</v>
      </c>
      <c r="L101" s="64">
        <f t="shared" si="29"/>
        <v>33.495379226028199</v>
      </c>
      <c r="M101" s="64">
        <f t="shared" si="30"/>
        <v>56.504620773971801</v>
      </c>
      <c r="N101" s="65">
        <f t="shared" si="31"/>
        <v>-120.66597124957696</v>
      </c>
      <c r="O101" s="64">
        <f t="shared" si="32"/>
        <v>26.957896377799088</v>
      </c>
      <c r="P101" s="64">
        <f t="shared" si="33"/>
        <v>63.042103622200912</v>
      </c>
      <c r="Q101" s="65">
        <f t="shared" si="34"/>
        <v>-101.15686746098298</v>
      </c>
      <c r="R101" s="64">
        <f t="shared" si="35"/>
        <v>40.388979912364626</v>
      </c>
      <c r="S101" s="59">
        <f t="shared" si="36"/>
        <v>49.611020087635374</v>
      </c>
      <c r="T101" s="58">
        <f t="shared" si="37"/>
        <v>-131.61418394097331</v>
      </c>
      <c r="U101" s="69"/>
      <c r="V101" s="53">
        <f>H100</f>
        <v>-141.78005756774201</v>
      </c>
      <c r="AC101" s="50">
        <f>G100</f>
        <v>37.692207555463099</v>
      </c>
    </row>
    <row r="102" spans="1:29" x14ac:dyDescent="0.2">
      <c r="A102" s="67">
        <v>-28</v>
      </c>
      <c r="B102" s="66">
        <f t="shared" si="19"/>
        <v>-0.48869219055841229</v>
      </c>
      <c r="C102" s="64">
        <f t="shared" si="20"/>
        <v>61.571757670314149</v>
      </c>
      <c r="D102" s="64">
        <f t="shared" si="21"/>
        <v>28.428242329685851</v>
      </c>
      <c r="E102" s="65">
        <f t="shared" si="22"/>
        <v>-150.67556417852114</v>
      </c>
      <c r="F102" s="64">
        <f t="shared" si="23"/>
        <v>51.283247681178374</v>
      </c>
      <c r="G102" s="64">
        <f t="shared" si="24"/>
        <v>38.716752318821626</v>
      </c>
      <c r="H102" s="64">
        <f t="shared" si="25"/>
        <v>-143.90393905132765</v>
      </c>
      <c r="I102" s="72">
        <f t="shared" si="26"/>
        <v>41.515016983599047</v>
      </c>
      <c r="J102" s="64">
        <f t="shared" si="27"/>
        <v>48.484983016400953</v>
      </c>
      <c r="K102" s="65">
        <f t="shared" si="28"/>
        <v>-134.90338529709788</v>
      </c>
      <c r="L102" s="64">
        <f t="shared" si="29"/>
        <v>32.770498566634473</v>
      </c>
      <c r="M102" s="64">
        <f t="shared" si="30"/>
        <v>57.229501433365527</v>
      </c>
      <c r="N102" s="65">
        <f t="shared" si="31"/>
        <v>-121.87029189623507</v>
      </c>
      <c r="O102" s="64">
        <f t="shared" si="32"/>
        <v>26.127145555347045</v>
      </c>
      <c r="P102" s="64">
        <f t="shared" si="33"/>
        <v>63.872854444652958</v>
      </c>
      <c r="Q102" s="65">
        <f t="shared" si="34"/>
        <v>-102.02796481376419</v>
      </c>
      <c r="R102" s="64">
        <f t="shared" si="35"/>
        <v>39.760905208997464</v>
      </c>
      <c r="S102" s="59">
        <f t="shared" si="36"/>
        <v>50.239094791002536</v>
      </c>
      <c r="T102" s="58">
        <f t="shared" si="37"/>
        <v>-132.8214424149914</v>
      </c>
      <c r="U102" s="69"/>
      <c r="V102" s="53">
        <f>K100</f>
        <v>-132.54717712905693</v>
      </c>
      <c r="AC102" s="50">
        <f>J100</f>
        <v>47.259174648102118</v>
      </c>
    </row>
    <row r="103" spans="1:29" x14ac:dyDescent="0.2">
      <c r="A103" s="67">
        <v>-27</v>
      </c>
      <c r="B103" s="66">
        <f t="shared" si="19"/>
        <v>-0.47123889803846897</v>
      </c>
      <c r="C103" s="64">
        <f t="shared" si="20"/>
        <v>61.162465166047433</v>
      </c>
      <c r="D103" s="64">
        <f t="shared" si="21"/>
        <v>28.837534833952567</v>
      </c>
      <c r="E103" s="65">
        <f t="shared" si="22"/>
        <v>-151.61101114748368</v>
      </c>
      <c r="F103" s="64">
        <f t="shared" si="23"/>
        <v>50.790146034794304</v>
      </c>
      <c r="G103" s="64">
        <f t="shared" si="24"/>
        <v>39.209853965205696</v>
      </c>
      <c r="H103" s="64">
        <f t="shared" si="25"/>
        <v>-144.99186652558868</v>
      </c>
      <c r="I103" s="72">
        <f t="shared" si="26"/>
        <v>40.920742556795844</v>
      </c>
      <c r="J103" s="64">
        <f t="shared" si="27"/>
        <v>49.079257443204156</v>
      </c>
      <c r="K103" s="65">
        <f t="shared" si="28"/>
        <v>-136.12399399411012</v>
      </c>
      <c r="L103" s="64">
        <f t="shared" si="29"/>
        <v>32.055199315553708</v>
      </c>
      <c r="M103" s="64">
        <f t="shared" si="30"/>
        <v>57.944800684446292</v>
      </c>
      <c r="N103" s="65">
        <f t="shared" si="31"/>
        <v>-123.11776167144735</v>
      </c>
      <c r="O103" s="64">
        <f t="shared" si="32"/>
        <v>25.299143685257565</v>
      </c>
      <c r="P103" s="64">
        <f t="shared" si="33"/>
        <v>64.700856314742438</v>
      </c>
      <c r="Q103" s="65">
        <f t="shared" si="34"/>
        <v>-102.93856526406796</v>
      </c>
      <c r="R103" s="64">
        <f t="shared" si="35"/>
        <v>39.145134082143599</v>
      </c>
      <c r="S103" s="59">
        <f t="shared" si="36"/>
        <v>50.854865917856401</v>
      </c>
      <c r="T103" s="58">
        <f t="shared" si="37"/>
        <v>-134.05995128134421</v>
      </c>
      <c r="U103" s="69"/>
      <c r="V103" s="53">
        <f>N100</f>
        <v>-119.5025088576532</v>
      </c>
      <c r="X103" s="50"/>
      <c r="AC103" s="50">
        <f>M100</f>
        <v>55.770801835722899</v>
      </c>
    </row>
    <row r="104" spans="1:29" x14ac:dyDescent="0.2">
      <c r="A104" s="67">
        <v>-26</v>
      </c>
      <c r="B104" s="66">
        <f t="shared" si="19"/>
        <v>-0.4537856055185257</v>
      </c>
      <c r="C104" s="64">
        <f t="shared" si="20"/>
        <v>60.765421742659846</v>
      </c>
      <c r="D104" s="64">
        <f t="shared" si="21"/>
        <v>29.234578257340154</v>
      </c>
      <c r="E104" s="65">
        <f t="shared" si="22"/>
        <v>-152.55694347180531</v>
      </c>
      <c r="F104" s="64">
        <f t="shared" si="23"/>
        <v>50.310339450627716</v>
      </c>
      <c r="G104" s="64">
        <f t="shared" si="24"/>
        <v>39.689660549372284</v>
      </c>
      <c r="H104" s="64">
        <f t="shared" si="25"/>
        <v>-146.09721241900522</v>
      </c>
      <c r="I104" s="72">
        <f t="shared" si="26"/>
        <v>40.339647687731983</v>
      </c>
      <c r="J104" s="64">
        <f t="shared" si="27"/>
        <v>49.660352312268017</v>
      </c>
      <c r="K104" s="65">
        <f t="shared" si="28"/>
        <v>-137.37383273301711</v>
      </c>
      <c r="L104" s="64">
        <f t="shared" si="29"/>
        <v>31.350173327126036</v>
      </c>
      <c r="M104" s="64">
        <f t="shared" si="30"/>
        <v>58.649826672873964</v>
      </c>
      <c r="N104" s="65">
        <f t="shared" si="31"/>
        <v>-124.410768980185</v>
      </c>
      <c r="O104" s="64">
        <f t="shared" si="32"/>
        <v>24.474232979837701</v>
      </c>
      <c r="P104" s="64">
        <f t="shared" si="33"/>
        <v>65.525767020162306</v>
      </c>
      <c r="Q104" s="65">
        <f t="shared" si="34"/>
        <v>-103.8926382284055</v>
      </c>
      <c r="R104" s="64">
        <f t="shared" si="35"/>
        <v>38.542276809013018</v>
      </c>
      <c r="S104" s="59">
        <f t="shared" si="36"/>
        <v>51.457723190986982</v>
      </c>
      <c r="T104" s="58">
        <f t="shared" si="37"/>
        <v>-135.33058862810009</v>
      </c>
      <c r="U104" s="69"/>
      <c r="V104" s="53">
        <f>Q100</f>
        <v>-100.3217385513595</v>
      </c>
      <c r="AC104" s="50">
        <f>P100</f>
        <v>62.208908401785138</v>
      </c>
    </row>
    <row r="105" spans="1:29" x14ac:dyDescent="0.2">
      <c r="A105" s="67">
        <v>-25</v>
      </c>
      <c r="B105" s="66">
        <f t="shared" si="19"/>
        <v>-0.43633231299858238</v>
      </c>
      <c r="C105" s="64">
        <f t="shared" si="20"/>
        <v>60.380872005123756</v>
      </c>
      <c r="D105" s="64">
        <f t="shared" si="21"/>
        <v>29.619127994876244</v>
      </c>
      <c r="E105" s="65">
        <f t="shared" si="22"/>
        <v>-153.51324725984779</v>
      </c>
      <c r="F105" s="64">
        <f t="shared" si="23"/>
        <v>49.844219229476565</v>
      </c>
      <c r="G105" s="64">
        <f t="shared" si="24"/>
        <v>40.155780770523435</v>
      </c>
      <c r="H105" s="64">
        <f t="shared" si="25"/>
        <v>-147.22000166186248</v>
      </c>
      <c r="I105" s="72">
        <f t="shared" si="26"/>
        <v>39.77232735851036</v>
      </c>
      <c r="J105" s="64">
        <f t="shared" si="27"/>
        <v>50.22767264148964</v>
      </c>
      <c r="K105" s="65">
        <f t="shared" si="28"/>
        <v>-138.6535203624226</v>
      </c>
      <c r="L105" s="64">
        <f t="shared" si="29"/>
        <v>30.65616464791826</v>
      </c>
      <c r="M105" s="64">
        <f t="shared" si="30"/>
        <v>59.34383535208174</v>
      </c>
      <c r="N105" s="65">
        <f t="shared" si="31"/>
        <v>-125.75179381060633</v>
      </c>
      <c r="O105" s="64">
        <f t="shared" si="32"/>
        <v>23.652799519962059</v>
      </c>
      <c r="P105" s="64">
        <f t="shared" si="33"/>
        <v>66.347200480037941</v>
      </c>
      <c r="Q105" s="65">
        <f t="shared" si="34"/>
        <v>-104.89465308031386</v>
      </c>
      <c r="R105" s="64">
        <f t="shared" si="35"/>
        <v>37.952968765614642</v>
      </c>
      <c r="S105" s="59">
        <f t="shared" si="36"/>
        <v>52.047031234385358</v>
      </c>
      <c r="T105" s="58">
        <f t="shared" si="37"/>
        <v>-136.63419654203608</v>
      </c>
      <c r="U105" s="69"/>
    </row>
    <row r="106" spans="1:29" x14ac:dyDescent="0.2">
      <c r="A106" s="67">
        <v>-24</v>
      </c>
      <c r="B106" s="66">
        <f t="shared" si="19"/>
        <v>-0.41887902047863912</v>
      </c>
      <c r="C106" s="64">
        <f t="shared" si="20"/>
        <v>60.00905900253381</v>
      </c>
      <c r="D106" s="64">
        <f t="shared" si="21"/>
        <v>29.99094099746619</v>
      </c>
      <c r="E106" s="65">
        <f t="shared" si="22"/>
        <v>-154.47978751404676</v>
      </c>
      <c r="F106" s="64">
        <f t="shared" si="23"/>
        <v>49.39217995400238</v>
      </c>
      <c r="G106" s="64">
        <f t="shared" si="24"/>
        <v>40.60782004599762</v>
      </c>
      <c r="H106" s="64">
        <f t="shared" si="25"/>
        <v>-148.36021927153553</v>
      </c>
      <c r="I106" s="72">
        <f t="shared" si="26"/>
        <v>39.219396097112529</v>
      </c>
      <c r="J106" s="64">
        <f t="shared" si="27"/>
        <v>50.780603902887471</v>
      </c>
      <c r="K106" s="65">
        <f t="shared" si="28"/>
        <v>-139.96362371814706</v>
      </c>
      <c r="L106" s="64">
        <f t="shared" si="29"/>
        <v>29.973973033942045</v>
      </c>
      <c r="M106" s="64">
        <f t="shared" si="30"/>
        <v>60.026026966057955</v>
      </c>
      <c r="N106" s="65">
        <f t="shared" si="31"/>
        <v>-127.14339860432486</v>
      </c>
      <c r="O106" s="64">
        <f t="shared" si="32"/>
        <v>22.83528066373767</v>
      </c>
      <c r="P106" s="64">
        <f t="shared" si="33"/>
        <v>67.164719336262323</v>
      </c>
      <c r="Q106" s="65">
        <f t="shared" si="34"/>
        <v>-105.94965528536522</v>
      </c>
      <c r="R106" s="64">
        <f t="shared" si="35"/>
        <v>37.377870216331175</v>
      </c>
      <c r="S106" s="59">
        <f t="shared" si="36"/>
        <v>52.622129783668825</v>
      </c>
      <c r="T106" s="58">
        <f t="shared" si="37"/>
        <v>-137.97157027244756</v>
      </c>
      <c r="U106" s="69"/>
      <c r="V106" s="53"/>
      <c r="X106" s="50"/>
    </row>
    <row r="107" spans="1:29" x14ac:dyDescent="0.2">
      <c r="A107" s="67">
        <v>-23</v>
      </c>
      <c r="B107" s="66">
        <f t="shared" si="19"/>
        <v>-0.4014257279586958</v>
      </c>
      <c r="C107" s="64">
        <f t="shared" si="20"/>
        <v>59.650223665257968</v>
      </c>
      <c r="D107" s="64">
        <f t="shared" si="21"/>
        <v>30.349776334742032</v>
      </c>
      <c r="E107" s="65">
        <f t="shared" si="22"/>
        <v>-155.45640748778936</v>
      </c>
      <c r="F107" s="64">
        <f t="shared" si="23"/>
        <v>48.954618531408393</v>
      </c>
      <c r="G107" s="64">
        <f t="shared" si="24"/>
        <v>41.045381468591607</v>
      </c>
      <c r="H107" s="64">
        <f t="shared" si="25"/>
        <v>-149.51780744534179</v>
      </c>
      <c r="I107" s="72">
        <f t="shared" si="26"/>
        <v>38.681487186159401</v>
      </c>
      <c r="J107" s="64">
        <f t="shared" si="27"/>
        <v>51.318512813840599</v>
      </c>
      <c r="K107" s="65">
        <f t="shared" si="28"/>
        <v>-141.30464758579151</v>
      </c>
      <c r="L107" s="64">
        <f t="shared" si="29"/>
        <v>29.304457451211004</v>
      </c>
      <c r="M107" s="64">
        <f t="shared" si="30"/>
        <v>60.695542548788993</v>
      </c>
      <c r="N107" s="65">
        <f t="shared" si="31"/>
        <v>-128.58821523368681</v>
      </c>
      <c r="O107" s="64">
        <f t="shared" si="32"/>
        <v>22.022173914212093</v>
      </c>
      <c r="P107" s="64">
        <f t="shared" si="33"/>
        <v>67.97782608578791</v>
      </c>
      <c r="Q107" s="65">
        <f t="shared" si="34"/>
        <v>-107.06335532583158</v>
      </c>
      <c r="R107" s="64">
        <f t="shared" si="35"/>
        <v>36.817665830737369</v>
      </c>
      <c r="S107" s="59">
        <f t="shared" si="36"/>
        <v>53.182334169262631</v>
      </c>
      <c r="T107" s="58">
        <f t="shared" si="37"/>
        <v>-139.34344617514714</v>
      </c>
      <c r="U107" s="69"/>
    </row>
    <row r="108" spans="1:29" x14ac:dyDescent="0.2">
      <c r="A108" s="67">
        <v>-22</v>
      </c>
      <c r="B108" s="66">
        <f t="shared" si="19"/>
        <v>-0.38397243543875248</v>
      </c>
      <c r="C108" s="64">
        <f t="shared" si="20"/>
        <v>59.304604217458071</v>
      </c>
      <c r="D108" s="64">
        <f t="shared" si="21"/>
        <v>30.695395782541929</v>
      </c>
      <c r="E108" s="65">
        <f t="shared" si="22"/>
        <v>-156.44292811211116</v>
      </c>
      <c r="F108" s="64">
        <f t="shared" si="23"/>
        <v>48.531933139167258</v>
      </c>
      <c r="G108" s="64">
        <f t="shared" si="24"/>
        <v>41.468066860832742</v>
      </c>
      <c r="H108" s="64">
        <f t="shared" si="25"/>
        <v>-150.69266270029118</v>
      </c>
      <c r="I108" s="72">
        <f t="shared" si="26"/>
        <v>38.159251593205205</v>
      </c>
      <c r="J108" s="64">
        <f t="shared" si="27"/>
        <v>51.840748406794795</v>
      </c>
      <c r="K108" s="65">
        <f t="shared" si="28"/>
        <v>-142.67702388841954</v>
      </c>
      <c r="L108" s="64">
        <f t="shared" si="29"/>
        <v>28.648539471220637</v>
      </c>
      <c r="M108" s="64">
        <f t="shared" si="30"/>
        <v>61.351460528779363</v>
      </c>
      <c r="N108" s="65">
        <f t="shared" si="31"/>
        <v>-130.08892727862363</v>
      </c>
      <c r="O108" s="64">
        <f t="shared" si="32"/>
        <v>21.214047567923814</v>
      </c>
      <c r="P108" s="64">
        <f t="shared" si="33"/>
        <v>68.785952432076186</v>
      </c>
      <c r="Q108" s="65">
        <f t="shared" si="34"/>
        <v>-108.24223249072983</v>
      </c>
      <c r="R108" s="64">
        <f t="shared" si="35"/>
        <v>36.273063884926799</v>
      </c>
      <c r="S108" s="59">
        <f t="shared" si="36"/>
        <v>53.726936115073201</v>
      </c>
      <c r="T108" s="58">
        <f t="shared" si="37"/>
        <v>-140.75048842944051</v>
      </c>
      <c r="U108" s="69"/>
    </row>
    <row r="109" spans="1:29" x14ac:dyDescent="0.2">
      <c r="A109" s="67">
        <v>-21</v>
      </c>
      <c r="B109" s="66">
        <f t="shared" si="19"/>
        <v>-0.36651914291880922</v>
      </c>
      <c r="C109" s="64">
        <f t="shared" si="20"/>
        <v>58.972435566930294</v>
      </c>
      <c r="D109" s="64">
        <f t="shared" si="21"/>
        <v>31.027564433069706</v>
      </c>
      <c r="E109" s="65">
        <f t="shared" si="22"/>
        <v>-157.43914750215197</v>
      </c>
      <c r="F109" s="64">
        <f t="shared" si="23"/>
        <v>48.124522073495399</v>
      </c>
      <c r="G109" s="64">
        <f t="shared" si="24"/>
        <v>41.875477926504601</v>
      </c>
      <c r="H109" s="64">
        <f t="shared" si="25"/>
        <v>-151.88463309907652</v>
      </c>
      <c r="I109" s="72">
        <f t="shared" si="26"/>
        <v>37.653356592090582</v>
      </c>
      <c r="J109" s="64">
        <f t="shared" si="27"/>
        <v>52.346643407909418</v>
      </c>
      <c r="K109" s="65">
        <f t="shared" si="28"/>
        <v>-144.0811001599011</v>
      </c>
      <c r="L109" s="64">
        <f t="shared" si="29"/>
        <v>28.007206446751496</v>
      </c>
      <c r="M109" s="64">
        <f t="shared" si="30"/>
        <v>61.992793553248504</v>
      </c>
      <c r="N109" s="65">
        <f t="shared" si="31"/>
        <v>-131.64824670576061</v>
      </c>
      <c r="O109" s="64">
        <f t="shared" si="32"/>
        <v>20.411553540592021</v>
      </c>
      <c r="P109" s="64">
        <f t="shared" si="33"/>
        <v>69.588446459407976</v>
      </c>
      <c r="Q109" s="65">
        <f t="shared" si="34"/>
        <v>-109.49365578983037</v>
      </c>
      <c r="R109" s="64">
        <f t="shared" si="35"/>
        <v>35.744795102673919</v>
      </c>
      <c r="S109" s="59">
        <f t="shared" si="36"/>
        <v>54.255204897326081</v>
      </c>
      <c r="T109" s="58">
        <f t="shared" si="37"/>
        <v>-142.19327455441112</v>
      </c>
      <c r="U109" s="69"/>
      <c r="V109" s="53"/>
      <c r="X109" s="50"/>
    </row>
    <row r="110" spans="1:29" x14ac:dyDescent="0.2">
      <c r="A110" s="67">
        <v>-20</v>
      </c>
      <c r="B110" s="66">
        <f t="shared" si="19"/>
        <v>-0.3490658503988659</v>
      </c>
      <c r="C110" s="64">
        <f t="shared" si="20"/>
        <v>58.653948674584939</v>
      </c>
      <c r="D110" s="64">
        <f t="shared" si="21"/>
        <v>31.346051325415061</v>
      </c>
      <c r="E110" s="65">
        <f t="shared" si="22"/>
        <v>-158.44484055330889</v>
      </c>
      <c r="F110" s="64">
        <f t="shared" si="23"/>
        <v>47.73278250158701</v>
      </c>
      <c r="G110" s="64">
        <f t="shared" si="24"/>
        <v>42.26721749841299</v>
      </c>
      <c r="H110" s="64">
        <f t="shared" si="25"/>
        <v>-153.0935156054741</v>
      </c>
      <c r="I110" s="72">
        <f t="shared" si="26"/>
        <v>37.16448404570469</v>
      </c>
      <c r="J110" s="64">
        <f t="shared" si="27"/>
        <v>52.83551595429531</v>
      </c>
      <c r="K110" s="65">
        <f t="shared" si="28"/>
        <v>-145.51712739664578</v>
      </c>
      <c r="L110" s="64">
        <f t="shared" si="29"/>
        <v>27.381514322711034</v>
      </c>
      <c r="M110" s="64">
        <f t="shared" si="30"/>
        <v>62.618485677288966</v>
      </c>
      <c r="N110" s="65">
        <f t="shared" si="31"/>
        <v>-133.26888397921712</v>
      </c>
      <c r="O110" s="64">
        <f t="shared" si="32"/>
        <v>19.615442856647562</v>
      </c>
      <c r="P110" s="64">
        <f t="shared" si="33"/>
        <v>70.384557143352438</v>
      </c>
      <c r="Q110" s="65">
        <f t="shared" si="34"/>
        <v>-110.82602432606507</v>
      </c>
      <c r="R110" s="64">
        <f t="shared" si="35"/>
        <v>35.233611090822421</v>
      </c>
      <c r="S110" s="59">
        <f t="shared" si="36"/>
        <v>54.766388909177579</v>
      </c>
      <c r="T110" s="58">
        <f t="shared" si="37"/>
        <v>-143.67227979261801</v>
      </c>
      <c r="U110" s="69"/>
    </row>
    <row r="111" spans="1:29" x14ac:dyDescent="0.2">
      <c r="A111" s="67">
        <v>-19</v>
      </c>
      <c r="B111" s="66">
        <f t="shared" si="19"/>
        <v>-0.33161255787892263</v>
      </c>
      <c r="C111" s="64">
        <f t="shared" si="20"/>
        <v>58.349369906261103</v>
      </c>
      <c r="D111" s="64">
        <f t="shared" si="21"/>
        <v>31.650630093738897</v>
      </c>
      <c r="E111" s="65">
        <f t="shared" si="22"/>
        <v>-159.45975863686547</v>
      </c>
      <c r="F111" s="64">
        <f t="shared" si="23"/>
        <v>47.35710912010363</v>
      </c>
      <c r="G111" s="64">
        <f t="shared" si="24"/>
        <v>42.64289087989637</v>
      </c>
      <c r="H111" s="64">
        <f t="shared" si="25"/>
        <v>-154.31905361575389</v>
      </c>
      <c r="I111" s="72">
        <f t="shared" si="26"/>
        <v>36.693328322449254</v>
      </c>
      <c r="J111" s="64">
        <f t="shared" si="27"/>
        <v>53.306671677550746</v>
      </c>
      <c r="K111" s="65">
        <f t="shared" si="28"/>
        <v>-146.98524741716128</v>
      </c>
      <c r="L111" s="64">
        <f t="shared" si="29"/>
        <v>26.772589901659121</v>
      </c>
      <c r="M111" s="64">
        <f t="shared" si="30"/>
        <v>63.227410098340883</v>
      </c>
      <c r="N111" s="65">
        <f t="shared" si="31"/>
        <v>-134.95351059033629</v>
      </c>
      <c r="O111" s="64">
        <f t="shared" si="32"/>
        <v>18.826584397243025</v>
      </c>
      <c r="P111" s="64">
        <f t="shared" si="33"/>
        <v>71.173415602756975</v>
      </c>
      <c r="Q111" s="65">
        <f t="shared" si="34"/>
        <v>-112.2489293204215</v>
      </c>
      <c r="R111" s="64">
        <f t="shared" si="35"/>
        <v>34.740282323693755</v>
      </c>
      <c r="S111" s="59">
        <f t="shared" si="36"/>
        <v>55.259717676306245</v>
      </c>
      <c r="T111" s="58">
        <f t="shared" si="37"/>
        <v>-145.18786047970593</v>
      </c>
      <c r="U111" s="69"/>
    </row>
    <row r="112" spans="1:29" x14ac:dyDescent="0.2">
      <c r="A112" s="67">
        <v>-18</v>
      </c>
      <c r="B112" s="66">
        <f t="shared" si="19"/>
        <v>-0.31415926535897931</v>
      </c>
      <c r="C112" s="64">
        <f t="shared" si="20"/>
        <v>58.058920369944147</v>
      </c>
      <c r="D112" s="64">
        <f t="shared" si="21"/>
        <v>31.941079630055853</v>
      </c>
      <c r="E112" s="65">
        <f t="shared" si="22"/>
        <v>-160.48362940456326</v>
      </c>
      <c r="F112" s="64">
        <f t="shared" si="23"/>
        <v>46.997892724055305</v>
      </c>
      <c r="G112" s="64">
        <f t="shared" si="24"/>
        <v>43.002107275944695</v>
      </c>
      <c r="H112" s="64">
        <f t="shared" si="25"/>
        <v>-155.56093471556528</v>
      </c>
      <c r="I112" s="72">
        <f t="shared" si="26"/>
        <v>36.240593821967373</v>
      </c>
      <c r="J112" s="64">
        <f t="shared" si="27"/>
        <v>53.759406178032627</v>
      </c>
      <c r="K112" s="65">
        <f t="shared" si="28"/>
        <v>-148.48547989960167</v>
      </c>
      <c r="L112" s="64">
        <f t="shared" si="29"/>
        <v>26.181632344798466</v>
      </c>
      <c r="M112" s="64">
        <f t="shared" si="30"/>
        <v>63.818367655201534</v>
      </c>
      <c r="N112" s="65">
        <f t="shared" si="31"/>
        <v>-136.7047130016594</v>
      </c>
      <c r="O112" s="64">
        <f t="shared" si="32"/>
        <v>18.045987626938974</v>
      </c>
      <c r="P112" s="64">
        <f t="shared" si="33"/>
        <v>71.954012373061033</v>
      </c>
      <c r="Q112" s="65">
        <f t="shared" si="34"/>
        <v>-113.77333944453333</v>
      </c>
      <c r="R112" s="64">
        <f t="shared" si="35"/>
        <v>34.265595633420887</v>
      </c>
      <c r="S112" s="59">
        <f t="shared" si="36"/>
        <v>55.734404366579113</v>
      </c>
      <c r="T112" s="58">
        <f t="shared" si="37"/>
        <v>-146.74023657739758</v>
      </c>
      <c r="U112" s="69"/>
      <c r="V112" s="53"/>
      <c r="X112" s="50"/>
    </row>
    <row r="113" spans="1:30" x14ac:dyDescent="0.2">
      <c r="A113" s="67">
        <v>-17</v>
      </c>
      <c r="B113" s="66">
        <f t="shared" si="19"/>
        <v>-0.29670597283903605</v>
      </c>
      <c r="C113" s="64">
        <f t="shared" si="20"/>
        <v>57.782815241822767</v>
      </c>
      <c r="D113" s="64">
        <f t="shared" si="21"/>
        <v>32.217184758177233</v>
      </c>
      <c r="E113" s="65">
        <f t="shared" si="22"/>
        <v>-161.51615671108519</v>
      </c>
      <c r="F113" s="64">
        <f t="shared" si="23"/>
        <v>46.655518691987581</v>
      </c>
      <c r="G113" s="64">
        <f t="shared" si="24"/>
        <v>43.344481308012419</v>
      </c>
      <c r="H113" s="65">
        <f t="shared" si="25"/>
        <v>-156.81878871387596</v>
      </c>
      <c r="I113" s="64">
        <f t="shared" si="26"/>
        <v>35.806992090496784</v>
      </c>
      <c r="J113" s="64">
        <f t="shared" si="27"/>
        <v>54.193007909503216</v>
      </c>
      <c r="K113" s="65">
        <f t="shared" si="28"/>
        <v>-150.01770931128027</v>
      </c>
      <c r="L113" s="64">
        <f t="shared" si="29"/>
        <v>25.609913647846518</v>
      </c>
      <c r="M113" s="64">
        <f t="shared" si="30"/>
        <v>64.390086352153475</v>
      </c>
      <c r="N113" s="65">
        <f t="shared" si="31"/>
        <v>-138.52493708324039</v>
      </c>
      <c r="O113" s="64">
        <f t="shared" si="32"/>
        <v>17.274830159177419</v>
      </c>
      <c r="P113" s="64">
        <f t="shared" si="33"/>
        <v>72.725169840822588</v>
      </c>
      <c r="Q113" s="65">
        <f t="shared" si="34"/>
        <v>-115.41180988097304</v>
      </c>
      <c r="R113" s="64">
        <f t="shared" si="35"/>
        <v>33.810351167315893</v>
      </c>
      <c r="S113" s="59">
        <f t="shared" si="36"/>
        <v>56.189648832684107</v>
      </c>
      <c r="T113" s="58">
        <f t="shared" si="37"/>
        <v>-148.3294736142355</v>
      </c>
      <c r="U113" s="68"/>
    </row>
    <row r="114" spans="1:30" x14ac:dyDescent="0.2">
      <c r="A114" s="67">
        <v>-16</v>
      </c>
      <c r="B114" s="66">
        <f t="shared" si="19"/>
        <v>-0.27925268031909273</v>
      </c>
      <c r="C114" s="64">
        <f t="shared" si="20"/>
        <v>57.521263084973064</v>
      </c>
      <c r="D114" s="64">
        <f t="shared" si="21"/>
        <v>32.478736915026936</v>
      </c>
      <c r="E114" s="65">
        <f t="shared" si="22"/>
        <v>-162.55702066275077</v>
      </c>
      <c r="F114" s="64">
        <f t="shared" si="23"/>
        <v>46.330365395276921</v>
      </c>
      <c r="G114" s="64">
        <f t="shared" si="24"/>
        <v>43.669634604723079</v>
      </c>
      <c r="H114" s="65">
        <f t="shared" si="25"/>
        <v>-158.09218600673066</v>
      </c>
      <c r="I114" s="64">
        <f t="shared" si="26"/>
        <v>35.39323851270133</v>
      </c>
      <c r="J114" s="64">
        <f t="shared" si="27"/>
        <v>54.60676148729867</v>
      </c>
      <c r="K114" s="65">
        <f t="shared" si="28"/>
        <v>-151.58167198961689</v>
      </c>
      <c r="L114" s="64">
        <f t="shared" si="29"/>
        <v>25.058777789579231</v>
      </c>
      <c r="M114" s="64">
        <f t="shared" si="30"/>
        <v>64.941222210420761</v>
      </c>
      <c r="N114" s="65">
        <f t="shared" si="31"/>
        <v>-140.41642230630509</v>
      </c>
      <c r="O114" s="64">
        <f t="shared" si="32"/>
        <v>16.514491164984126</v>
      </c>
      <c r="P114" s="64">
        <f t="shared" si="33"/>
        <v>73.485508835015878</v>
      </c>
      <c r="Q114" s="65">
        <f t="shared" si="34"/>
        <v>-117.17871312332875</v>
      </c>
      <c r="R114" s="64">
        <f t="shared" si="35"/>
        <v>33.375358780053254</v>
      </c>
      <c r="S114" s="59">
        <f t="shared" si="36"/>
        <v>56.624641219946746</v>
      </c>
      <c r="T114" s="58">
        <f t="shared" si="37"/>
        <v>-149.95546435182285</v>
      </c>
      <c r="U114" s="66"/>
    </row>
    <row r="115" spans="1:30" s="54" customFormat="1" x14ac:dyDescent="0.2">
      <c r="A115" s="63">
        <v>-15</v>
      </c>
      <c r="B115" s="62">
        <f t="shared" si="19"/>
        <v>-0.26179938779914941</v>
      </c>
      <c r="C115" s="60">
        <f t="shared" si="20"/>
        <v>57.274465164789397</v>
      </c>
      <c r="D115" s="60">
        <f t="shared" si="21"/>
        <v>32.725534835210603</v>
      </c>
      <c r="E115" s="61">
        <f t="shared" si="22"/>
        <v>-163.60587779985659</v>
      </c>
      <c r="F115" s="60">
        <f t="shared" si="23"/>
        <v>46.022802541303093</v>
      </c>
      <c r="G115" s="60">
        <f t="shared" si="24"/>
        <v>43.977197458696907</v>
      </c>
      <c r="H115" s="61">
        <f t="shared" si="25"/>
        <v>-159.38063632366391</v>
      </c>
      <c r="I115" s="60">
        <f t="shared" si="26"/>
        <v>35.000048575144874</v>
      </c>
      <c r="J115" s="60">
        <f t="shared" si="27"/>
        <v>54.999951424855126</v>
      </c>
      <c r="K115" s="61">
        <f t="shared" si="28"/>
        <v>-153.17694367923812</v>
      </c>
      <c r="L115" s="60">
        <f t="shared" si="29"/>
        <v>24.529638212410411</v>
      </c>
      <c r="M115" s="60">
        <f t="shared" si="30"/>
        <v>65.470361787589582</v>
      </c>
      <c r="N115" s="61">
        <f t="shared" si="31"/>
        <v>-142.3811252834156</v>
      </c>
      <c r="O115" s="60">
        <f t="shared" si="32"/>
        <v>15.766591755783725</v>
      </c>
      <c r="P115" s="60">
        <f t="shared" si="33"/>
        <v>74.233408244216278</v>
      </c>
      <c r="Q115" s="61">
        <f t="shared" si="34"/>
        <v>-119.0904852024743</v>
      </c>
      <c r="R115" s="60">
        <f t="shared" si="35"/>
        <v>32.961433837927267</v>
      </c>
      <c r="S115" s="59">
        <f t="shared" si="36"/>
        <v>57.038566162072733</v>
      </c>
      <c r="T115" s="58">
        <f t="shared" si="37"/>
        <v>-151.61791057181256</v>
      </c>
      <c r="U115" s="62"/>
      <c r="V115" s="56">
        <f>E115</f>
        <v>-163.60587779985659</v>
      </c>
      <c r="W115" s="55"/>
      <c r="AD115" s="55">
        <f>D115</f>
        <v>32.725534835210603</v>
      </c>
    </row>
    <row r="116" spans="1:30" x14ac:dyDescent="0.2">
      <c r="A116" s="67">
        <v>-14</v>
      </c>
      <c r="B116" s="66">
        <f t="shared" si="19"/>
        <v>-0.24434609527920614</v>
      </c>
      <c r="C116" s="64">
        <f t="shared" si="20"/>
        <v>57.042614765581696</v>
      </c>
      <c r="D116" s="64">
        <f t="shared" si="21"/>
        <v>32.957385234418304</v>
      </c>
      <c r="E116" s="65">
        <f t="shared" si="22"/>
        <v>-164.66236141904881</v>
      </c>
      <c r="F116" s="64">
        <f t="shared" si="23"/>
        <v>45.733189462265322</v>
      </c>
      <c r="G116" s="64">
        <f t="shared" si="24"/>
        <v>44.266810537734678</v>
      </c>
      <c r="H116" s="65">
        <f t="shared" si="25"/>
        <v>-160.68358790839531</v>
      </c>
      <c r="I116" s="64">
        <f t="shared" si="26"/>
        <v>34.628133706747022</v>
      </c>
      <c r="J116" s="64">
        <f t="shared" si="27"/>
        <v>55.371866293252978</v>
      </c>
      <c r="K116" s="65">
        <f t="shared" si="28"/>
        <v>-154.80292787247936</v>
      </c>
      <c r="L116" s="64">
        <f t="shared" si="29"/>
        <v>24.023973264062185</v>
      </c>
      <c r="M116" s="64">
        <f t="shared" si="30"/>
        <v>65.976026735937808</v>
      </c>
      <c r="N116" s="65">
        <f t="shared" si="31"/>
        <v>-144.4206327396148</v>
      </c>
      <c r="O116" s="64">
        <f t="shared" si="32"/>
        <v>15.033043535462642</v>
      </c>
      <c r="P116" s="64">
        <f t="shared" si="33"/>
        <v>74.966956464537361</v>
      </c>
      <c r="Q116" s="65">
        <f t="shared" si="34"/>
        <v>-121.16587364960222</v>
      </c>
      <c r="R116" s="64">
        <f t="shared" si="35"/>
        <v>32.569392424978396</v>
      </c>
      <c r="S116" s="59">
        <f t="shared" si="36"/>
        <v>57.430607575021604</v>
      </c>
      <c r="T116" s="58">
        <f t="shared" si="37"/>
        <v>-153.31630545704078</v>
      </c>
      <c r="U116" s="66"/>
      <c r="V116" s="53">
        <f>H115</f>
        <v>-159.38063632366391</v>
      </c>
      <c r="AD116" s="50">
        <f>G115</f>
        <v>43.977197458696907</v>
      </c>
    </row>
    <row r="117" spans="1:30" x14ac:dyDescent="0.2">
      <c r="A117" s="67">
        <v>-13</v>
      </c>
      <c r="B117" s="66">
        <f t="shared" si="19"/>
        <v>-0.22689280275926285</v>
      </c>
      <c r="C117" s="64">
        <f t="shared" si="20"/>
        <v>56.825896513023345</v>
      </c>
      <c r="D117" s="64">
        <f t="shared" si="21"/>
        <v>33.174103486976655</v>
      </c>
      <c r="E117" s="65">
        <f t="shared" si="22"/>
        <v>-165.7260820408795</v>
      </c>
      <c r="F117" s="64">
        <f t="shared" si="23"/>
        <v>45.461873363390922</v>
      </c>
      <c r="G117" s="64">
        <f t="shared" si="24"/>
        <v>44.538126636609078</v>
      </c>
      <c r="H117" s="65">
        <f t="shared" si="25"/>
        <v>-162.00042718279374</v>
      </c>
      <c r="I117" s="64">
        <f t="shared" si="26"/>
        <v>34.278196713544446</v>
      </c>
      <c r="J117" s="64">
        <f t="shared" si="27"/>
        <v>55.721803286455554</v>
      </c>
      <c r="K117" s="65">
        <f t="shared" si="28"/>
        <v>-156.45884533738351</v>
      </c>
      <c r="L117" s="64">
        <f t="shared" si="29"/>
        <v>23.543319213710699</v>
      </c>
      <c r="M117" s="64">
        <f t="shared" si="30"/>
        <v>66.456680786289297</v>
      </c>
      <c r="N117" s="65">
        <f t="shared" si="31"/>
        <v>-146.53606469510314</v>
      </c>
      <c r="O117" s="64">
        <f t="shared" si="32"/>
        <v>14.316106437110955</v>
      </c>
      <c r="P117" s="64">
        <f t="shared" si="33"/>
        <v>75.68389356288904</v>
      </c>
      <c r="Q117" s="65">
        <f t="shared" si="34"/>
        <v>-123.42616142610946</v>
      </c>
      <c r="R117" s="64">
        <f t="shared" si="35"/>
        <v>32.200045956498712</v>
      </c>
      <c r="S117" s="59">
        <f t="shared" si="36"/>
        <v>57.799954043501288</v>
      </c>
      <c r="T117" s="58">
        <f t="shared" si="37"/>
        <v>-155.04991711442619</v>
      </c>
      <c r="U117" s="66"/>
      <c r="V117" s="53">
        <f>K115</f>
        <v>-153.17694367923812</v>
      </c>
      <c r="AD117" s="50">
        <f>J115</f>
        <v>54.999951424855126</v>
      </c>
    </row>
    <row r="118" spans="1:30" x14ac:dyDescent="0.2">
      <c r="A118" s="67">
        <v>-12</v>
      </c>
      <c r="B118" s="66">
        <f t="shared" si="19"/>
        <v>-0.20943951023931956</v>
      </c>
      <c r="C118" s="64">
        <f t="shared" si="20"/>
        <v>56.624485707351646</v>
      </c>
      <c r="D118" s="64">
        <f t="shared" si="21"/>
        <v>33.375514292648354</v>
      </c>
      <c r="E118" s="65">
        <f t="shared" si="22"/>
        <v>-166.79662802628982</v>
      </c>
      <c r="F118" s="64">
        <f t="shared" si="23"/>
        <v>45.209187546189156</v>
      </c>
      <c r="G118" s="64">
        <f t="shared" si="24"/>
        <v>44.790812453810844</v>
      </c>
      <c r="H118" s="65">
        <f t="shared" si="25"/>
        <v>-163.33047893893129</v>
      </c>
      <c r="I118" s="64">
        <f t="shared" si="26"/>
        <v>33.950926838698713</v>
      </c>
      <c r="J118" s="64">
        <f t="shared" si="27"/>
        <v>56.049073161301287</v>
      </c>
      <c r="K118" s="65">
        <f t="shared" si="28"/>
        <v>-158.14372524506788</v>
      </c>
      <c r="L118" s="64">
        <f t="shared" si="29"/>
        <v>23.089260463007264</v>
      </c>
      <c r="M118" s="64">
        <f t="shared" si="30"/>
        <v>66.910739536992736</v>
      </c>
      <c r="N118" s="65">
        <f t="shared" si="31"/>
        <v>-148.72796955441018</v>
      </c>
      <c r="O118" s="64">
        <f t="shared" si="32"/>
        <v>13.618456593345662</v>
      </c>
      <c r="P118" s="64">
        <f t="shared" si="33"/>
        <v>76.381543406654345</v>
      </c>
      <c r="Q118" s="65">
        <f t="shared" si="34"/>
        <v>-125.8953219915763</v>
      </c>
      <c r="R118" s="64">
        <f t="shared" si="35"/>
        <v>31.854195224261421</v>
      </c>
      <c r="S118" s="59">
        <f t="shared" si="36"/>
        <v>58.145804775738583</v>
      </c>
      <c r="T118" s="58">
        <f t="shared" si="37"/>
        <v>-156.81777385188133</v>
      </c>
      <c r="U118" s="66"/>
      <c r="V118" s="53">
        <f>N115</f>
        <v>-142.3811252834156</v>
      </c>
      <c r="AD118" s="50">
        <f>M115</f>
        <v>65.470361787589582</v>
      </c>
    </row>
    <row r="119" spans="1:30" x14ac:dyDescent="0.2">
      <c r="A119" s="67">
        <v>-11</v>
      </c>
      <c r="B119" s="66">
        <f t="shared" si="19"/>
        <v>-0.19198621771937624</v>
      </c>
      <c r="C119" s="64">
        <f t="shared" si="20"/>
        <v>56.43854767238858</v>
      </c>
      <c r="D119" s="64">
        <f t="shared" si="21"/>
        <v>33.56145232761142</v>
      </c>
      <c r="E119" s="65">
        <f t="shared" si="22"/>
        <v>-167.87356634419447</v>
      </c>
      <c r="F119" s="64">
        <f t="shared" si="23"/>
        <v>44.975449624171404</v>
      </c>
      <c r="G119" s="64">
        <f t="shared" si="24"/>
        <v>45.024550375828596</v>
      </c>
      <c r="H119" s="65">
        <f t="shared" si="25"/>
        <v>-164.67300709826966</v>
      </c>
      <c r="I119" s="64">
        <f t="shared" si="26"/>
        <v>33.646994493618607</v>
      </c>
      <c r="J119" s="64">
        <f t="shared" si="27"/>
        <v>56.353005506381393</v>
      </c>
      <c r="K119" s="65">
        <f t="shared" si="28"/>
        <v>-159.85639832343085</v>
      </c>
      <c r="L119" s="64">
        <f t="shared" si="29"/>
        <v>22.663416611266122</v>
      </c>
      <c r="M119" s="64">
        <f t="shared" si="30"/>
        <v>67.336583388733885</v>
      </c>
      <c r="N119" s="65">
        <f t="shared" si="31"/>
        <v>-150.99621392484198</v>
      </c>
      <c r="O119" s="64">
        <f t="shared" si="32"/>
        <v>12.943264098948381</v>
      </c>
      <c r="P119" s="64">
        <f t="shared" si="33"/>
        <v>77.056735901051624</v>
      </c>
      <c r="Q119" s="65">
        <f t="shared" si="34"/>
        <v>-128.60003183560417</v>
      </c>
      <c r="R119" s="64">
        <f t="shared" si="35"/>
        <v>31.532623919474783</v>
      </c>
      <c r="S119" s="59">
        <f t="shared" si="36"/>
        <v>58.467376080525213</v>
      </c>
      <c r="T119" s="58">
        <f t="shared" si="37"/>
        <v>-158.61865186996101</v>
      </c>
      <c r="U119" s="66"/>
      <c r="V119" s="53">
        <f>Q115</f>
        <v>-119.0904852024743</v>
      </c>
      <c r="AD119" s="50">
        <f>P115</f>
        <v>74.233408244216278</v>
      </c>
    </row>
    <row r="120" spans="1:30" x14ac:dyDescent="0.2">
      <c r="A120" s="67">
        <v>-10</v>
      </c>
      <c r="B120" s="66">
        <f t="shared" si="19"/>
        <v>-0.17453292519943295</v>
      </c>
      <c r="C120" s="64">
        <f t="shared" si="20"/>
        <v>56.268237125555395</v>
      </c>
      <c r="D120" s="64">
        <f t="shared" si="21"/>
        <v>33.731762874444605</v>
      </c>
      <c r="E120" s="65">
        <f t="shared" si="22"/>
        <v>-168.95644349063565</v>
      </c>
      <c r="F120" s="64">
        <f t="shared" si="23"/>
        <v>44.760959750018365</v>
      </c>
      <c r="G120" s="64">
        <f t="shared" si="24"/>
        <v>45.239040249981635</v>
      </c>
      <c r="H120" s="65">
        <f t="shared" si="25"/>
        <v>-166.02721606964343</v>
      </c>
      <c r="I120" s="64">
        <f t="shared" si="26"/>
        <v>33.367045721819906</v>
      </c>
      <c r="J120" s="64">
        <f t="shared" si="27"/>
        <v>56.632954278180094</v>
      </c>
      <c r="K120" s="65">
        <f t="shared" si="28"/>
        <v>-161.59549246299594</v>
      </c>
      <c r="L120" s="64">
        <f t="shared" si="29"/>
        <v>22.267426114308563</v>
      </c>
      <c r="M120" s="64">
        <f t="shared" si="30"/>
        <v>67.732573885691437</v>
      </c>
      <c r="N120" s="65">
        <f t="shared" si="31"/>
        <v>-153.33987128847113</v>
      </c>
      <c r="O120" s="64">
        <f t="shared" si="32"/>
        <v>12.294278741549498</v>
      </c>
      <c r="P120" s="64">
        <f t="shared" si="33"/>
        <v>77.705721258450495</v>
      </c>
      <c r="Q120" s="65">
        <f t="shared" si="34"/>
        <v>-131.56942542097505</v>
      </c>
      <c r="R120" s="64">
        <f t="shared" si="35"/>
        <v>31.23609170335849</v>
      </c>
      <c r="S120" s="59">
        <f t="shared" si="36"/>
        <v>58.76390829664151</v>
      </c>
      <c r="T120" s="58">
        <f t="shared" si="37"/>
        <v>-160.45106605421736</v>
      </c>
      <c r="U120" s="66"/>
    </row>
    <row r="121" spans="1:30" x14ac:dyDescent="0.2">
      <c r="A121" s="67">
        <v>-9</v>
      </c>
      <c r="B121" s="66">
        <f t="shared" si="19"/>
        <v>-0.15707963267948966</v>
      </c>
      <c r="C121" s="64">
        <f t="shared" si="20"/>
        <v>56.113697574094928</v>
      </c>
      <c r="D121" s="64">
        <f t="shared" si="21"/>
        <v>33.886302425905072</v>
      </c>
      <c r="E121" s="65">
        <f t="shared" si="22"/>
        <v>-170.04478655814913</v>
      </c>
      <c r="F121" s="64">
        <f t="shared" si="23"/>
        <v>44.565998874464</v>
      </c>
      <c r="G121" s="64">
        <f t="shared" si="24"/>
        <v>45.434001125536</v>
      </c>
      <c r="H121" s="65">
        <f t="shared" si="25"/>
        <v>-167.39225272877323</v>
      </c>
      <c r="I121" s="64">
        <f t="shared" si="26"/>
        <v>33.111696473086752</v>
      </c>
      <c r="J121" s="64">
        <f t="shared" si="27"/>
        <v>56.888303526913248</v>
      </c>
      <c r="K121" s="65">
        <f t="shared" si="28"/>
        <v>-163.35943117999395</v>
      </c>
      <c r="L121" s="64">
        <f t="shared" si="29"/>
        <v>21.902926406173123</v>
      </c>
      <c r="M121" s="64">
        <f t="shared" si="30"/>
        <v>68.097073593826877</v>
      </c>
      <c r="N121" s="65">
        <f t="shared" si="31"/>
        <v>-155.75711504013651</v>
      </c>
      <c r="O121" s="64">
        <f t="shared" si="32"/>
        <v>11.67591857233681</v>
      </c>
      <c r="P121" s="64">
        <f t="shared" si="33"/>
        <v>78.324081427663188</v>
      </c>
      <c r="Q121" s="65">
        <f t="shared" si="34"/>
        <v>-134.83442264803344</v>
      </c>
      <c r="R121" s="64">
        <f t="shared" si="35"/>
        <v>30.965326920490511</v>
      </c>
      <c r="S121" s="59">
        <f t="shared" si="36"/>
        <v>59.034673079509489</v>
      </c>
      <c r="T121" s="58">
        <f t="shared" si="37"/>
        <v>-162.31326454922115</v>
      </c>
      <c r="U121" s="66"/>
    </row>
    <row r="122" spans="1:30" x14ac:dyDescent="0.2">
      <c r="A122" s="67">
        <v>-8</v>
      </c>
      <c r="B122" s="66">
        <f t="shared" si="19"/>
        <v>-0.13962634015954636</v>
      </c>
      <c r="C122" s="64">
        <f t="shared" si="20"/>
        <v>55.975060742685258</v>
      </c>
      <c r="D122" s="64">
        <f t="shared" si="21"/>
        <v>34.024939257314742</v>
      </c>
      <c r="E122" s="65">
        <f t="shared" si="22"/>
        <v>-171.13810445207935</v>
      </c>
      <c r="F122" s="64">
        <f t="shared" si="23"/>
        <v>44.390827058114361</v>
      </c>
      <c r="G122" s="64">
        <f t="shared" si="24"/>
        <v>45.609172941885639</v>
      </c>
      <c r="H122" s="65">
        <f t="shared" si="25"/>
        <v>-168.767209031693</v>
      </c>
      <c r="I122" s="64">
        <f t="shared" si="26"/>
        <v>32.881526780838669</v>
      </c>
      <c r="J122" s="64">
        <f t="shared" si="27"/>
        <v>57.118473219161331</v>
      </c>
      <c r="K122" s="65">
        <f t="shared" si="28"/>
        <v>-165.14643529902969</v>
      </c>
      <c r="L122" s="64">
        <f t="shared" si="29"/>
        <v>21.57153053704522</v>
      </c>
      <c r="M122" s="64">
        <f t="shared" si="30"/>
        <v>68.42846946295478</v>
      </c>
      <c r="N122" s="65">
        <f t="shared" si="31"/>
        <v>-158.24512273577653</v>
      </c>
      <c r="O122" s="64">
        <f t="shared" si="32"/>
        <v>11.093350911908155</v>
      </c>
      <c r="P122" s="64">
        <f t="shared" si="33"/>
        <v>78.906649088091839</v>
      </c>
      <c r="Q122" s="65">
        <f t="shared" si="34"/>
        <v>-138.42639553487209</v>
      </c>
      <c r="R122" s="64">
        <f t="shared" si="35"/>
        <v>30.721019075477418</v>
      </c>
      <c r="S122" s="59">
        <f t="shared" si="36"/>
        <v>59.278980924522585</v>
      </c>
      <c r="T122" s="58">
        <f t="shared" si="37"/>
        <v>-164.2032277536515</v>
      </c>
      <c r="U122" s="66"/>
    </row>
    <row r="123" spans="1:30" x14ac:dyDescent="0.2">
      <c r="A123" s="67">
        <v>-7</v>
      </c>
      <c r="B123" s="66">
        <f t="shared" si="19"/>
        <v>-0.12217304763960307</v>
      </c>
      <c r="C123" s="64">
        <f t="shared" si="20"/>
        <v>55.852446037523038</v>
      </c>
      <c r="D123" s="64">
        <f t="shared" si="21"/>
        <v>34.147553962476962</v>
      </c>
      <c r="E123" s="65">
        <f t="shared" si="22"/>
        <v>-172.2358892486277</v>
      </c>
      <c r="F123" s="64">
        <f t="shared" si="23"/>
        <v>44.235681857970057</v>
      </c>
      <c r="G123" s="64">
        <f t="shared" si="24"/>
        <v>45.764318142029943</v>
      </c>
      <c r="H123" s="65">
        <f t="shared" si="25"/>
        <v>-170.15112526290974</v>
      </c>
      <c r="I123" s="64">
        <f t="shared" si="26"/>
        <v>32.677074949439451</v>
      </c>
      <c r="J123" s="64">
        <f t="shared" si="27"/>
        <v>57.322925050560549</v>
      </c>
      <c r="K123" s="65">
        <f t="shared" si="28"/>
        <v>-166.95452815147891</v>
      </c>
      <c r="L123" s="64">
        <f t="shared" si="29"/>
        <v>21.274800618378489</v>
      </c>
      <c r="M123" s="64">
        <f t="shared" si="30"/>
        <v>68.725199381621508</v>
      </c>
      <c r="N123" s="65">
        <f t="shared" si="31"/>
        <v>-160.7999994713031</v>
      </c>
      <c r="O123" s="64">
        <f t="shared" si="32"/>
        <v>10.552547460298232</v>
      </c>
      <c r="P123" s="64">
        <f t="shared" si="33"/>
        <v>79.447452539701771</v>
      </c>
      <c r="Q123" s="65">
        <f t="shared" si="34"/>
        <v>-142.37488696891452</v>
      </c>
      <c r="R123" s="64">
        <f t="shared" si="35"/>
        <v>30.503811217576494</v>
      </c>
      <c r="S123" s="59">
        <f t="shared" si="36"/>
        <v>59.496188782423502</v>
      </c>
      <c r="T123" s="58">
        <f t="shared" si="37"/>
        <v>-166.11867229313975</v>
      </c>
      <c r="U123" s="66"/>
    </row>
    <row r="124" spans="1:30" x14ac:dyDescent="0.2">
      <c r="A124" s="67">
        <v>-6</v>
      </c>
      <c r="B124" s="66">
        <f t="shared" si="19"/>
        <v>-0.10471975511965978</v>
      </c>
      <c r="C124" s="64">
        <f t="shared" si="20"/>
        <v>55.745960051774887</v>
      </c>
      <c r="D124" s="64">
        <f t="shared" si="21"/>
        <v>34.254039948225113</v>
      </c>
      <c r="E124" s="65">
        <f t="shared" si="22"/>
        <v>-173.33761768744449</v>
      </c>
      <c r="F124" s="64">
        <f t="shared" si="23"/>
        <v>44.100776810521211</v>
      </c>
      <c r="G124" s="64">
        <f t="shared" si="24"/>
        <v>45.899223189478789</v>
      </c>
      <c r="H124" s="65">
        <f t="shared" si="25"/>
        <v>-171.54299390661652</v>
      </c>
      <c r="I124" s="64">
        <f t="shared" si="26"/>
        <v>32.498831869544006</v>
      </c>
      <c r="J124" s="64">
        <f t="shared" si="27"/>
        <v>57.501168130455994</v>
      </c>
      <c r="K124" s="65">
        <f t="shared" si="28"/>
        <v>-168.7815444961978</v>
      </c>
      <c r="L124" s="64">
        <f t="shared" si="29"/>
        <v>21.014218647883038</v>
      </c>
      <c r="M124" s="64">
        <f t="shared" si="30"/>
        <v>68.985781352116959</v>
      </c>
      <c r="N124" s="65">
        <f t="shared" si="31"/>
        <v>-163.41672888917708</v>
      </c>
      <c r="O124" s="64">
        <f t="shared" si="32"/>
        <v>10.06028465198534</v>
      </c>
      <c r="P124" s="64">
        <f t="shared" si="33"/>
        <v>79.939715348014659</v>
      </c>
      <c r="Q124" s="65">
        <f t="shared" si="34"/>
        <v>-146.70409253064463</v>
      </c>
      <c r="R124" s="64">
        <f t="shared" si="35"/>
        <v>30.314292398958955</v>
      </c>
      <c r="S124" s="59">
        <f t="shared" si="36"/>
        <v>59.685707601041045</v>
      </c>
      <c r="T124" s="58">
        <f t="shared" si="37"/>
        <v>-168.05706040155104</v>
      </c>
      <c r="U124" s="66"/>
    </row>
    <row r="125" spans="1:30" x14ac:dyDescent="0.2">
      <c r="A125" s="67">
        <v>-5</v>
      </c>
      <c r="B125" s="66">
        <f t="shared" si="19"/>
        <v>-8.7266462599716474E-2</v>
      </c>
      <c r="C125" s="64">
        <f t="shared" si="20"/>
        <v>55.65569611703571</v>
      </c>
      <c r="D125" s="64">
        <f t="shared" si="21"/>
        <v>34.34430388296429</v>
      </c>
      <c r="E125" s="65">
        <f t="shared" si="22"/>
        <v>-174.44275278964946</v>
      </c>
      <c r="F125" s="64">
        <f t="shared" si="23"/>
        <v>43.98630003289464</v>
      </c>
      <c r="G125" s="64">
        <f t="shared" si="24"/>
        <v>46.01369996710536</v>
      </c>
      <c r="H125" s="65">
        <f t="shared" si="25"/>
        <v>-172.94176411618582</v>
      </c>
      <c r="I125" s="64">
        <f t="shared" si="26"/>
        <v>32.347235587497309</v>
      </c>
      <c r="J125" s="64">
        <f t="shared" si="27"/>
        <v>57.652764412502691</v>
      </c>
      <c r="K125" s="65">
        <f t="shared" si="28"/>
        <v>-170.6251432581461</v>
      </c>
      <c r="L125" s="64">
        <f t="shared" si="29"/>
        <v>20.791155593045087</v>
      </c>
      <c r="M125" s="64">
        <f t="shared" si="30"/>
        <v>69.20884440695491</v>
      </c>
      <c r="N125" s="65">
        <f t="shared" si="31"/>
        <v>-166.08916013326197</v>
      </c>
      <c r="O125" s="64">
        <f t="shared" si="32"/>
        <v>9.6240490266908001</v>
      </c>
      <c r="P125" s="64">
        <f t="shared" si="33"/>
        <v>80.375950973309202</v>
      </c>
      <c r="Q125" s="65">
        <f t="shared" si="34"/>
        <v>-151.4279426750002</v>
      </c>
      <c r="R125" s="64">
        <f t="shared" si="35"/>
        <v>30.152990388567449</v>
      </c>
      <c r="S125" s="59">
        <f t="shared" si="36"/>
        <v>59.847009611432554</v>
      </c>
      <c r="T125" s="58">
        <f t="shared" si="37"/>
        <v>-170.0156149733653</v>
      </c>
      <c r="U125" s="66"/>
    </row>
    <row r="126" spans="1:30" x14ac:dyDescent="0.2">
      <c r="A126" s="67">
        <v>-4</v>
      </c>
      <c r="B126" s="66">
        <f t="shared" si="19"/>
        <v>-6.9813170079773182E-2</v>
      </c>
      <c r="C126" s="64">
        <f t="shared" si="20"/>
        <v>55.581733905100791</v>
      </c>
      <c r="D126" s="64">
        <f t="shared" si="21"/>
        <v>34.418266094899209</v>
      </c>
      <c r="E126" s="65">
        <f t="shared" si="22"/>
        <v>-175.55074559029319</v>
      </c>
      <c r="F126" s="64">
        <f t="shared" si="23"/>
        <v>43.892412962630218</v>
      </c>
      <c r="G126" s="64">
        <f t="shared" si="24"/>
        <v>46.107587037369782</v>
      </c>
      <c r="H126" s="65">
        <f t="shared" si="25"/>
        <v>-174.34634674390125</v>
      </c>
      <c r="I126" s="64">
        <f t="shared" si="26"/>
        <v>32.222666258403997</v>
      </c>
      <c r="J126" s="64">
        <f t="shared" si="27"/>
        <v>57.777333741596003</v>
      </c>
      <c r="K126" s="65">
        <f t="shared" si="28"/>
        <v>-172.48282405197534</v>
      </c>
      <c r="L126" s="64">
        <f t="shared" si="29"/>
        <v>20.606839911485572</v>
      </c>
      <c r="M126" s="64">
        <f t="shared" si="30"/>
        <v>69.393160088514435</v>
      </c>
      <c r="N126" s="65">
        <f t="shared" si="31"/>
        <v>-168.81003792637176</v>
      </c>
      <c r="O126" s="64">
        <f t="shared" si="32"/>
        <v>9.2518002163599444</v>
      </c>
      <c r="P126" s="64">
        <f t="shared" si="33"/>
        <v>80.748199783640061</v>
      </c>
      <c r="Q126" s="65">
        <f t="shared" si="34"/>
        <v>-156.54397823321204</v>
      </c>
      <c r="R126" s="64">
        <f t="shared" si="35"/>
        <v>30.02036483326911</v>
      </c>
      <c r="S126" s="59">
        <f t="shared" si="36"/>
        <v>59.979635166730887</v>
      </c>
      <c r="T126" s="58">
        <f t="shared" si="37"/>
        <v>-171.99134034497277</v>
      </c>
      <c r="U126" s="66"/>
    </row>
    <row r="127" spans="1:30" x14ac:dyDescent="0.2">
      <c r="A127" s="67">
        <v>-3</v>
      </c>
      <c r="B127" s="66">
        <f t="shared" si="19"/>
        <v>-5.235987755982989E-2</v>
      </c>
      <c r="C127" s="64">
        <f t="shared" si="20"/>
        <v>55.524139083951276</v>
      </c>
      <c r="D127" s="64">
        <f t="shared" si="21"/>
        <v>34.475860916048724</v>
      </c>
      <c r="E127" s="65">
        <f t="shared" si="22"/>
        <v>-176.66103697253254</v>
      </c>
      <c r="F127" s="64">
        <f t="shared" si="23"/>
        <v>43.819249255241864</v>
      </c>
      <c r="G127" s="64">
        <f t="shared" si="24"/>
        <v>46.180750744758136</v>
      </c>
      <c r="H127" s="65">
        <f t="shared" si="25"/>
        <v>-175.75561987986433</v>
      </c>
      <c r="I127" s="64">
        <f t="shared" si="26"/>
        <v>32.125441611070656</v>
      </c>
      <c r="J127" s="64">
        <f t="shared" si="27"/>
        <v>57.874558388929344</v>
      </c>
      <c r="K127" s="65">
        <f t="shared" si="28"/>
        <v>-174.35194731736124</v>
      </c>
      <c r="L127" s="64">
        <f t="shared" si="29"/>
        <v>20.462326940273371</v>
      </c>
      <c r="M127" s="64">
        <f t="shared" si="30"/>
        <v>69.537673059726629</v>
      </c>
      <c r="N127" s="65">
        <f t="shared" si="31"/>
        <v>-171.57108071482995</v>
      </c>
      <c r="O127" s="64">
        <f t="shared" si="32"/>
        <v>8.9515505719549626</v>
      </c>
      <c r="P127" s="64">
        <f t="shared" si="33"/>
        <v>81.048449428045032</v>
      </c>
      <c r="Q127" s="65">
        <f t="shared" si="34"/>
        <v>-162.02686545912169</v>
      </c>
      <c r="R127" s="64">
        <f t="shared" si="35"/>
        <v>29.916801059760058</v>
      </c>
      <c r="S127" s="59">
        <f t="shared" si="36"/>
        <v>60.083198940239939</v>
      </c>
      <c r="T127" s="58">
        <f t="shared" si="37"/>
        <v>-173.98104863035365</v>
      </c>
      <c r="U127" s="66"/>
    </row>
    <row r="128" spans="1:30" x14ac:dyDescent="0.2">
      <c r="A128" s="67">
        <v>-2</v>
      </c>
      <c r="B128" s="66">
        <f t="shared" si="19"/>
        <v>-3.4906585039886591E-2</v>
      </c>
      <c r="C128" s="64">
        <f t="shared" si="20"/>
        <v>55.482963031380102</v>
      </c>
      <c r="D128" s="64">
        <f t="shared" si="21"/>
        <v>34.517036968619898</v>
      </c>
      <c r="E128" s="65">
        <f t="shared" si="22"/>
        <v>-177.77305958920579</v>
      </c>
      <c r="F128" s="64">
        <f t="shared" si="23"/>
        <v>43.766913856790772</v>
      </c>
      <c r="G128" s="64">
        <f t="shared" si="24"/>
        <v>46.233086143209228</v>
      </c>
      <c r="H128" s="65">
        <f t="shared" si="25"/>
        <v>-177.16843483671053</v>
      </c>
      <c r="I128" s="64">
        <f t="shared" si="26"/>
        <v>32.055813046148891</v>
      </c>
      <c r="J128" s="64">
        <f t="shared" si="27"/>
        <v>57.944186953851109</v>
      </c>
      <c r="K128" s="65">
        <f t="shared" si="28"/>
        <v>-176.22975774834097</v>
      </c>
      <c r="L128" s="64">
        <f t="shared" si="29"/>
        <v>20.358470750842983</v>
      </c>
      <c r="M128" s="64">
        <f t="shared" si="30"/>
        <v>69.641529249157017</v>
      </c>
      <c r="N128" s="65">
        <f t="shared" si="31"/>
        <v>-174.36310855954406</v>
      </c>
      <c r="O128" s="64">
        <f t="shared" si="32"/>
        <v>8.7307522166603402</v>
      </c>
      <c r="P128" s="64">
        <f t="shared" si="33"/>
        <v>81.269247783339665</v>
      </c>
      <c r="Q128" s="65">
        <f t="shared" si="34"/>
        <v>-167.82325091798262</v>
      </c>
      <c r="R128" s="64">
        <f t="shared" si="35"/>
        <v>29.842604703384037</v>
      </c>
      <c r="S128" s="59">
        <f t="shared" si="36"/>
        <v>60.15739529661596</v>
      </c>
      <c r="T128" s="58">
        <f t="shared" si="37"/>
        <v>-175.98139118997886</v>
      </c>
      <c r="U128" s="66"/>
    </row>
    <row r="129" spans="1:31" x14ac:dyDescent="0.2">
      <c r="A129" s="67">
        <v>-1</v>
      </c>
      <c r="B129" s="66">
        <f t="shared" si="19"/>
        <v>-1.7453292519943295E-2</v>
      </c>
      <c r="C129" s="64">
        <f t="shared" si="20"/>
        <v>55.458242609151348</v>
      </c>
      <c r="D129" s="64">
        <f t="shared" si="21"/>
        <v>34.541757390848652</v>
      </c>
      <c r="E129" s="65">
        <f t="shared" si="22"/>
        <v>-178.88623985609274</v>
      </c>
      <c r="F129" s="64">
        <f t="shared" si="23"/>
        <v>43.735482266297481</v>
      </c>
      <c r="G129" s="64">
        <f t="shared" si="24"/>
        <v>46.264517733702519</v>
      </c>
      <c r="H129" s="65">
        <f t="shared" si="25"/>
        <v>-178.58362250567095</v>
      </c>
      <c r="I129" s="64">
        <f t="shared" si="26"/>
        <v>32.01396247636675</v>
      </c>
      <c r="J129" s="64">
        <f t="shared" si="27"/>
        <v>57.98603752363325</v>
      </c>
      <c r="K129" s="65">
        <f t="shared" si="28"/>
        <v>-178.11341055882693</v>
      </c>
      <c r="L129" s="64">
        <f t="shared" si="29"/>
        <v>20.295900101645508</v>
      </c>
      <c r="M129" s="64">
        <f t="shared" si="30"/>
        <v>69.704099898354485</v>
      </c>
      <c r="N129" s="65">
        <f t="shared" si="31"/>
        <v>-177.17621840686004</v>
      </c>
      <c r="O129" s="64">
        <f t="shared" si="32"/>
        <v>8.5955451560153211</v>
      </c>
      <c r="P129" s="64">
        <f t="shared" si="33"/>
        <v>81.404454843984681</v>
      </c>
      <c r="Q129" s="65">
        <f t="shared" si="34"/>
        <v>-173.85029903984469</v>
      </c>
      <c r="R129" s="64">
        <f t="shared" si="35"/>
        <v>29.797997333226508</v>
      </c>
      <c r="S129" s="59">
        <f t="shared" si="36"/>
        <v>60.202002666773495</v>
      </c>
      <c r="T129" s="58">
        <f t="shared" si="37"/>
        <v>-177.98889456703165</v>
      </c>
      <c r="U129" s="66"/>
    </row>
    <row r="130" spans="1:31" s="54" customFormat="1" x14ac:dyDescent="0.2">
      <c r="A130" s="63">
        <v>-1E-3</v>
      </c>
      <c r="B130" s="62">
        <f t="shared" si="19"/>
        <v>-1.7453292519943296E-5</v>
      </c>
      <c r="C130" s="60">
        <f t="shared" si="20"/>
        <v>55.450000008243229</v>
      </c>
      <c r="D130" s="60">
        <f t="shared" si="21"/>
        <v>34.549999991756771</v>
      </c>
      <c r="E130" s="61">
        <f t="shared" si="22"/>
        <v>-179.99888614306687</v>
      </c>
      <c r="F130" s="60">
        <f t="shared" si="23"/>
        <v>43.725000010483527</v>
      </c>
      <c r="G130" s="60">
        <f t="shared" si="24"/>
        <v>46.274999989516473</v>
      </c>
      <c r="H130" s="61">
        <f t="shared" si="25"/>
        <v>-179.99858342407646</v>
      </c>
      <c r="I130" s="60">
        <f t="shared" si="26"/>
        <v>32.000000013965554</v>
      </c>
      <c r="J130" s="60">
        <f t="shared" si="27"/>
        <v>57.999999986034446</v>
      </c>
      <c r="K130" s="61">
        <f t="shared" si="28"/>
        <v>-179.99811291957786</v>
      </c>
      <c r="L130" s="60">
        <f t="shared" si="29"/>
        <v>20.275000020910962</v>
      </c>
      <c r="M130" s="60">
        <f t="shared" si="30"/>
        <v>69.724999979089034</v>
      </c>
      <c r="N130" s="61">
        <f t="shared" si="31"/>
        <v>-179.99717442970029</v>
      </c>
      <c r="O130" s="60">
        <f t="shared" si="32"/>
        <v>8.550000045666712</v>
      </c>
      <c r="P130" s="60">
        <f t="shared" si="33"/>
        <v>81.449999954333293</v>
      </c>
      <c r="Q130" s="61">
        <f t="shared" si="34"/>
        <v>-179.99382933609934</v>
      </c>
      <c r="R130" s="60">
        <f t="shared" si="35"/>
        <v>29.78311323167458</v>
      </c>
      <c r="S130" s="59">
        <f t="shared" si="36"/>
        <v>60.216886768325423</v>
      </c>
      <c r="T130" s="58">
        <f t="shared" si="37"/>
        <v>-179.9979882929585</v>
      </c>
      <c r="U130" s="62"/>
      <c r="V130" s="56">
        <f>E130</f>
        <v>-179.99888614306687</v>
      </c>
      <c r="W130" s="55"/>
      <c r="AE130" s="55">
        <f>D130</f>
        <v>34.549999991756771</v>
      </c>
    </row>
    <row r="131" spans="1:31" s="54" customFormat="1" x14ac:dyDescent="0.2">
      <c r="A131" s="63">
        <v>1E-3</v>
      </c>
      <c r="B131" s="62">
        <f t="shared" si="19"/>
        <v>1.7453292519943296E-5</v>
      </c>
      <c r="C131" s="60">
        <f t="shared" si="20"/>
        <v>55.450000008243229</v>
      </c>
      <c r="D131" s="60">
        <f t="shared" si="21"/>
        <v>34.549999991756771</v>
      </c>
      <c r="E131" s="61">
        <f t="shared" ref="E131:E194" si="38">DEGREES(ACOS((SIN(RADIANS(D131))*SIN($C$6)-SIN(C$5))/(COS(RADIANS(D131))*COS($C$6))))</f>
        <v>179.99888614306687</v>
      </c>
      <c r="F131" s="60">
        <f t="shared" si="23"/>
        <v>43.725000010483527</v>
      </c>
      <c r="G131" s="60">
        <f t="shared" si="24"/>
        <v>46.274999989516473</v>
      </c>
      <c r="H131" s="61">
        <f t="shared" ref="H131:H194" si="39">DEGREES(ACOS((SIN(RADIANS(G131))*SIN($C$6)-SIN(G$5))/(COS(RADIANS(G131))*COS($C$6))))</f>
        <v>179.99858342407646</v>
      </c>
      <c r="I131" s="60">
        <f t="shared" si="26"/>
        <v>32.000000013965554</v>
      </c>
      <c r="J131" s="60">
        <f t="shared" si="27"/>
        <v>57.999999986034446</v>
      </c>
      <c r="K131" s="61">
        <f t="shared" ref="K131:K194" si="40">DEGREES(ACOS((SIN(RADIANS(J131))*SIN($C$6)-SIN(J$5))/(COS(RADIANS(J131))*COS($C$6))))</f>
        <v>179.99811291957786</v>
      </c>
      <c r="L131" s="60">
        <f t="shared" si="29"/>
        <v>20.275000020910962</v>
      </c>
      <c r="M131" s="60">
        <f t="shared" si="30"/>
        <v>69.724999979089034</v>
      </c>
      <c r="N131" s="61">
        <f t="shared" ref="N131:N194" si="41">DEGREES(ACOS((SIN(RADIANS(M131))*SIN($C$6)-SIN(M$5))/(COS(RADIANS(M131))*COS($C$6))))</f>
        <v>179.99717442970029</v>
      </c>
      <c r="O131" s="60">
        <f t="shared" si="32"/>
        <v>8.550000045666712</v>
      </c>
      <c r="P131" s="60">
        <f t="shared" si="33"/>
        <v>81.449999954333293</v>
      </c>
      <c r="Q131" s="61">
        <f t="shared" ref="Q131:Q194" si="42">DEGREES(ACOS((SIN(RADIANS(P131))*SIN($C$6)-SIN(P$5))/(COS(RADIANS(P131))*COS($C$6))))</f>
        <v>179.99382933609934</v>
      </c>
      <c r="R131" s="60">
        <f t="shared" si="35"/>
        <v>29.78311323167458</v>
      </c>
      <c r="S131" s="59">
        <f t="shared" si="36"/>
        <v>60.216886768325423</v>
      </c>
      <c r="T131" s="58">
        <f t="shared" ref="T131:T194" si="43">DEGREES(ACOS((SIN(RADIANS(S131))*SIN($C$6)-SIN(S$5))/(COS(RADIANS(S131))*COS($C$6))))</f>
        <v>179.9979882929585</v>
      </c>
      <c r="U131" s="62"/>
      <c r="V131" s="71">
        <f>IF($B$6&gt;=0,0,180)</f>
        <v>180</v>
      </c>
      <c r="W131" s="55"/>
      <c r="AE131" s="55">
        <f>D131</f>
        <v>34.549999991756771</v>
      </c>
    </row>
    <row r="132" spans="1:31" x14ac:dyDescent="0.2">
      <c r="A132" s="67">
        <v>1</v>
      </c>
      <c r="B132" s="66">
        <f t="shared" si="19"/>
        <v>1.7453292519943295E-2</v>
      </c>
      <c r="C132" s="64">
        <f t="shared" si="20"/>
        <v>55.458242609151348</v>
      </c>
      <c r="D132" s="64">
        <f t="shared" si="21"/>
        <v>34.541757390848652</v>
      </c>
      <c r="E132" s="65">
        <f t="shared" si="38"/>
        <v>178.88623985609274</v>
      </c>
      <c r="F132" s="64">
        <f t="shared" si="23"/>
        <v>43.735482266297481</v>
      </c>
      <c r="G132" s="64">
        <f t="shared" si="24"/>
        <v>46.264517733702519</v>
      </c>
      <c r="H132" s="65">
        <f t="shared" si="39"/>
        <v>178.58362250567095</v>
      </c>
      <c r="I132" s="64">
        <f t="shared" si="26"/>
        <v>32.01396247636675</v>
      </c>
      <c r="J132" s="64">
        <f t="shared" si="27"/>
        <v>57.98603752363325</v>
      </c>
      <c r="K132" s="65">
        <f t="shared" si="40"/>
        <v>178.11341055882693</v>
      </c>
      <c r="L132" s="64">
        <f t="shared" si="29"/>
        <v>20.295900101645508</v>
      </c>
      <c r="M132" s="64">
        <f t="shared" si="30"/>
        <v>69.704099898354485</v>
      </c>
      <c r="N132" s="65">
        <f t="shared" si="41"/>
        <v>177.17621840686004</v>
      </c>
      <c r="O132" s="64">
        <f t="shared" si="32"/>
        <v>8.5955451560153211</v>
      </c>
      <c r="P132" s="64">
        <f t="shared" si="33"/>
        <v>81.404454843984681</v>
      </c>
      <c r="Q132" s="65">
        <f t="shared" si="42"/>
        <v>173.85029903984469</v>
      </c>
      <c r="R132" s="64">
        <f t="shared" si="35"/>
        <v>29.797997333226508</v>
      </c>
      <c r="S132" s="59">
        <f t="shared" si="36"/>
        <v>60.202002666773495</v>
      </c>
      <c r="T132" s="58">
        <f t="shared" si="43"/>
        <v>177.98889456703165</v>
      </c>
      <c r="U132" s="66"/>
      <c r="V132" s="53">
        <f>IF($B$6&gt;=0,0,180)</f>
        <v>180</v>
      </c>
      <c r="AE132" s="50">
        <f>G131</f>
        <v>46.274999989516473</v>
      </c>
    </row>
    <row r="133" spans="1:31" x14ac:dyDescent="0.2">
      <c r="A133" s="67">
        <v>2</v>
      </c>
      <c r="B133" s="66">
        <f t="shared" si="19"/>
        <v>3.4906585039886591E-2</v>
      </c>
      <c r="C133" s="64">
        <f t="shared" si="20"/>
        <v>55.482963031380102</v>
      </c>
      <c r="D133" s="64">
        <f t="shared" si="21"/>
        <v>34.517036968619898</v>
      </c>
      <c r="E133" s="65">
        <f t="shared" si="38"/>
        <v>177.77305958920579</v>
      </c>
      <c r="F133" s="64">
        <f t="shared" si="23"/>
        <v>43.766913856790772</v>
      </c>
      <c r="G133" s="64">
        <f t="shared" si="24"/>
        <v>46.233086143209228</v>
      </c>
      <c r="H133" s="65">
        <f t="shared" si="39"/>
        <v>177.16843483671053</v>
      </c>
      <c r="I133" s="64">
        <f t="shared" si="26"/>
        <v>32.055813046148891</v>
      </c>
      <c r="J133" s="64">
        <f t="shared" si="27"/>
        <v>57.944186953851109</v>
      </c>
      <c r="K133" s="65">
        <f t="shared" si="40"/>
        <v>176.22975774834097</v>
      </c>
      <c r="L133" s="64">
        <f t="shared" si="29"/>
        <v>20.358470750842983</v>
      </c>
      <c r="M133" s="64">
        <f t="shared" si="30"/>
        <v>69.641529249157017</v>
      </c>
      <c r="N133" s="65">
        <f t="shared" si="41"/>
        <v>174.36310855954406</v>
      </c>
      <c r="O133" s="64">
        <f t="shared" si="32"/>
        <v>8.7307522166603402</v>
      </c>
      <c r="P133" s="64">
        <f t="shared" si="33"/>
        <v>81.269247783339665</v>
      </c>
      <c r="Q133" s="65">
        <f t="shared" si="42"/>
        <v>167.82325091798262</v>
      </c>
      <c r="R133" s="64">
        <f t="shared" si="35"/>
        <v>29.842604703384037</v>
      </c>
      <c r="S133" s="59">
        <f t="shared" si="36"/>
        <v>60.15739529661596</v>
      </c>
      <c r="T133" s="58">
        <f t="shared" si="43"/>
        <v>175.98139118997886</v>
      </c>
      <c r="U133" s="66"/>
      <c r="V133" s="53">
        <f>IF($B$6&gt;=0,0,180)</f>
        <v>180</v>
      </c>
      <c r="AE133" s="50">
        <f>J131</f>
        <v>57.999999986034446</v>
      </c>
    </row>
    <row r="134" spans="1:31" x14ac:dyDescent="0.2">
      <c r="A134" s="67">
        <v>3</v>
      </c>
      <c r="B134" s="66">
        <f t="shared" si="19"/>
        <v>5.235987755982989E-2</v>
      </c>
      <c r="C134" s="64">
        <f t="shared" si="20"/>
        <v>55.524139083951276</v>
      </c>
      <c r="D134" s="64">
        <f t="shared" si="21"/>
        <v>34.475860916048724</v>
      </c>
      <c r="E134" s="65">
        <f t="shared" si="38"/>
        <v>176.66103697253254</v>
      </c>
      <c r="F134" s="64">
        <f t="shared" si="23"/>
        <v>43.819249255241864</v>
      </c>
      <c r="G134" s="64">
        <f t="shared" si="24"/>
        <v>46.180750744758136</v>
      </c>
      <c r="H134" s="65">
        <f t="shared" si="39"/>
        <v>175.75561987986433</v>
      </c>
      <c r="I134" s="64">
        <f t="shared" si="26"/>
        <v>32.125441611070656</v>
      </c>
      <c r="J134" s="64">
        <f t="shared" si="27"/>
        <v>57.874558388929344</v>
      </c>
      <c r="K134" s="65">
        <f t="shared" si="40"/>
        <v>174.35194731736124</v>
      </c>
      <c r="L134" s="64">
        <f t="shared" si="29"/>
        <v>20.462326940273371</v>
      </c>
      <c r="M134" s="64">
        <f t="shared" si="30"/>
        <v>69.537673059726629</v>
      </c>
      <c r="N134" s="65">
        <f t="shared" si="41"/>
        <v>171.57108071482995</v>
      </c>
      <c r="O134" s="64">
        <f t="shared" si="32"/>
        <v>8.9515505719549626</v>
      </c>
      <c r="P134" s="64">
        <f t="shared" si="33"/>
        <v>81.048449428045032</v>
      </c>
      <c r="Q134" s="65">
        <f t="shared" si="42"/>
        <v>162.02686545912169</v>
      </c>
      <c r="R134" s="64">
        <f t="shared" si="35"/>
        <v>29.916801059760058</v>
      </c>
      <c r="S134" s="59">
        <f t="shared" si="36"/>
        <v>60.083198940239939</v>
      </c>
      <c r="T134" s="58">
        <f t="shared" si="43"/>
        <v>173.98104863035365</v>
      </c>
      <c r="U134" s="66"/>
      <c r="V134" s="53">
        <f>IF($B$6&gt;=0,0,180)</f>
        <v>180</v>
      </c>
      <c r="AE134" s="50">
        <f>M131</f>
        <v>69.724999979089034</v>
      </c>
    </row>
    <row r="135" spans="1:31" x14ac:dyDescent="0.2">
      <c r="A135" s="67">
        <v>4</v>
      </c>
      <c r="B135" s="66">
        <f t="shared" si="19"/>
        <v>6.9813170079773182E-2</v>
      </c>
      <c r="C135" s="64">
        <f t="shared" si="20"/>
        <v>55.581733905100791</v>
      </c>
      <c r="D135" s="64">
        <f t="shared" si="21"/>
        <v>34.418266094899209</v>
      </c>
      <c r="E135" s="65">
        <f t="shared" si="38"/>
        <v>175.55074559029319</v>
      </c>
      <c r="F135" s="64">
        <f t="shared" si="23"/>
        <v>43.892412962630218</v>
      </c>
      <c r="G135" s="64">
        <f t="shared" si="24"/>
        <v>46.107587037369782</v>
      </c>
      <c r="H135" s="65">
        <f t="shared" si="39"/>
        <v>174.34634674390125</v>
      </c>
      <c r="I135" s="64">
        <f t="shared" si="26"/>
        <v>32.222666258403997</v>
      </c>
      <c r="J135" s="64">
        <f t="shared" si="27"/>
        <v>57.777333741596003</v>
      </c>
      <c r="K135" s="65">
        <f t="shared" si="40"/>
        <v>172.48282405197534</v>
      </c>
      <c r="L135" s="64">
        <f t="shared" si="29"/>
        <v>20.606839911485572</v>
      </c>
      <c r="M135" s="64">
        <f t="shared" si="30"/>
        <v>69.393160088514435</v>
      </c>
      <c r="N135" s="65">
        <f t="shared" si="41"/>
        <v>168.81003792637176</v>
      </c>
      <c r="O135" s="64">
        <f t="shared" si="32"/>
        <v>9.2518002163599444</v>
      </c>
      <c r="P135" s="64">
        <f t="shared" si="33"/>
        <v>80.748199783640061</v>
      </c>
      <c r="Q135" s="65">
        <f t="shared" si="42"/>
        <v>156.54397823321204</v>
      </c>
      <c r="R135" s="64">
        <f t="shared" si="35"/>
        <v>30.02036483326911</v>
      </c>
      <c r="S135" s="59">
        <f t="shared" si="36"/>
        <v>59.979635166730887</v>
      </c>
      <c r="T135" s="58">
        <f t="shared" si="43"/>
        <v>171.99134034497277</v>
      </c>
      <c r="U135" s="66"/>
      <c r="V135" s="53">
        <f>IF($B$6&gt;=0,0,180)</f>
        <v>180</v>
      </c>
      <c r="AE135" s="50">
        <f>P131</f>
        <v>81.449999954333293</v>
      </c>
    </row>
    <row r="136" spans="1:31" x14ac:dyDescent="0.2">
      <c r="A136" s="67">
        <v>5</v>
      </c>
      <c r="B136" s="66">
        <f t="shared" si="19"/>
        <v>8.7266462599716474E-2</v>
      </c>
      <c r="C136" s="64">
        <f t="shared" si="20"/>
        <v>55.65569611703571</v>
      </c>
      <c r="D136" s="64">
        <f t="shared" si="21"/>
        <v>34.34430388296429</v>
      </c>
      <c r="E136" s="65">
        <f t="shared" si="38"/>
        <v>174.44275278964946</v>
      </c>
      <c r="F136" s="64">
        <f t="shared" si="23"/>
        <v>43.98630003289464</v>
      </c>
      <c r="G136" s="64">
        <f t="shared" si="24"/>
        <v>46.01369996710536</v>
      </c>
      <c r="H136" s="65">
        <f t="shared" si="39"/>
        <v>172.94176411618582</v>
      </c>
      <c r="I136" s="64">
        <f t="shared" si="26"/>
        <v>32.347235587497309</v>
      </c>
      <c r="J136" s="64">
        <f t="shared" si="27"/>
        <v>57.652764412502691</v>
      </c>
      <c r="K136" s="65">
        <f t="shared" si="40"/>
        <v>170.6251432581461</v>
      </c>
      <c r="L136" s="64">
        <f t="shared" si="29"/>
        <v>20.791155593045087</v>
      </c>
      <c r="M136" s="64">
        <f t="shared" si="30"/>
        <v>69.20884440695491</v>
      </c>
      <c r="N136" s="65">
        <f t="shared" si="41"/>
        <v>166.08916013326197</v>
      </c>
      <c r="O136" s="64">
        <f t="shared" si="32"/>
        <v>9.6240490266908001</v>
      </c>
      <c r="P136" s="64">
        <f t="shared" si="33"/>
        <v>80.375950973309202</v>
      </c>
      <c r="Q136" s="65">
        <f t="shared" si="42"/>
        <v>151.4279426750002</v>
      </c>
      <c r="R136" s="64">
        <f t="shared" si="35"/>
        <v>30.152990388567449</v>
      </c>
      <c r="S136" s="59">
        <f t="shared" si="36"/>
        <v>59.847009611432554</v>
      </c>
      <c r="T136" s="58">
        <f t="shared" si="43"/>
        <v>170.0156149733653</v>
      </c>
      <c r="U136" s="66"/>
    </row>
    <row r="137" spans="1:31" x14ac:dyDescent="0.2">
      <c r="A137" s="67">
        <v>6</v>
      </c>
      <c r="B137" s="66">
        <f t="shared" si="19"/>
        <v>0.10471975511965978</v>
      </c>
      <c r="C137" s="64">
        <f t="shared" si="20"/>
        <v>55.745960051774887</v>
      </c>
      <c r="D137" s="64">
        <f t="shared" si="21"/>
        <v>34.254039948225113</v>
      </c>
      <c r="E137" s="65">
        <f t="shared" si="38"/>
        <v>173.33761768744449</v>
      </c>
      <c r="F137" s="64">
        <f t="shared" si="23"/>
        <v>44.100776810521211</v>
      </c>
      <c r="G137" s="64">
        <f t="shared" si="24"/>
        <v>45.899223189478789</v>
      </c>
      <c r="H137" s="65">
        <f t="shared" si="39"/>
        <v>171.54299390661652</v>
      </c>
      <c r="I137" s="64">
        <f t="shared" si="26"/>
        <v>32.498831869544006</v>
      </c>
      <c r="J137" s="64">
        <f t="shared" si="27"/>
        <v>57.501168130455994</v>
      </c>
      <c r="K137" s="65">
        <f t="shared" si="40"/>
        <v>168.7815444961978</v>
      </c>
      <c r="L137" s="64">
        <f t="shared" si="29"/>
        <v>21.014218647883038</v>
      </c>
      <c r="M137" s="64">
        <f t="shared" si="30"/>
        <v>68.985781352116959</v>
      </c>
      <c r="N137" s="65">
        <f t="shared" si="41"/>
        <v>163.41672888917708</v>
      </c>
      <c r="O137" s="64">
        <f t="shared" si="32"/>
        <v>10.06028465198534</v>
      </c>
      <c r="P137" s="64">
        <f t="shared" si="33"/>
        <v>79.939715348014659</v>
      </c>
      <c r="Q137" s="65">
        <f t="shared" si="42"/>
        <v>146.70409253064463</v>
      </c>
      <c r="R137" s="64">
        <f t="shared" si="35"/>
        <v>30.314292398958955</v>
      </c>
      <c r="S137" s="59">
        <f t="shared" si="36"/>
        <v>59.685707601041045</v>
      </c>
      <c r="T137" s="58">
        <f t="shared" si="43"/>
        <v>168.05706040155104</v>
      </c>
      <c r="U137" s="69"/>
    </row>
    <row r="138" spans="1:31" x14ac:dyDescent="0.2">
      <c r="A138" s="67">
        <v>7</v>
      </c>
      <c r="B138" s="66">
        <f t="shared" ref="B138:B201" si="44">RADIANS(A138)</f>
        <v>0.12217304763960307</v>
      </c>
      <c r="C138" s="64">
        <f t="shared" ref="C138:C201" si="45">DEGREES(ACOS(SIN(C$5)*SIN($C$6)+COS(C$5)*COS($C$6)*COS($B138)))</f>
        <v>55.852446037523038</v>
      </c>
      <c r="D138" s="64">
        <f t="shared" ref="D138:D201" si="46">90-C138</f>
        <v>34.147553962476962</v>
      </c>
      <c r="E138" s="65">
        <f t="shared" si="38"/>
        <v>172.2358892486277</v>
      </c>
      <c r="F138" s="64">
        <f t="shared" ref="F138:F201" si="47">DEGREES(ACOS(SIN(G$5)*SIN($C$6)+COS(G$5)*COS($C$6)*COS($B138)))</f>
        <v>44.235681857970057</v>
      </c>
      <c r="G138" s="64">
        <f t="shared" ref="G138:G201" si="48">90-F138</f>
        <v>45.764318142029943</v>
      </c>
      <c r="H138" s="65">
        <f t="shared" si="39"/>
        <v>170.15112526290974</v>
      </c>
      <c r="I138" s="64">
        <f t="shared" ref="I138:I201" si="49">DEGREES(ACOS(SIN(J$5)*SIN($C$6)+COS(J$5)*COS($C$6)*COS($B138)))</f>
        <v>32.677074949439451</v>
      </c>
      <c r="J138" s="64">
        <f t="shared" ref="J138:J201" si="50">90-I138</f>
        <v>57.322925050560549</v>
      </c>
      <c r="K138" s="65">
        <f t="shared" si="40"/>
        <v>166.95452815147891</v>
      </c>
      <c r="L138" s="64">
        <f t="shared" ref="L138:L201" si="51">DEGREES(ACOS(SIN(M$5)*SIN($C$6)+COS(M$5)*COS($C$6)*COS($B138)))</f>
        <v>21.274800618378489</v>
      </c>
      <c r="M138" s="64">
        <f t="shared" ref="M138:M201" si="52">90-L138</f>
        <v>68.725199381621508</v>
      </c>
      <c r="N138" s="65">
        <f t="shared" si="41"/>
        <v>160.7999994713031</v>
      </c>
      <c r="O138" s="64">
        <f t="shared" ref="O138:O201" si="53">DEGREES(ACOS(SIN(P$5)*SIN($C$6)+COS(P$5)*COS($C$6)*COS($B138)))</f>
        <v>10.552547460298232</v>
      </c>
      <c r="P138" s="64">
        <f t="shared" ref="P138:P201" si="54">90-O138</f>
        <v>79.447452539701771</v>
      </c>
      <c r="Q138" s="65">
        <f t="shared" si="42"/>
        <v>142.37488696891452</v>
      </c>
      <c r="R138" s="64">
        <f t="shared" ref="R138:R201" si="55">DEGREES(ACOS(SIN(S$5)*SIN($C$6)+COS(S$5)*COS($C$6)*COS($B138)))</f>
        <v>30.503811217576494</v>
      </c>
      <c r="S138" s="59">
        <f t="shared" ref="S138:S201" si="56">90-R138</f>
        <v>59.496188782423502</v>
      </c>
      <c r="T138" s="58">
        <f t="shared" si="43"/>
        <v>166.11867229313975</v>
      </c>
      <c r="U138" s="69"/>
    </row>
    <row r="139" spans="1:31" x14ac:dyDescent="0.2">
      <c r="A139" s="67">
        <v>8</v>
      </c>
      <c r="B139" s="66">
        <f t="shared" si="44"/>
        <v>0.13962634015954636</v>
      </c>
      <c r="C139" s="64">
        <f t="shared" si="45"/>
        <v>55.975060742685258</v>
      </c>
      <c r="D139" s="64">
        <f t="shared" si="46"/>
        <v>34.024939257314742</v>
      </c>
      <c r="E139" s="65">
        <f t="shared" si="38"/>
        <v>171.13810445207935</v>
      </c>
      <c r="F139" s="64">
        <f t="shared" si="47"/>
        <v>44.390827058114361</v>
      </c>
      <c r="G139" s="64">
        <f t="shared" si="48"/>
        <v>45.609172941885639</v>
      </c>
      <c r="H139" s="65">
        <f t="shared" si="39"/>
        <v>168.767209031693</v>
      </c>
      <c r="I139" s="64">
        <f t="shared" si="49"/>
        <v>32.881526780838669</v>
      </c>
      <c r="J139" s="64">
        <f t="shared" si="50"/>
        <v>57.118473219161331</v>
      </c>
      <c r="K139" s="65">
        <f t="shared" si="40"/>
        <v>165.14643529902969</v>
      </c>
      <c r="L139" s="64">
        <f t="shared" si="51"/>
        <v>21.57153053704522</v>
      </c>
      <c r="M139" s="64">
        <f t="shared" si="52"/>
        <v>68.42846946295478</v>
      </c>
      <c r="N139" s="65">
        <f t="shared" si="41"/>
        <v>158.24512273577653</v>
      </c>
      <c r="O139" s="64">
        <f t="shared" si="53"/>
        <v>11.093350911908155</v>
      </c>
      <c r="P139" s="64">
        <f t="shared" si="54"/>
        <v>78.906649088091839</v>
      </c>
      <c r="Q139" s="65">
        <f t="shared" si="42"/>
        <v>138.42639553487209</v>
      </c>
      <c r="R139" s="64">
        <f t="shared" si="55"/>
        <v>30.721019075477418</v>
      </c>
      <c r="S139" s="59">
        <f t="shared" si="56"/>
        <v>59.278980924522585</v>
      </c>
      <c r="T139" s="58">
        <f t="shared" si="43"/>
        <v>164.2032277536515</v>
      </c>
      <c r="U139" s="69"/>
    </row>
    <row r="140" spans="1:31" x14ac:dyDescent="0.2">
      <c r="A140" s="67">
        <v>9</v>
      </c>
      <c r="B140" s="66">
        <f t="shared" si="44"/>
        <v>0.15707963267948966</v>
      </c>
      <c r="C140" s="64">
        <f t="shared" si="45"/>
        <v>56.113697574094928</v>
      </c>
      <c r="D140" s="64">
        <f t="shared" si="46"/>
        <v>33.886302425905072</v>
      </c>
      <c r="E140" s="65">
        <f t="shared" si="38"/>
        <v>170.04478655814913</v>
      </c>
      <c r="F140" s="64">
        <f t="shared" si="47"/>
        <v>44.565998874464</v>
      </c>
      <c r="G140" s="64">
        <f t="shared" si="48"/>
        <v>45.434001125536</v>
      </c>
      <c r="H140" s="65">
        <f t="shared" si="39"/>
        <v>167.39225272877323</v>
      </c>
      <c r="I140" s="64">
        <f t="shared" si="49"/>
        <v>33.111696473086752</v>
      </c>
      <c r="J140" s="64">
        <f t="shared" si="50"/>
        <v>56.888303526913248</v>
      </c>
      <c r="K140" s="65">
        <f t="shared" si="40"/>
        <v>163.35943117999395</v>
      </c>
      <c r="L140" s="64">
        <f t="shared" si="51"/>
        <v>21.902926406173123</v>
      </c>
      <c r="M140" s="64">
        <f t="shared" si="52"/>
        <v>68.097073593826877</v>
      </c>
      <c r="N140" s="65">
        <f t="shared" si="41"/>
        <v>155.75711504013651</v>
      </c>
      <c r="O140" s="64">
        <f t="shared" si="53"/>
        <v>11.67591857233681</v>
      </c>
      <c r="P140" s="64">
        <f t="shared" si="54"/>
        <v>78.324081427663188</v>
      </c>
      <c r="Q140" s="65">
        <f t="shared" si="42"/>
        <v>134.83442264803344</v>
      </c>
      <c r="R140" s="64">
        <f t="shared" si="55"/>
        <v>30.965326920490511</v>
      </c>
      <c r="S140" s="59">
        <f t="shared" si="56"/>
        <v>59.034673079509489</v>
      </c>
      <c r="T140" s="58">
        <f t="shared" si="43"/>
        <v>162.31326454922115</v>
      </c>
      <c r="U140" s="69"/>
    </row>
    <row r="141" spans="1:31" x14ac:dyDescent="0.2">
      <c r="A141" s="67">
        <v>10</v>
      </c>
      <c r="B141" s="66">
        <f t="shared" si="44"/>
        <v>0.17453292519943295</v>
      </c>
      <c r="C141" s="64">
        <f t="shared" si="45"/>
        <v>56.268237125555395</v>
      </c>
      <c r="D141" s="64">
        <f t="shared" si="46"/>
        <v>33.731762874444605</v>
      </c>
      <c r="E141" s="65">
        <f t="shared" si="38"/>
        <v>168.95644349063565</v>
      </c>
      <c r="F141" s="64">
        <f t="shared" si="47"/>
        <v>44.760959750018365</v>
      </c>
      <c r="G141" s="64">
        <f t="shared" si="48"/>
        <v>45.239040249981635</v>
      </c>
      <c r="H141" s="65">
        <f t="shared" si="39"/>
        <v>166.02721606964343</v>
      </c>
      <c r="I141" s="64">
        <f t="shared" si="49"/>
        <v>33.367045721819906</v>
      </c>
      <c r="J141" s="64">
        <f t="shared" si="50"/>
        <v>56.632954278180094</v>
      </c>
      <c r="K141" s="65">
        <f t="shared" si="40"/>
        <v>161.59549246299594</v>
      </c>
      <c r="L141" s="64">
        <f t="shared" si="51"/>
        <v>22.267426114308563</v>
      </c>
      <c r="M141" s="64">
        <f t="shared" si="52"/>
        <v>67.732573885691437</v>
      </c>
      <c r="N141" s="65">
        <f t="shared" si="41"/>
        <v>153.33987128847113</v>
      </c>
      <c r="O141" s="64">
        <f t="shared" si="53"/>
        <v>12.294278741549498</v>
      </c>
      <c r="P141" s="64">
        <f t="shared" si="54"/>
        <v>77.705721258450495</v>
      </c>
      <c r="Q141" s="65">
        <f t="shared" si="42"/>
        <v>131.56942542097505</v>
      </c>
      <c r="R141" s="64">
        <f t="shared" si="55"/>
        <v>31.23609170335849</v>
      </c>
      <c r="S141" s="59">
        <f t="shared" si="56"/>
        <v>58.76390829664151</v>
      </c>
      <c r="T141" s="58">
        <f t="shared" si="43"/>
        <v>160.45106605421736</v>
      </c>
      <c r="U141" s="69"/>
    </row>
    <row r="142" spans="1:31" x14ac:dyDescent="0.2">
      <c r="A142" s="67">
        <v>11</v>
      </c>
      <c r="B142" s="66">
        <f t="shared" si="44"/>
        <v>0.19198621771937624</v>
      </c>
      <c r="C142" s="64">
        <f t="shared" si="45"/>
        <v>56.43854767238858</v>
      </c>
      <c r="D142" s="64">
        <f t="shared" si="46"/>
        <v>33.56145232761142</v>
      </c>
      <c r="E142" s="65">
        <f t="shared" si="38"/>
        <v>167.87356634419447</v>
      </c>
      <c r="F142" s="64">
        <f t="shared" si="47"/>
        <v>44.975449624171404</v>
      </c>
      <c r="G142" s="64">
        <f t="shared" si="48"/>
        <v>45.024550375828596</v>
      </c>
      <c r="H142" s="65">
        <f t="shared" si="39"/>
        <v>164.67300709826966</v>
      </c>
      <c r="I142" s="64">
        <f t="shared" si="49"/>
        <v>33.646994493618607</v>
      </c>
      <c r="J142" s="64">
        <f t="shared" si="50"/>
        <v>56.353005506381393</v>
      </c>
      <c r="K142" s="65">
        <f t="shared" si="40"/>
        <v>159.85639832343085</v>
      </c>
      <c r="L142" s="64">
        <f t="shared" si="51"/>
        <v>22.663416611266122</v>
      </c>
      <c r="M142" s="64">
        <f t="shared" si="52"/>
        <v>67.336583388733885</v>
      </c>
      <c r="N142" s="65">
        <f t="shared" si="41"/>
        <v>150.99621392484198</v>
      </c>
      <c r="O142" s="64">
        <f t="shared" si="53"/>
        <v>12.943264098948381</v>
      </c>
      <c r="P142" s="64">
        <f t="shared" si="54"/>
        <v>77.056735901051624</v>
      </c>
      <c r="Q142" s="65">
        <f t="shared" si="42"/>
        <v>128.60003183560417</v>
      </c>
      <c r="R142" s="64">
        <f t="shared" si="55"/>
        <v>31.532623919474783</v>
      </c>
      <c r="S142" s="59">
        <f t="shared" si="56"/>
        <v>58.467376080525213</v>
      </c>
      <c r="T142" s="58">
        <f t="shared" si="43"/>
        <v>158.61865186996101</v>
      </c>
      <c r="U142" s="69"/>
    </row>
    <row r="143" spans="1:31" x14ac:dyDescent="0.2">
      <c r="A143" s="67">
        <v>12</v>
      </c>
      <c r="B143" s="66">
        <f t="shared" si="44"/>
        <v>0.20943951023931956</v>
      </c>
      <c r="C143" s="64">
        <f t="shared" si="45"/>
        <v>56.624485707351646</v>
      </c>
      <c r="D143" s="64">
        <f t="shared" si="46"/>
        <v>33.375514292648354</v>
      </c>
      <c r="E143" s="65">
        <f t="shared" si="38"/>
        <v>166.79662802628982</v>
      </c>
      <c r="F143" s="64">
        <f t="shared" si="47"/>
        <v>45.209187546189156</v>
      </c>
      <c r="G143" s="64">
        <f t="shared" si="48"/>
        <v>44.790812453810844</v>
      </c>
      <c r="H143" s="65">
        <f t="shared" si="39"/>
        <v>163.33047893893129</v>
      </c>
      <c r="I143" s="64">
        <f t="shared" si="49"/>
        <v>33.950926838698713</v>
      </c>
      <c r="J143" s="64">
        <f t="shared" si="50"/>
        <v>56.049073161301287</v>
      </c>
      <c r="K143" s="65">
        <f t="shared" si="40"/>
        <v>158.14372524506788</v>
      </c>
      <c r="L143" s="64">
        <f t="shared" si="51"/>
        <v>23.089260463007264</v>
      </c>
      <c r="M143" s="64">
        <f t="shared" si="52"/>
        <v>66.910739536992736</v>
      </c>
      <c r="N143" s="65">
        <f t="shared" si="41"/>
        <v>148.72796955441018</v>
      </c>
      <c r="O143" s="64">
        <f t="shared" si="53"/>
        <v>13.618456593345662</v>
      </c>
      <c r="P143" s="64">
        <f t="shared" si="54"/>
        <v>76.381543406654345</v>
      </c>
      <c r="Q143" s="65">
        <f t="shared" si="42"/>
        <v>125.8953219915763</v>
      </c>
      <c r="R143" s="64">
        <f t="shared" si="55"/>
        <v>31.854195224261421</v>
      </c>
      <c r="S143" s="59">
        <f t="shared" si="56"/>
        <v>58.145804775738583</v>
      </c>
      <c r="T143" s="58">
        <f t="shared" si="43"/>
        <v>156.81777385188133</v>
      </c>
      <c r="U143" s="69"/>
    </row>
    <row r="144" spans="1:31" x14ac:dyDescent="0.2">
      <c r="A144" s="67">
        <v>13</v>
      </c>
      <c r="B144" s="66">
        <f t="shared" si="44"/>
        <v>0.22689280275926285</v>
      </c>
      <c r="C144" s="64">
        <f t="shared" si="45"/>
        <v>56.825896513023345</v>
      </c>
      <c r="D144" s="64">
        <f t="shared" si="46"/>
        <v>33.174103486976655</v>
      </c>
      <c r="E144" s="65">
        <f t="shared" si="38"/>
        <v>165.7260820408795</v>
      </c>
      <c r="F144" s="64">
        <f t="shared" si="47"/>
        <v>45.461873363390922</v>
      </c>
      <c r="G144" s="64">
        <f t="shared" si="48"/>
        <v>44.538126636609078</v>
      </c>
      <c r="H144" s="65">
        <f t="shared" si="39"/>
        <v>162.00042718279374</v>
      </c>
      <c r="I144" s="64">
        <f t="shared" si="49"/>
        <v>34.278196713544446</v>
      </c>
      <c r="J144" s="64">
        <f t="shared" si="50"/>
        <v>55.721803286455554</v>
      </c>
      <c r="K144" s="65">
        <f t="shared" si="40"/>
        <v>156.45884533738351</v>
      </c>
      <c r="L144" s="64">
        <f t="shared" si="51"/>
        <v>23.543319213710699</v>
      </c>
      <c r="M144" s="64">
        <f t="shared" si="52"/>
        <v>66.456680786289297</v>
      </c>
      <c r="N144" s="65">
        <f t="shared" si="41"/>
        <v>146.53606469510314</v>
      </c>
      <c r="O144" s="64">
        <f t="shared" si="53"/>
        <v>14.316106437110955</v>
      </c>
      <c r="P144" s="64">
        <f t="shared" si="54"/>
        <v>75.68389356288904</v>
      </c>
      <c r="Q144" s="65">
        <f t="shared" si="42"/>
        <v>123.42616142610946</v>
      </c>
      <c r="R144" s="64">
        <f t="shared" si="55"/>
        <v>32.200045956498712</v>
      </c>
      <c r="S144" s="59">
        <f t="shared" si="56"/>
        <v>57.799954043501288</v>
      </c>
      <c r="T144" s="58">
        <f t="shared" si="43"/>
        <v>155.04991711442619</v>
      </c>
      <c r="U144" s="69"/>
    </row>
    <row r="145" spans="1:32" x14ac:dyDescent="0.2">
      <c r="A145" s="67">
        <v>14</v>
      </c>
      <c r="B145" s="66">
        <f t="shared" si="44"/>
        <v>0.24434609527920614</v>
      </c>
      <c r="C145" s="64">
        <f t="shared" si="45"/>
        <v>57.042614765581696</v>
      </c>
      <c r="D145" s="64">
        <f t="shared" si="46"/>
        <v>32.957385234418304</v>
      </c>
      <c r="E145" s="65">
        <f t="shared" si="38"/>
        <v>164.66236141904881</v>
      </c>
      <c r="F145" s="64">
        <f t="shared" si="47"/>
        <v>45.733189462265322</v>
      </c>
      <c r="G145" s="64">
        <f t="shared" si="48"/>
        <v>44.266810537734678</v>
      </c>
      <c r="H145" s="65">
        <f t="shared" si="39"/>
        <v>160.68358790839531</v>
      </c>
      <c r="I145" s="64">
        <f t="shared" si="49"/>
        <v>34.628133706747022</v>
      </c>
      <c r="J145" s="64">
        <f t="shared" si="50"/>
        <v>55.371866293252978</v>
      </c>
      <c r="K145" s="65">
        <f t="shared" si="40"/>
        <v>154.80292787247936</v>
      </c>
      <c r="L145" s="64">
        <f t="shared" si="51"/>
        <v>24.023973264062185</v>
      </c>
      <c r="M145" s="64">
        <f t="shared" si="52"/>
        <v>65.976026735937808</v>
      </c>
      <c r="N145" s="65">
        <f t="shared" si="41"/>
        <v>144.4206327396148</v>
      </c>
      <c r="O145" s="64">
        <f t="shared" si="53"/>
        <v>15.033043535462642</v>
      </c>
      <c r="P145" s="64">
        <f t="shared" si="54"/>
        <v>74.966956464537361</v>
      </c>
      <c r="Q145" s="65">
        <f t="shared" si="42"/>
        <v>121.16587364960222</v>
      </c>
      <c r="R145" s="64">
        <f t="shared" si="55"/>
        <v>32.569392424978396</v>
      </c>
      <c r="S145" s="59">
        <f t="shared" si="56"/>
        <v>57.430607575021604</v>
      </c>
      <c r="T145" s="58">
        <f t="shared" si="43"/>
        <v>153.31630545704078</v>
      </c>
      <c r="U145" s="69"/>
    </row>
    <row r="146" spans="1:32" s="54" customFormat="1" x14ac:dyDescent="0.2">
      <c r="A146" s="63">
        <v>15</v>
      </c>
      <c r="B146" s="62">
        <f t="shared" si="44"/>
        <v>0.26179938779914941</v>
      </c>
      <c r="C146" s="60">
        <f t="shared" si="45"/>
        <v>57.274465164789397</v>
      </c>
      <c r="D146" s="60">
        <f t="shared" si="46"/>
        <v>32.725534835210603</v>
      </c>
      <c r="E146" s="61">
        <f t="shared" si="38"/>
        <v>163.60587779985659</v>
      </c>
      <c r="F146" s="60">
        <f t="shared" si="47"/>
        <v>46.022802541303093</v>
      </c>
      <c r="G146" s="60">
        <f t="shared" si="48"/>
        <v>43.977197458696907</v>
      </c>
      <c r="H146" s="61">
        <f t="shared" si="39"/>
        <v>159.38063632366391</v>
      </c>
      <c r="I146" s="60">
        <f t="shared" si="49"/>
        <v>35.000048575144874</v>
      </c>
      <c r="J146" s="60">
        <f t="shared" si="50"/>
        <v>54.999951424855126</v>
      </c>
      <c r="K146" s="61">
        <f t="shared" si="40"/>
        <v>153.17694367923812</v>
      </c>
      <c r="L146" s="60">
        <f t="shared" si="51"/>
        <v>24.529638212410411</v>
      </c>
      <c r="M146" s="60">
        <f t="shared" si="52"/>
        <v>65.470361787589582</v>
      </c>
      <c r="N146" s="61">
        <f t="shared" si="41"/>
        <v>142.3811252834156</v>
      </c>
      <c r="O146" s="60">
        <f t="shared" si="53"/>
        <v>15.766591755783725</v>
      </c>
      <c r="P146" s="60">
        <f t="shared" si="54"/>
        <v>74.233408244216278</v>
      </c>
      <c r="Q146" s="61">
        <f t="shared" si="42"/>
        <v>119.0904852024743</v>
      </c>
      <c r="R146" s="60">
        <f t="shared" si="55"/>
        <v>32.961433837927267</v>
      </c>
      <c r="S146" s="59">
        <f t="shared" si="56"/>
        <v>57.038566162072733</v>
      </c>
      <c r="T146" s="58">
        <f t="shared" si="43"/>
        <v>151.61791057181256</v>
      </c>
      <c r="U146" s="70"/>
      <c r="V146" s="56">
        <f>E146</f>
        <v>163.60587779985659</v>
      </c>
      <c r="W146" s="55"/>
      <c r="AF146" s="55">
        <f>D146</f>
        <v>32.725534835210603</v>
      </c>
    </row>
    <row r="147" spans="1:32" x14ac:dyDescent="0.2">
      <c r="A147" s="67">
        <v>16</v>
      </c>
      <c r="B147" s="66">
        <f t="shared" si="44"/>
        <v>0.27925268031909273</v>
      </c>
      <c r="C147" s="64">
        <f t="shared" si="45"/>
        <v>57.521263084973064</v>
      </c>
      <c r="D147" s="64">
        <f t="shared" si="46"/>
        <v>32.478736915026936</v>
      </c>
      <c r="E147" s="65">
        <f t="shared" si="38"/>
        <v>162.55702066275077</v>
      </c>
      <c r="F147" s="64">
        <f t="shared" si="47"/>
        <v>46.330365395276921</v>
      </c>
      <c r="G147" s="64">
        <f t="shared" si="48"/>
        <v>43.669634604723079</v>
      </c>
      <c r="H147" s="65">
        <f t="shared" si="39"/>
        <v>158.09218600673066</v>
      </c>
      <c r="I147" s="64">
        <f t="shared" si="49"/>
        <v>35.39323851270133</v>
      </c>
      <c r="J147" s="64">
        <f t="shared" si="50"/>
        <v>54.60676148729867</v>
      </c>
      <c r="K147" s="65">
        <f t="shared" si="40"/>
        <v>151.58167198961689</v>
      </c>
      <c r="L147" s="64">
        <f t="shared" si="51"/>
        <v>25.058777789579231</v>
      </c>
      <c r="M147" s="64">
        <f t="shared" si="52"/>
        <v>64.941222210420761</v>
      </c>
      <c r="N147" s="65">
        <f t="shared" si="41"/>
        <v>140.41642230630509</v>
      </c>
      <c r="O147" s="64">
        <f t="shared" si="53"/>
        <v>16.514491164984126</v>
      </c>
      <c r="P147" s="64">
        <f t="shared" si="54"/>
        <v>73.485508835015878</v>
      </c>
      <c r="Q147" s="65">
        <f t="shared" si="42"/>
        <v>117.17871312332875</v>
      </c>
      <c r="R147" s="64">
        <f t="shared" si="55"/>
        <v>33.375358780053254</v>
      </c>
      <c r="S147" s="59">
        <f t="shared" si="56"/>
        <v>56.624641219946746</v>
      </c>
      <c r="T147" s="58">
        <f t="shared" si="43"/>
        <v>149.95546435182285</v>
      </c>
      <c r="U147" s="69"/>
      <c r="V147" s="53">
        <f>H146</f>
        <v>159.38063632366391</v>
      </c>
      <c r="AF147" s="50">
        <f>G146</f>
        <v>43.977197458696907</v>
      </c>
    </row>
    <row r="148" spans="1:32" x14ac:dyDescent="0.2">
      <c r="A148" s="67">
        <v>17</v>
      </c>
      <c r="B148" s="66">
        <f t="shared" si="44"/>
        <v>0.29670597283903605</v>
      </c>
      <c r="C148" s="64">
        <f t="shared" si="45"/>
        <v>57.782815241822767</v>
      </c>
      <c r="D148" s="64">
        <f t="shared" si="46"/>
        <v>32.217184758177233</v>
      </c>
      <c r="E148" s="65">
        <f t="shared" si="38"/>
        <v>161.51615671108519</v>
      </c>
      <c r="F148" s="64">
        <f t="shared" si="47"/>
        <v>46.655518691987581</v>
      </c>
      <c r="G148" s="64">
        <f t="shared" si="48"/>
        <v>43.344481308012419</v>
      </c>
      <c r="H148" s="65">
        <f t="shared" si="39"/>
        <v>156.81878871387596</v>
      </c>
      <c r="I148" s="64">
        <f t="shared" si="49"/>
        <v>35.806992090496784</v>
      </c>
      <c r="J148" s="64">
        <f t="shared" si="50"/>
        <v>54.193007909503216</v>
      </c>
      <c r="K148" s="65">
        <f t="shared" si="40"/>
        <v>150.01770931128027</v>
      </c>
      <c r="L148" s="64">
        <f t="shared" si="51"/>
        <v>25.609913647846518</v>
      </c>
      <c r="M148" s="64">
        <f t="shared" si="52"/>
        <v>64.390086352153475</v>
      </c>
      <c r="N148" s="65">
        <f t="shared" si="41"/>
        <v>138.52493708324039</v>
      </c>
      <c r="O148" s="64">
        <f t="shared" si="53"/>
        <v>17.274830159177419</v>
      </c>
      <c r="P148" s="64">
        <f t="shared" si="54"/>
        <v>72.725169840822588</v>
      </c>
      <c r="Q148" s="65">
        <f t="shared" si="42"/>
        <v>115.41180988097304</v>
      </c>
      <c r="R148" s="64">
        <f t="shared" si="55"/>
        <v>33.810351167315893</v>
      </c>
      <c r="S148" s="59">
        <f t="shared" si="56"/>
        <v>56.189648832684107</v>
      </c>
      <c r="T148" s="58">
        <f t="shared" si="43"/>
        <v>148.3294736142355</v>
      </c>
      <c r="U148" s="69"/>
      <c r="V148" s="53">
        <f>K146</f>
        <v>153.17694367923812</v>
      </c>
      <c r="AF148" s="50">
        <f>J146</f>
        <v>54.999951424855126</v>
      </c>
    </row>
    <row r="149" spans="1:32" x14ac:dyDescent="0.2">
      <c r="A149" s="67">
        <v>18</v>
      </c>
      <c r="B149" s="66">
        <f t="shared" si="44"/>
        <v>0.31415926535897931</v>
      </c>
      <c r="C149" s="64">
        <f t="shared" si="45"/>
        <v>58.058920369944147</v>
      </c>
      <c r="D149" s="64">
        <f t="shared" si="46"/>
        <v>31.941079630055853</v>
      </c>
      <c r="E149" s="65">
        <f t="shared" si="38"/>
        <v>160.48362940456326</v>
      </c>
      <c r="F149" s="64">
        <f t="shared" si="47"/>
        <v>46.997892724055305</v>
      </c>
      <c r="G149" s="64">
        <f t="shared" si="48"/>
        <v>43.002107275944695</v>
      </c>
      <c r="H149" s="65">
        <f t="shared" si="39"/>
        <v>155.56093471556528</v>
      </c>
      <c r="I149" s="64">
        <f t="shared" si="49"/>
        <v>36.240593821967373</v>
      </c>
      <c r="J149" s="64">
        <f t="shared" si="50"/>
        <v>53.759406178032627</v>
      </c>
      <c r="K149" s="65">
        <f t="shared" si="40"/>
        <v>148.48547989960167</v>
      </c>
      <c r="L149" s="64">
        <f t="shared" si="51"/>
        <v>26.181632344798466</v>
      </c>
      <c r="M149" s="64">
        <f t="shared" si="52"/>
        <v>63.818367655201534</v>
      </c>
      <c r="N149" s="65">
        <f t="shared" si="41"/>
        <v>136.7047130016594</v>
      </c>
      <c r="O149" s="64">
        <f t="shared" si="53"/>
        <v>18.045987626938974</v>
      </c>
      <c r="P149" s="64">
        <f t="shared" si="54"/>
        <v>71.954012373061033</v>
      </c>
      <c r="Q149" s="65">
        <f t="shared" si="42"/>
        <v>113.77333944453333</v>
      </c>
      <c r="R149" s="64">
        <f t="shared" si="55"/>
        <v>34.265595633420887</v>
      </c>
      <c r="S149" s="59">
        <f t="shared" si="56"/>
        <v>55.734404366579113</v>
      </c>
      <c r="T149" s="58">
        <f t="shared" si="43"/>
        <v>146.74023657739758</v>
      </c>
      <c r="U149" s="69"/>
      <c r="V149" s="53">
        <f>N146</f>
        <v>142.3811252834156</v>
      </c>
      <c r="AF149" s="50">
        <f>M146</f>
        <v>65.470361787589582</v>
      </c>
    </row>
    <row r="150" spans="1:32" x14ac:dyDescent="0.2">
      <c r="A150" s="67">
        <v>19</v>
      </c>
      <c r="B150" s="66">
        <f t="shared" si="44"/>
        <v>0.33161255787892263</v>
      </c>
      <c r="C150" s="64">
        <f t="shared" si="45"/>
        <v>58.349369906261103</v>
      </c>
      <c r="D150" s="64">
        <f t="shared" si="46"/>
        <v>31.650630093738897</v>
      </c>
      <c r="E150" s="65">
        <f t="shared" si="38"/>
        <v>159.45975863686547</v>
      </c>
      <c r="F150" s="64">
        <f t="shared" si="47"/>
        <v>47.35710912010363</v>
      </c>
      <c r="G150" s="64">
        <f t="shared" si="48"/>
        <v>42.64289087989637</v>
      </c>
      <c r="H150" s="65">
        <f t="shared" si="39"/>
        <v>154.31905361575389</v>
      </c>
      <c r="I150" s="64">
        <f t="shared" si="49"/>
        <v>36.693328322449254</v>
      </c>
      <c r="J150" s="64">
        <f t="shared" si="50"/>
        <v>53.306671677550746</v>
      </c>
      <c r="K150" s="65">
        <f t="shared" si="40"/>
        <v>146.98524741716128</v>
      </c>
      <c r="L150" s="64">
        <f t="shared" si="51"/>
        <v>26.772589901659121</v>
      </c>
      <c r="M150" s="64">
        <f t="shared" si="52"/>
        <v>63.227410098340883</v>
      </c>
      <c r="N150" s="65">
        <f t="shared" si="41"/>
        <v>134.95351059033629</v>
      </c>
      <c r="O150" s="64">
        <f t="shared" si="53"/>
        <v>18.826584397243025</v>
      </c>
      <c r="P150" s="64">
        <f t="shared" si="54"/>
        <v>71.173415602756975</v>
      </c>
      <c r="Q150" s="65">
        <f t="shared" si="42"/>
        <v>112.2489293204215</v>
      </c>
      <c r="R150" s="64">
        <f t="shared" si="55"/>
        <v>34.740282323693755</v>
      </c>
      <c r="S150" s="59">
        <f t="shared" si="56"/>
        <v>55.259717676306245</v>
      </c>
      <c r="T150" s="58">
        <f t="shared" si="43"/>
        <v>145.18786047970593</v>
      </c>
      <c r="U150" s="69"/>
      <c r="V150" s="53">
        <f>Q146</f>
        <v>119.0904852024743</v>
      </c>
      <c r="AF150" s="50">
        <f>P146</f>
        <v>74.233408244216278</v>
      </c>
    </row>
    <row r="151" spans="1:32" x14ac:dyDescent="0.2">
      <c r="A151" s="67">
        <v>20</v>
      </c>
      <c r="B151" s="66">
        <f t="shared" si="44"/>
        <v>0.3490658503988659</v>
      </c>
      <c r="C151" s="64">
        <f t="shared" si="45"/>
        <v>58.653948674584939</v>
      </c>
      <c r="D151" s="64">
        <f t="shared" si="46"/>
        <v>31.346051325415061</v>
      </c>
      <c r="E151" s="65">
        <f t="shared" si="38"/>
        <v>158.44484055330889</v>
      </c>
      <c r="F151" s="64">
        <f t="shared" si="47"/>
        <v>47.73278250158701</v>
      </c>
      <c r="G151" s="64">
        <f t="shared" si="48"/>
        <v>42.26721749841299</v>
      </c>
      <c r="H151" s="65">
        <f t="shared" si="39"/>
        <v>153.0935156054741</v>
      </c>
      <c r="I151" s="64">
        <f t="shared" si="49"/>
        <v>37.16448404570469</v>
      </c>
      <c r="J151" s="64">
        <f t="shared" si="50"/>
        <v>52.83551595429531</v>
      </c>
      <c r="K151" s="65">
        <f t="shared" si="40"/>
        <v>145.51712739664578</v>
      </c>
      <c r="L151" s="64">
        <f t="shared" si="51"/>
        <v>27.381514322711034</v>
      </c>
      <c r="M151" s="64">
        <f t="shared" si="52"/>
        <v>62.618485677288966</v>
      </c>
      <c r="N151" s="65">
        <f t="shared" si="41"/>
        <v>133.26888397921712</v>
      </c>
      <c r="O151" s="64">
        <f t="shared" si="53"/>
        <v>19.615442856647562</v>
      </c>
      <c r="P151" s="64">
        <f t="shared" si="54"/>
        <v>70.384557143352438</v>
      </c>
      <c r="Q151" s="65">
        <f t="shared" si="42"/>
        <v>110.82602432606507</v>
      </c>
      <c r="R151" s="64">
        <f t="shared" si="55"/>
        <v>35.233611090822421</v>
      </c>
      <c r="S151" s="59">
        <f t="shared" si="56"/>
        <v>54.766388909177579</v>
      </c>
      <c r="T151" s="58">
        <f t="shared" si="43"/>
        <v>143.67227979261801</v>
      </c>
      <c r="U151" s="69"/>
    </row>
    <row r="152" spans="1:32" x14ac:dyDescent="0.2">
      <c r="A152" s="67">
        <v>21</v>
      </c>
      <c r="B152" s="66">
        <f t="shared" si="44"/>
        <v>0.36651914291880922</v>
      </c>
      <c r="C152" s="64">
        <f t="shared" si="45"/>
        <v>58.972435566930294</v>
      </c>
      <c r="D152" s="64">
        <f t="shared" si="46"/>
        <v>31.027564433069706</v>
      </c>
      <c r="E152" s="65">
        <f t="shared" si="38"/>
        <v>157.43914750215197</v>
      </c>
      <c r="F152" s="64">
        <f t="shared" si="47"/>
        <v>48.124522073495399</v>
      </c>
      <c r="G152" s="64">
        <f t="shared" si="48"/>
        <v>41.875477926504601</v>
      </c>
      <c r="H152" s="65">
        <f t="shared" si="39"/>
        <v>151.88463309907652</v>
      </c>
      <c r="I152" s="64">
        <f t="shared" si="49"/>
        <v>37.653356592090582</v>
      </c>
      <c r="J152" s="64">
        <f t="shared" si="50"/>
        <v>52.346643407909418</v>
      </c>
      <c r="K152" s="65">
        <f t="shared" si="40"/>
        <v>144.0811001599011</v>
      </c>
      <c r="L152" s="64">
        <f t="shared" si="51"/>
        <v>28.007206446751496</v>
      </c>
      <c r="M152" s="64">
        <f t="shared" si="52"/>
        <v>61.992793553248504</v>
      </c>
      <c r="N152" s="65">
        <f t="shared" si="41"/>
        <v>131.64824670576061</v>
      </c>
      <c r="O152" s="64">
        <f t="shared" si="53"/>
        <v>20.411553540592021</v>
      </c>
      <c r="P152" s="64">
        <f t="shared" si="54"/>
        <v>69.588446459407976</v>
      </c>
      <c r="Q152" s="65">
        <f t="shared" si="42"/>
        <v>109.49365578983037</v>
      </c>
      <c r="R152" s="64">
        <f t="shared" si="55"/>
        <v>35.744795102673919</v>
      </c>
      <c r="S152" s="59">
        <f t="shared" si="56"/>
        <v>54.255204897326081</v>
      </c>
      <c r="T152" s="58">
        <f t="shared" si="43"/>
        <v>142.19327455441112</v>
      </c>
      <c r="U152" s="69"/>
    </row>
    <row r="153" spans="1:32" x14ac:dyDescent="0.2">
      <c r="A153" s="67">
        <v>22</v>
      </c>
      <c r="B153" s="66">
        <f t="shared" si="44"/>
        <v>0.38397243543875248</v>
      </c>
      <c r="C153" s="64">
        <f t="shared" si="45"/>
        <v>59.304604217458071</v>
      </c>
      <c r="D153" s="64">
        <f t="shared" si="46"/>
        <v>30.695395782541929</v>
      </c>
      <c r="E153" s="65">
        <f t="shared" si="38"/>
        <v>156.44292811211116</v>
      </c>
      <c r="F153" s="64">
        <f t="shared" si="47"/>
        <v>48.531933139167258</v>
      </c>
      <c r="G153" s="64">
        <f t="shared" si="48"/>
        <v>41.468066860832742</v>
      </c>
      <c r="H153" s="65">
        <f t="shared" si="39"/>
        <v>150.69266270029118</v>
      </c>
      <c r="I153" s="64">
        <f t="shared" si="49"/>
        <v>38.159251593205205</v>
      </c>
      <c r="J153" s="64">
        <f t="shared" si="50"/>
        <v>51.840748406794795</v>
      </c>
      <c r="K153" s="65">
        <f t="shared" si="40"/>
        <v>142.67702388841954</v>
      </c>
      <c r="L153" s="64">
        <f t="shared" si="51"/>
        <v>28.648539471220637</v>
      </c>
      <c r="M153" s="64">
        <f t="shared" si="52"/>
        <v>61.351460528779363</v>
      </c>
      <c r="N153" s="65">
        <f t="shared" si="41"/>
        <v>130.08892727862363</v>
      </c>
      <c r="O153" s="64">
        <f t="shared" si="53"/>
        <v>21.214047567923814</v>
      </c>
      <c r="P153" s="64">
        <f t="shared" si="54"/>
        <v>68.785952432076186</v>
      </c>
      <c r="Q153" s="65">
        <f t="shared" si="42"/>
        <v>108.24223249072983</v>
      </c>
      <c r="R153" s="64">
        <f t="shared" si="55"/>
        <v>36.273063884926799</v>
      </c>
      <c r="S153" s="59">
        <f t="shared" si="56"/>
        <v>53.726936115073201</v>
      </c>
      <c r="T153" s="58">
        <f t="shared" si="43"/>
        <v>140.75048842944051</v>
      </c>
      <c r="U153" s="69"/>
    </row>
    <row r="154" spans="1:32" x14ac:dyDescent="0.2">
      <c r="A154" s="67">
        <v>23</v>
      </c>
      <c r="B154" s="66">
        <f t="shared" si="44"/>
        <v>0.4014257279586958</v>
      </c>
      <c r="C154" s="64">
        <f t="shared" si="45"/>
        <v>59.650223665257968</v>
      </c>
      <c r="D154" s="64">
        <f t="shared" si="46"/>
        <v>30.349776334742032</v>
      </c>
      <c r="E154" s="65">
        <f t="shared" si="38"/>
        <v>155.45640748778936</v>
      </c>
      <c r="F154" s="64">
        <f t="shared" si="47"/>
        <v>48.954618531408393</v>
      </c>
      <c r="G154" s="64">
        <f t="shared" si="48"/>
        <v>41.045381468591607</v>
      </c>
      <c r="H154" s="65">
        <f t="shared" si="39"/>
        <v>149.51780744534179</v>
      </c>
      <c r="I154" s="64">
        <f t="shared" si="49"/>
        <v>38.681487186159401</v>
      </c>
      <c r="J154" s="64">
        <f t="shared" si="50"/>
        <v>51.318512813840599</v>
      </c>
      <c r="K154" s="65">
        <f t="shared" si="40"/>
        <v>141.30464758579151</v>
      </c>
      <c r="L154" s="64">
        <f t="shared" si="51"/>
        <v>29.304457451211004</v>
      </c>
      <c r="M154" s="64">
        <f t="shared" si="52"/>
        <v>60.695542548788993</v>
      </c>
      <c r="N154" s="65">
        <f t="shared" si="41"/>
        <v>128.58821523368681</v>
      </c>
      <c r="O154" s="64">
        <f t="shared" si="53"/>
        <v>22.022173914212093</v>
      </c>
      <c r="P154" s="64">
        <f t="shared" si="54"/>
        <v>67.97782608578791</v>
      </c>
      <c r="Q154" s="65">
        <f t="shared" si="42"/>
        <v>107.06335532583158</v>
      </c>
      <c r="R154" s="64">
        <f t="shared" si="55"/>
        <v>36.817665830737369</v>
      </c>
      <c r="S154" s="59">
        <f t="shared" si="56"/>
        <v>53.182334169262631</v>
      </c>
      <c r="T154" s="58">
        <f t="shared" si="43"/>
        <v>139.34344617514714</v>
      </c>
      <c r="U154" s="69"/>
    </row>
    <row r="155" spans="1:32" x14ac:dyDescent="0.2">
      <c r="A155" s="67">
        <v>24</v>
      </c>
      <c r="B155" s="66">
        <f t="shared" si="44"/>
        <v>0.41887902047863912</v>
      </c>
      <c r="C155" s="64">
        <f t="shared" si="45"/>
        <v>60.00905900253381</v>
      </c>
      <c r="D155" s="64">
        <f t="shared" si="46"/>
        <v>29.99094099746619</v>
      </c>
      <c r="E155" s="65">
        <f t="shared" si="38"/>
        <v>154.47978751404676</v>
      </c>
      <c r="F155" s="64">
        <f t="shared" si="47"/>
        <v>49.39217995400238</v>
      </c>
      <c r="G155" s="64">
        <f t="shared" si="48"/>
        <v>40.60782004599762</v>
      </c>
      <c r="H155" s="65">
        <f t="shared" si="39"/>
        <v>148.36021927153553</v>
      </c>
      <c r="I155" s="64">
        <f t="shared" si="49"/>
        <v>39.219396097112529</v>
      </c>
      <c r="J155" s="64">
        <f t="shared" si="50"/>
        <v>50.780603902887471</v>
      </c>
      <c r="K155" s="65">
        <f t="shared" si="40"/>
        <v>139.96362371814706</v>
      </c>
      <c r="L155" s="64">
        <f t="shared" si="51"/>
        <v>29.973973033942045</v>
      </c>
      <c r="M155" s="64">
        <f t="shared" si="52"/>
        <v>60.026026966057955</v>
      </c>
      <c r="N155" s="65">
        <f t="shared" si="41"/>
        <v>127.14339860432486</v>
      </c>
      <c r="O155" s="64">
        <f t="shared" si="53"/>
        <v>22.83528066373767</v>
      </c>
      <c r="P155" s="64">
        <f t="shared" si="54"/>
        <v>67.164719336262323</v>
      </c>
      <c r="Q155" s="65">
        <f t="shared" si="42"/>
        <v>105.94965528536522</v>
      </c>
      <c r="R155" s="64">
        <f t="shared" si="55"/>
        <v>37.377870216331175</v>
      </c>
      <c r="S155" s="59">
        <f t="shared" si="56"/>
        <v>52.622129783668825</v>
      </c>
      <c r="T155" s="58">
        <f t="shared" si="43"/>
        <v>137.97157027244756</v>
      </c>
      <c r="U155" s="69"/>
    </row>
    <row r="156" spans="1:32" x14ac:dyDescent="0.2">
      <c r="A156" s="67">
        <v>25</v>
      </c>
      <c r="B156" s="66">
        <f t="shared" si="44"/>
        <v>0.43633231299858238</v>
      </c>
      <c r="C156" s="64">
        <f t="shared" si="45"/>
        <v>60.380872005123756</v>
      </c>
      <c r="D156" s="64">
        <f t="shared" si="46"/>
        <v>29.619127994876244</v>
      </c>
      <c r="E156" s="65">
        <f t="shared" si="38"/>
        <v>153.51324725984779</v>
      </c>
      <c r="F156" s="64">
        <f t="shared" si="47"/>
        <v>49.844219229476565</v>
      </c>
      <c r="G156" s="64">
        <f t="shared" si="48"/>
        <v>40.155780770523435</v>
      </c>
      <c r="H156" s="65">
        <f t="shared" si="39"/>
        <v>147.22000166186248</v>
      </c>
      <c r="I156" s="64">
        <f t="shared" si="49"/>
        <v>39.77232735851036</v>
      </c>
      <c r="J156" s="64">
        <f t="shared" si="50"/>
        <v>50.22767264148964</v>
      </c>
      <c r="K156" s="65">
        <f t="shared" si="40"/>
        <v>138.6535203624226</v>
      </c>
      <c r="L156" s="64">
        <f t="shared" si="51"/>
        <v>30.65616464791826</v>
      </c>
      <c r="M156" s="64">
        <f t="shared" si="52"/>
        <v>59.34383535208174</v>
      </c>
      <c r="N156" s="65">
        <f t="shared" si="41"/>
        <v>125.75179381060633</v>
      </c>
      <c r="O156" s="64">
        <f t="shared" si="53"/>
        <v>23.652799519962059</v>
      </c>
      <c r="P156" s="64">
        <f t="shared" si="54"/>
        <v>66.347200480037941</v>
      </c>
      <c r="Q156" s="65">
        <f t="shared" si="42"/>
        <v>104.89465308031386</v>
      </c>
      <c r="R156" s="64">
        <f t="shared" si="55"/>
        <v>37.952968765614642</v>
      </c>
      <c r="S156" s="59">
        <f t="shared" si="56"/>
        <v>52.047031234385358</v>
      </c>
      <c r="T156" s="58">
        <f t="shared" si="43"/>
        <v>136.63419654203608</v>
      </c>
      <c r="U156" s="69"/>
    </row>
    <row r="157" spans="1:32" x14ac:dyDescent="0.2">
      <c r="A157" s="67">
        <v>26</v>
      </c>
      <c r="B157" s="66">
        <f t="shared" si="44"/>
        <v>0.4537856055185257</v>
      </c>
      <c r="C157" s="64">
        <f t="shared" si="45"/>
        <v>60.765421742659846</v>
      </c>
      <c r="D157" s="64">
        <f t="shared" si="46"/>
        <v>29.234578257340154</v>
      </c>
      <c r="E157" s="65">
        <f t="shared" si="38"/>
        <v>152.55694347180531</v>
      </c>
      <c r="F157" s="64">
        <f t="shared" si="47"/>
        <v>50.310339450627716</v>
      </c>
      <c r="G157" s="64">
        <f t="shared" si="48"/>
        <v>39.689660549372284</v>
      </c>
      <c r="H157" s="65">
        <f t="shared" si="39"/>
        <v>146.09721241900522</v>
      </c>
      <c r="I157" s="64">
        <f t="shared" si="49"/>
        <v>40.339647687731983</v>
      </c>
      <c r="J157" s="64">
        <f t="shared" si="50"/>
        <v>49.660352312268017</v>
      </c>
      <c r="K157" s="65">
        <f t="shared" si="40"/>
        <v>137.37383273301711</v>
      </c>
      <c r="L157" s="64">
        <f t="shared" si="51"/>
        <v>31.350173327126036</v>
      </c>
      <c r="M157" s="64">
        <f t="shared" si="52"/>
        <v>58.649826672873964</v>
      </c>
      <c r="N157" s="65">
        <f t="shared" si="41"/>
        <v>124.410768980185</v>
      </c>
      <c r="O157" s="64">
        <f t="shared" si="53"/>
        <v>24.474232979837701</v>
      </c>
      <c r="P157" s="64">
        <f t="shared" si="54"/>
        <v>65.525767020162306</v>
      </c>
      <c r="Q157" s="65">
        <f t="shared" si="42"/>
        <v>103.8926382284055</v>
      </c>
      <c r="R157" s="64">
        <f t="shared" si="55"/>
        <v>38.542276809013018</v>
      </c>
      <c r="S157" s="59">
        <f t="shared" si="56"/>
        <v>51.457723190986982</v>
      </c>
      <c r="T157" s="58">
        <f t="shared" si="43"/>
        <v>135.33058862810009</v>
      </c>
      <c r="U157" s="69"/>
    </row>
    <row r="158" spans="1:32" x14ac:dyDescent="0.2">
      <c r="A158" s="67">
        <v>27</v>
      </c>
      <c r="B158" s="66">
        <f t="shared" si="44"/>
        <v>0.47123889803846897</v>
      </c>
      <c r="C158" s="64">
        <f t="shared" si="45"/>
        <v>61.162465166047433</v>
      </c>
      <c r="D158" s="64">
        <f t="shared" si="46"/>
        <v>28.837534833952567</v>
      </c>
      <c r="E158" s="65">
        <f t="shared" si="38"/>
        <v>151.61101114748368</v>
      </c>
      <c r="F158" s="64">
        <f t="shared" si="47"/>
        <v>50.790146034794304</v>
      </c>
      <c r="G158" s="64">
        <f t="shared" si="48"/>
        <v>39.209853965205696</v>
      </c>
      <c r="H158" s="65">
        <f t="shared" si="39"/>
        <v>144.99186652558868</v>
      </c>
      <c r="I158" s="64">
        <f t="shared" si="49"/>
        <v>40.920742556795844</v>
      </c>
      <c r="J158" s="64">
        <f t="shared" si="50"/>
        <v>49.079257443204156</v>
      </c>
      <c r="K158" s="65">
        <f t="shared" si="40"/>
        <v>136.12399399411012</v>
      </c>
      <c r="L158" s="64">
        <f t="shared" si="51"/>
        <v>32.055199315553708</v>
      </c>
      <c r="M158" s="64">
        <f t="shared" si="52"/>
        <v>57.944800684446292</v>
      </c>
      <c r="N158" s="65">
        <f t="shared" si="41"/>
        <v>123.11776167144735</v>
      </c>
      <c r="O158" s="64">
        <f t="shared" si="53"/>
        <v>25.299143685257565</v>
      </c>
      <c r="P158" s="64">
        <f t="shared" si="54"/>
        <v>64.700856314742438</v>
      </c>
      <c r="Q158" s="65">
        <f t="shared" si="42"/>
        <v>102.93856526406796</v>
      </c>
      <c r="R158" s="64">
        <f t="shared" si="55"/>
        <v>39.145134082143599</v>
      </c>
      <c r="S158" s="59">
        <f t="shared" si="56"/>
        <v>50.854865917856401</v>
      </c>
      <c r="T158" s="58">
        <f t="shared" si="43"/>
        <v>134.05995128134421</v>
      </c>
      <c r="U158" s="69"/>
    </row>
    <row r="159" spans="1:32" x14ac:dyDescent="0.2">
      <c r="A159" s="67">
        <v>28</v>
      </c>
      <c r="B159" s="66">
        <f t="shared" si="44"/>
        <v>0.48869219055841229</v>
      </c>
      <c r="C159" s="64">
        <f t="shared" si="45"/>
        <v>61.571757670314149</v>
      </c>
      <c r="D159" s="64">
        <f t="shared" si="46"/>
        <v>28.428242329685851</v>
      </c>
      <c r="E159" s="65">
        <f t="shared" si="38"/>
        <v>150.67556417852114</v>
      </c>
      <c r="F159" s="64">
        <f t="shared" si="47"/>
        <v>51.283247681178374</v>
      </c>
      <c r="G159" s="64">
        <f t="shared" si="48"/>
        <v>38.716752318821626</v>
      </c>
      <c r="H159" s="65">
        <f t="shared" si="39"/>
        <v>143.90393905132765</v>
      </c>
      <c r="I159" s="64">
        <f t="shared" si="49"/>
        <v>41.515016983599047</v>
      </c>
      <c r="J159" s="64">
        <f t="shared" si="50"/>
        <v>48.484983016400953</v>
      </c>
      <c r="K159" s="65">
        <f t="shared" si="40"/>
        <v>134.90338529709788</v>
      </c>
      <c r="L159" s="64">
        <f t="shared" si="51"/>
        <v>32.770498566634473</v>
      </c>
      <c r="M159" s="64">
        <f t="shared" si="52"/>
        <v>57.229501433365527</v>
      </c>
      <c r="N159" s="65">
        <f t="shared" si="41"/>
        <v>121.87029189623507</v>
      </c>
      <c r="O159" s="64">
        <f t="shared" si="53"/>
        <v>26.127145555347045</v>
      </c>
      <c r="P159" s="64">
        <f t="shared" si="54"/>
        <v>63.872854444652958</v>
      </c>
      <c r="Q159" s="65">
        <f t="shared" si="42"/>
        <v>102.02796481376419</v>
      </c>
      <c r="R159" s="64">
        <f t="shared" si="55"/>
        <v>39.760905208997464</v>
      </c>
      <c r="S159" s="59">
        <f t="shared" si="56"/>
        <v>50.239094791002536</v>
      </c>
      <c r="T159" s="58">
        <f t="shared" si="43"/>
        <v>132.8214424149914</v>
      </c>
      <c r="U159" s="68"/>
    </row>
    <row r="160" spans="1:32" x14ac:dyDescent="0.2">
      <c r="A160" s="67">
        <v>29</v>
      </c>
      <c r="B160" s="66">
        <f t="shared" si="44"/>
        <v>0.50614548307835561</v>
      </c>
      <c r="C160" s="64">
        <f t="shared" si="45"/>
        <v>61.993053631237814</v>
      </c>
      <c r="D160" s="64">
        <f t="shared" si="46"/>
        <v>28.006946368762186</v>
      </c>
      <c r="E160" s="65">
        <f t="shared" si="38"/>
        <v>149.75069605375748</v>
      </c>
      <c r="F160" s="64">
        <f t="shared" si="47"/>
        <v>51.789257232662472</v>
      </c>
      <c r="G160" s="64">
        <f t="shared" si="48"/>
        <v>38.210742767337528</v>
      </c>
      <c r="H160" s="65">
        <f t="shared" si="39"/>
        <v>142.83336807179873</v>
      </c>
      <c r="I160" s="64">
        <f t="shared" si="49"/>
        <v>42.121896075080308</v>
      </c>
      <c r="J160" s="64">
        <f t="shared" si="50"/>
        <v>47.878103924919692</v>
      </c>
      <c r="K160" s="65">
        <f t="shared" si="40"/>
        <v>133.7113450100683</v>
      </c>
      <c r="L160" s="64">
        <f t="shared" si="51"/>
        <v>33.495379226028199</v>
      </c>
      <c r="M160" s="64">
        <f t="shared" si="52"/>
        <v>56.504620773971801</v>
      </c>
      <c r="N160" s="65">
        <f t="shared" si="41"/>
        <v>120.66597124957696</v>
      </c>
      <c r="O160" s="64">
        <f t="shared" si="53"/>
        <v>26.957896377799088</v>
      </c>
      <c r="P160" s="64">
        <f t="shared" si="54"/>
        <v>63.042103622200912</v>
      </c>
      <c r="Q160" s="65">
        <f t="shared" si="42"/>
        <v>101.15686746098298</v>
      </c>
      <c r="R160" s="64">
        <f t="shared" si="55"/>
        <v>40.388979912364626</v>
      </c>
      <c r="S160" s="59">
        <f t="shared" si="56"/>
        <v>49.611020087635374</v>
      </c>
      <c r="T160" s="58">
        <f t="shared" si="43"/>
        <v>131.61418394097331</v>
      </c>
      <c r="U160" s="66"/>
    </row>
    <row r="161" spans="1:34" s="54" customFormat="1" x14ac:dyDescent="0.2">
      <c r="A161" s="63">
        <v>30</v>
      </c>
      <c r="B161" s="62">
        <f t="shared" si="44"/>
        <v>0.52359877559829882</v>
      </c>
      <c r="C161" s="60">
        <f t="shared" si="45"/>
        <v>62.426106914508075</v>
      </c>
      <c r="D161" s="60">
        <f t="shared" si="46"/>
        <v>27.573893085491925</v>
      </c>
      <c r="E161" s="61">
        <f t="shared" si="38"/>
        <v>148.8364806127997</v>
      </c>
      <c r="F161" s="60">
        <f t="shared" si="47"/>
        <v>52.307792444536901</v>
      </c>
      <c r="G161" s="60">
        <f t="shared" si="48"/>
        <v>37.692207555463099</v>
      </c>
      <c r="H161" s="61">
        <f t="shared" si="39"/>
        <v>141.78005756774201</v>
      </c>
      <c r="I161" s="60">
        <f t="shared" si="49"/>
        <v>42.740825351897882</v>
      </c>
      <c r="J161" s="60">
        <f t="shared" si="50"/>
        <v>47.259174648102118</v>
      </c>
      <c r="K161" s="61">
        <f t="shared" si="40"/>
        <v>132.54717712905693</v>
      </c>
      <c r="L161" s="60">
        <f t="shared" si="51"/>
        <v>34.229198164277101</v>
      </c>
      <c r="M161" s="60">
        <f t="shared" si="52"/>
        <v>55.770801835722899</v>
      </c>
      <c r="N161" s="61">
        <f t="shared" si="41"/>
        <v>119.5025088576532</v>
      </c>
      <c r="O161" s="60">
        <f t="shared" si="53"/>
        <v>27.791091598214859</v>
      </c>
      <c r="P161" s="60">
        <f t="shared" si="54"/>
        <v>62.208908401785138</v>
      </c>
      <c r="Q161" s="61">
        <f t="shared" si="42"/>
        <v>100.3217385513595</v>
      </c>
      <c r="R161" s="60">
        <f t="shared" si="55"/>
        <v>41.028772991591715</v>
      </c>
      <c r="S161" s="59">
        <f t="shared" si="56"/>
        <v>48.971227008408285</v>
      </c>
      <c r="T161" s="58">
        <f t="shared" si="43"/>
        <v>130.43727141952951</v>
      </c>
      <c r="U161" s="62"/>
      <c r="V161" s="56">
        <f>E161</f>
        <v>148.8364806127997</v>
      </c>
      <c r="W161" s="55"/>
      <c r="AG161" s="55">
        <f>D161</f>
        <v>27.573893085491925</v>
      </c>
    </row>
    <row r="162" spans="1:34" x14ac:dyDescent="0.2">
      <c r="A162" s="67">
        <v>31</v>
      </c>
      <c r="B162" s="66">
        <f t="shared" si="44"/>
        <v>0.54105206811824214</v>
      </c>
      <c r="C162" s="64">
        <f t="shared" si="45"/>
        <v>62.87067135650306</v>
      </c>
      <c r="D162" s="64">
        <f t="shared" si="46"/>
        <v>27.12932864349694</v>
      </c>
      <c r="E162" s="65">
        <f t="shared" si="38"/>
        <v>147.93297284080509</v>
      </c>
      <c r="F162" s="64">
        <f t="shared" si="47"/>
        <v>52.838476663355735</v>
      </c>
      <c r="G162" s="64">
        <f t="shared" si="48"/>
        <v>37.161523336644265</v>
      </c>
      <c r="H162" s="65">
        <f t="shared" si="39"/>
        <v>140.74388027796078</v>
      </c>
      <c r="I162" s="64">
        <f t="shared" si="49"/>
        <v>43.371270882879728</v>
      </c>
      <c r="J162" s="64">
        <f t="shared" si="50"/>
        <v>46.628729117120272</v>
      </c>
      <c r="K162" s="65">
        <f t="shared" si="40"/>
        <v>131.41015887926011</v>
      </c>
      <c r="L162" s="64">
        <f t="shared" si="51"/>
        <v>34.971357607922307</v>
      </c>
      <c r="M162" s="64">
        <f t="shared" si="52"/>
        <v>55.028642392077693</v>
      </c>
      <c r="N162" s="65">
        <f t="shared" si="41"/>
        <v>118.37771475966568</v>
      </c>
      <c r="O162" s="64">
        <f t="shared" si="53"/>
        <v>28.626459095658841</v>
      </c>
      <c r="P162" s="64">
        <f t="shared" si="54"/>
        <v>61.373540904341155</v>
      </c>
      <c r="Q162" s="65">
        <f t="shared" si="42"/>
        <v>99.519422322180347</v>
      </c>
      <c r="R162" s="64">
        <f t="shared" si="55"/>
        <v>41.679724104660174</v>
      </c>
      <c r="S162" s="59">
        <f t="shared" si="56"/>
        <v>48.320275895339826</v>
      </c>
      <c r="T162" s="58">
        <f t="shared" si="43"/>
        <v>129.28978257475765</v>
      </c>
      <c r="U162" s="66"/>
      <c r="V162" s="53">
        <f>H161</f>
        <v>141.78005756774201</v>
      </c>
      <c r="AG162" s="50">
        <f>G161</f>
        <v>37.692207555463099</v>
      </c>
    </row>
    <row r="163" spans="1:34" x14ac:dyDescent="0.2">
      <c r="A163" s="67">
        <v>32</v>
      </c>
      <c r="B163" s="66">
        <f t="shared" si="44"/>
        <v>0.55850536063818546</v>
      </c>
      <c r="C163" s="64">
        <f t="shared" si="45"/>
        <v>63.326501216068628</v>
      </c>
      <c r="D163" s="64">
        <f t="shared" si="46"/>
        <v>26.673498783931372</v>
      </c>
      <c r="E163" s="65">
        <f t="shared" si="38"/>
        <v>147.04020969568967</v>
      </c>
      <c r="F163" s="64">
        <f t="shared" si="47"/>
        <v>53.380939419783431</v>
      </c>
      <c r="G163" s="64">
        <f t="shared" si="48"/>
        <v>36.619060580216569</v>
      </c>
      <c r="H163" s="65">
        <f t="shared" si="39"/>
        <v>139.72468048295153</v>
      </c>
      <c r="I163" s="64">
        <f t="shared" si="49"/>
        <v>44.01271925578795</v>
      </c>
      <c r="J163" s="64">
        <f t="shared" si="50"/>
        <v>45.98728074421205</v>
      </c>
      <c r="K163" s="65">
        <f t="shared" si="40"/>
        <v>130.2995475288007</v>
      </c>
      <c r="L163" s="64">
        <f t="shared" si="51"/>
        <v>35.721301903189598</v>
      </c>
      <c r="M163" s="64">
        <f t="shared" si="52"/>
        <v>54.278698096810402</v>
      </c>
      <c r="N163" s="65">
        <f t="shared" si="41"/>
        <v>117.28950124884581</v>
      </c>
      <c r="O163" s="64">
        <f t="shared" si="53"/>
        <v>29.463754772404762</v>
      </c>
      <c r="P163" s="64">
        <f t="shared" si="54"/>
        <v>60.536245227595238</v>
      </c>
      <c r="Q163" s="65">
        <f t="shared" si="42"/>
        <v>98.747093962977459</v>
      </c>
      <c r="R163" s="64">
        <f t="shared" si="55"/>
        <v>42.341297388218749</v>
      </c>
      <c r="S163" s="59">
        <f t="shared" si="56"/>
        <v>47.658702611781251</v>
      </c>
      <c r="T163" s="58">
        <f t="shared" si="43"/>
        <v>128.17078474223297</v>
      </c>
      <c r="U163" s="66"/>
      <c r="V163" s="53">
        <f>K161</f>
        <v>132.54717712905693</v>
      </c>
      <c r="AG163" s="50">
        <f>J161</f>
        <v>47.259174648102118</v>
      </c>
    </row>
    <row r="164" spans="1:34" x14ac:dyDescent="0.2">
      <c r="A164" s="67">
        <v>33</v>
      </c>
      <c r="B164" s="66">
        <f t="shared" si="44"/>
        <v>0.57595865315812877</v>
      </c>
      <c r="C164" s="64">
        <f t="shared" si="45"/>
        <v>63.793351596970695</v>
      </c>
      <c r="D164" s="64">
        <f t="shared" si="46"/>
        <v>26.206648403029305</v>
      </c>
      <c r="E164" s="65">
        <f t="shared" si="38"/>
        <v>146.15821095946816</v>
      </c>
      <c r="F164" s="64">
        <f t="shared" si="47"/>
        <v>53.934816939790657</v>
      </c>
      <c r="G164" s="64">
        <f t="shared" si="48"/>
        <v>36.065183060209343</v>
      </c>
      <c r="H164" s="65">
        <f t="shared" si="39"/>
        <v>138.72227670027047</v>
      </c>
      <c r="I164" s="64">
        <f t="shared" si="49"/>
        <v>44.664677408977376</v>
      </c>
      <c r="J164" s="64">
        <f t="shared" si="50"/>
        <v>45.335322591022624</v>
      </c>
      <c r="K164" s="65">
        <f t="shared" si="40"/>
        <v>129.21458644849901</v>
      </c>
      <c r="L164" s="64">
        <f t="shared" si="51"/>
        <v>36.478514434860266</v>
      </c>
      <c r="M164" s="64">
        <f t="shared" si="52"/>
        <v>53.521485565139734</v>
      </c>
      <c r="N164" s="65">
        <f t="shared" si="41"/>
        <v>116.23588261505942</v>
      </c>
      <c r="O164" s="64">
        <f t="shared" si="53"/>
        <v>30.302758817905794</v>
      </c>
      <c r="P164" s="64">
        <f t="shared" si="54"/>
        <v>59.697241182094203</v>
      </c>
      <c r="Q164" s="65">
        <f t="shared" si="42"/>
        <v>98.002218416047469</v>
      </c>
      <c r="R164" s="64">
        <f t="shared" si="55"/>
        <v>43.012980945762038</v>
      </c>
      <c r="S164" s="59">
        <f t="shared" si="56"/>
        <v>46.987019054237962</v>
      </c>
      <c r="T164" s="58">
        <f t="shared" si="43"/>
        <v>127.07934132357273</v>
      </c>
      <c r="U164" s="66"/>
      <c r="V164" s="53">
        <f>N161</f>
        <v>119.5025088576532</v>
      </c>
      <c r="AG164" s="50">
        <f>M161</f>
        <v>55.770801835722899</v>
      </c>
    </row>
    <row r="165" spans="1:34" x14ac:dyDescent="0.2">
      <c r="A165" s="67">
        <v>34</v>
      </c>
      <c r="B165" s="66">
        <f t="shared" si="44"/>
        <v>0.59341194567807209</v>
      </c>
      <c r="C165" s="64">
        <f t="shared" si="45"/>
        <v>64.27097884094934</v>
      </c>
      <c r="D165" s="64">
        <f t="shared" si="46"/>
        <v>25.72902115905066</v>
      </c>
      <c r="E165" s="65">
        <f t="shared" si="38"/>
        <v>145.2869801059781</v>
      </c>
      <c r="F165" s="64">
        <f t="shared" si="47"/>
        <v>54.499752578919129</v>
      </c>
      <c r="G165" s="64">
        <f t="shared" si="48"/>
        <v>35.500247421080871</v>
      </c>
      <c r="H165" s="65">
        <f t="shared" si="39"/>
        <v>137.73646427628455</v>
      </c>
      <c r="I165" s="64">
        <f t="shared" si="49"/>
        <v>45.326672346425795</v>
      </c>
      <c r="J165" s="64">
        <f t="shared" si="50"/>
        <v>44.673327653574205</v>
      </c>
      <c r="K165" s="65">
        <f t="shared" si="40"/>
        <v>128.15451045886672</v>
      </c>
      <c r="L165" s="64">
        <f t="shared" si="51"/>
        <v>37.242514713966223</v>
      </c>
      <c r="M165" s="64">
        <f t="shared" si="52"/>
        <v>52.757485286033777</v>
      </c>
      <c r="N165" s="65">
        <f t="shared" si="41"/>
        <v>115.21497365757713</v>
      </c>
      <c r="O165" s="64">
        <f t="shared" si="53"/>
        <v>31.143272532855065</v>
      </c>
      <c r="P165" s="64">
        <f t="shared" si="54"/>
        <v>58.856727467144935</v>
      </c>
      <c r="Q165" s="65">
        <f t="shared" si="42"/>
        <v>97.282514904291304</v>
      </c>
      <c r="R165" s="64">
        <f t="shared" si="55"/>
        <v>43.694286230739024</v>
      </c>
      <c r="S165" s="59">
        <f t="shared" si="56"/>
        <v>46.305713769260976</v>
      </c>
      <c r="T165" s="58">
        <f t="shared" si="43"/>
        <v>126.01451732765349</v>
      </c>
      <c r="U165" s="66"/>
      <c r="V165" s="53">
        <f>Q161</f>
        <v>100.3217385513595</v>
      </c>
      <c r="AG165" s="50">
        <f>P161</f>
        <v>62.208908401785138</v>
      </c>
    </row>
    <row r="166" spans="1:34" x14ac:dyDescent="0.2">
      <c r="A166" s="67">
        <v>35</v>
      </c>
      <c r="B166" s="66">
        <f t="shared" si="44"/>
        <v>0.6108652381980153</v>
      </c>
      <c r="C166" s="64">
        <f t="shared" si="45"/>
        <v>64.759140891536873</v>
      </c>
      <c r="D166" s="64">
        <f t="shared" si="46"/>
        <v>25.240859108463127</v>
      </c>
      <c r="E166" s="65">
        <f t="shared" si="38"/>
        <v>144.42650517782522</v>
      </c>
      <c r="F166" s="64">
        <f t="shared" si="47"/>
        <v>55.075397184576779</v>
      </c>
      <c r="G166" s="64">
        <f t="shared" si="48"/>
        <v>34.924602815423221</v>
      </c>
      <c r="H166" s="65">
        <f t="shared" si="39"/>
        <v>136.76701786230981</v>
      </c>
      <c r="I166" s="64">
        <f t="shared" si="49"/>
        <v>45.998250756461083</v>
      </c>
      <c r="J166" s="64">
        <f t="shared" si="50"/>
        <v>44.001749243538917</v>
      </c>
      <c r="K166" s="65">
        <f t="shared" si="40"/>
        <v>127.11855051069635</v>
      </c>
      <c r="L166" s="64">
        <f t="shared" si="51"/>
        <v>38.012855641054017</v>
      </c>
      <c r="M166" s="64">
        <f t="shared" si="52"/>
        <v>51.987144358945983</v>
      </c>
      <c r="N166" s="65">
        <f t="shared" si="41"/>
        <v>114.22498727189551</v>
      </c>
      <c r="O166" s="64">
        <f t="shared" si="53"/>
        <v>31.985115620028772</v>
      </c>
      <c r="P166" s="64">
        <f t="shared" si="54"/>
        <v>58.014884379971228</v>
      </c>
      <c r="Q166" s="65">
        <f t="shared" si="42"/>
        <v>96.585926328646266</v>
      </c>
      <c r="R166" s="64">
        <f t="shared" si="55"/>
        <v>44.38474734809288</v>
      </c>
      <c r="S166" s="59">
        <f t="shared" si="56"/>
        <v>45.61525265190712</v>
      </c>
      <c r="T166" s="58">
        <f t="shared" si="43"/>
        <v>124.97538407990136</v>
      </c>
      <c r="U166" s="66"/>
    </row>
    <row r="167" spans="1:34" x14ac:dyDescent="0.2">
      <c r="A167" s="67">
        <v>36</v>
      </c>
      <c r="B167" s="66">
        <f t="shared" si="44"/>
        <v>0.62831853071795862</v>
      </c>
      <c r="C167" s="64">
        <f t="shared" si="45"/>
        <v>65.257597629009084</v>
      </c>
      <c r="D167" s="64">
        <f t="shared" si="46"/>
        <v>24.742402370990916</v>
      </c>
      <c r="E167" s="65">
        <f t="shared" si="38"/>
        <v>143.5767596659951</v>
      </c>
      <c r="F167" s="64">
        <f t="shared" si="47"/>
        <v>55.661409391459401</v>
      </c>
      <c r="G167" s="64">
        <f t="shared" si="48"/>
        <v>34.338590608540599</v>
      </c>
      <c r="H167" s="65">
        <f t="shared" si="39"/>
        <v>135.81369376619421</v>
      </c>
      <c r="I167" s="64">
        <f t="shared" si="49"/>
        <v>46.678978552375163</v>
      </c>
      <c r="J167" s="64">
        <f t="shared" si="50"/>
        <v>43.321021447624837</v>
      </c>
      <c r="K167" s="65">
        <f t="shared" si="40"/>
        <v>126.10593774860732</v>
      </c>
      <c r="L167" s="64">
        <f t="shared" si="51"/>
        <v>38.789120946567785</v>
      </c>
      <c r="M167" s="64">
        <f t="shared" si="52"/>
        <v>51.210879053432215</v>
      </c>
      <c r="N167" s="65">
        <f t="shared" si="41"/>
        <v>113.26423135873254</v>
      </c>
      <c r="O167" s="64">
        <f t="shared" si="53"/>
        <v>32.828123865419421</v>
      </c>
      <c r="P167" s="64">
        <f t="shared" si="54"/>
        <v>57.171876134580579</v>
      </c>
      <c r="Q167" s="65">
        <f t="shared" si="42"/>
        <v>95.910592810096404</v>
      </c>
      <c r="R167" s="64">
        <f t="shared" si="55"/>
        <v>45.083920294639682</v>
      </c>
      <c r="S167" s="59">
        <f t="shared" si="56"/>
        <v>44.916079705360318</v>
      </c>
      <c r="T167" s="58">
        <f t="shared" si="43"/>
        <v>123.96102318038702</v>
      </c>
      <c r="U167" s="66"/>
    </row>
    <row r="168" spans="1:34" x14ac:dyDescent="0.2">
      <c r="A168" s="67">
        <v>37</v>
      </c>
      <c r="B168" s="66">
        <f t="shared" si="44"/>
        <v>0.64577182323790194</v>
      </c>
      <c r="C168" s="64">
        <f t="shared" si="45"/>
        <v>65.766111177020989</v>
      </c>
      <c r="D168" s="64">
        <f t="shared" si="46"/>
        <v>24.233888822979011</v>
      </c>
      <c r="E168" s="65">
        <f t="shared" si="38"/>
        <v>142.73770338619298</v>
      </c>
      <c r="F168" s="64">
        <f t="shared" si="47"/>
        <v>56.257455855238682</v>
      </c>
      <c r="G168" s="64">
        <f t="shared" si="48"/>
        <v>33.742544144761318</v>
      </c>
      <c r="H168" s="65">
        <f t="shared" si="39"/>
        <v>134.87623217313305</v>
      </c>
      <c r="I168" s="64">
        <f t="shared" si="49"/>
        <v>47.368440351046821</v>
      </c>
      <c r="J168" s="64">
        <f t="shared" si="50"/>
        <v>42.631559648953179</v>
      </c>
      <c r="K168" s="65">
        <f t="shared" si="40"/>
        <v>125.11590700815698</v>
      </c>
      <c r="L168" s="64">
        <f t="shared" si="51"/>
        <v>39.570922806072353</v>
      </c>
      <c r="M168" s="64">
        <f t="shared" si="52"/>
        <v>50.429077193927647</v>
      </c>
      <c r="N168" s="65">
        <f t="shared" si="41"/>
        <v>112.33110525587408</v>
      </c>
      <c r="O168" s="64">
        <f t="shared" si="53"/>
        <v>33.672147146765589</v>
      </c>
      <c r="P168" s="64">
        <f t="shared" si="54"/>
        <v>56.327852853234411</v>
      </c>
      <c r="Q168" s="65">
        <f t="shared" si="42"/>
        <v>95.254828764045001</v>
      </c>
      <c r="R168" s="64">
        <f t="shared" si="55"/>
        <v>45.791382155827755</v>
      </c>
      <c r="S168" s="59">
        <f t="shared" si="56"/>
        <v>44.208617844172245</v>
      </c>
      <c r="T168" s="58">
        <f t="shared" si="43"/>
        <v>122.97052978897963</v>
      </c>
      <c r="U168" s="66"/>
    </row>
    <row r="169" spans="1:34" x14ac:dyDescent="0.2">
      <c r="A169" s="67">
        <v>38</v>
      </c>
      <c r="B169" s="66">
        <f t="shared" si="44"/>
        <v>0.66322511575784526</v>
      </c>
      <c r="C169" s="64">
        <f t="shared" si="45"/>
        <v>66.284446181635644</v>
      </c>
      <c r="D169" s="64">
        <f t="shared" si="46"/>
        <v>23.715553818364356</v>
      </c>
      <c r="E169" s="65">
        <f t="shared" si="38"/>
        <v>141.90928334659131</v>
      </c>
      <c r="F169" s="64">
        <f t="shared" si="47"/>
        <v>56.863211429622709</v>
      </c>
      <c r="G169" s="64">
        <f t="shared" si="48"/>
        <v>33.136788570377291</v>
      </c>
      <c r="H169" s="65">
        <f t="shared" si="39"/>
        <v>133.95435923192011</v>
      </c>
      <c r="I169" s="64">
        <f t="shared" si="49"/>
        <v>48.06623890373244</v>
      </c>
      <c r="J169" s="64">
        <f t="shared" si="50"/>
        <v>41.93376109626756</v>
      </c>
      <c r="K169" s="65">
        <f t="shared" si="40"/>
        <v>124.14769979699466</v>
      </c>
      <c r="L169" s="64">
        <f t="shared" si="51"/>
        <v>40.35789962529639</v>
      </c>
      <c r="M169" s="64">
        <f t="shared" si="52"/>
        <v>49.64210037470361</v>
      </c>
      <c r="N169" s="65">
        <f t="shared" si="41"/>
        <v>111.4240958536018</v>
      </c>
      <c r="O169" s="64">
        <f t="shared" si="53"/>
        <v>34.517047717608236</v>
      </c>
      <c r="P169" s="64">
        <f t="shared" si="54"/>
        <v>55.482952282391764</v>
      </c>
      <c r="Q169" s="65">
        <f t="shared" si="42"/>
        <v>94.617102990185757</v>
      </c>
      <c r="R169" s="64">
        <f t="shared" si="55"/>
        <v>46.506730273804045</v>
      </c>
      <c r="S169" s="59">
        <f t="shared" si="56"/>
        <v>43.493269726195955</v>
      </c>
      <c r="T169" s="58">
        <f t="shared" si="43"/>
        <v>122.00301531206598</v>
      </c>
      <c r="U169" s="66"/>
    </row>
    <row r="170" spans="1:34" x14ac:dyDescent="0.2">
      <c r="A170" s="67">
        <v>39</v>
      </c>
      <c r="B170" s="66">
        <f t="shared" si="44"/>
        <v>0.68067840827778847</v>
      </c>
      <c r="C170" s="64">
        <f t="shared" si="45"/>
        <v>66.812370063587707</v>
      </c>
      <c r="D170" s="64">
        <f t="shared" si="46"/>
        <v>23.187629936412293</v>
      </c>
      <c r="E170" s="65">
        <f t="shared" si="38"/>
        <v>141.09143460227438</v>
      </c>
      <c r="F170" s="64">
        <f t="shared" si="47"/>
        <v>57.478359291796487</v>
      </c>
      <c r="G170" s="64">
        <f t="shared" si="48"/>
        <v>32.521640708203513</v>
      </c>
      <c r="H170" s="65">
        <f t="shared" si="39"/>
        <v>133.04778900493216</v>
      </c>
      <c r="I170" s="64">
        <f t="shared" si="49"/>
        <v>48.771994491349673</v>
      </c>
      <c r="J170" s="64">
        <f t="shared" si="50"/>
        <v>41.228005508650327</v>
      </c>
      <c r="K170" s="65">
        <f t="shared" si="40"/>
        <v>123.20056680935669</v>
      </c>
      <c r="L170" s="64">
        <f t="shared" si="51"/>
        <v>41.149713988085161</v>
      </c>
      <c r="M170" s="64">
        <f t="shared" si="52"/>
        <v>48.850286011914839</v>
      </c>
      <c r="N170" s="65">
        <f t="shared" si="41"/>
        <v>110.54177352112501</v>
      </c>
      <c r="O170" s="64">
        <f t="shared" si="53"/>
        <v>35.362698723961557</v>
      </c>
      <c r="P170" s="64">
        <f t="shared" si="54"/>
        <v>54.637301276038443</v>
      </c>
      <c r="Q170" s="65">
        <f t="shared" si="42"/>
        <v>93.996021341332423</v>
      </c>
      <c r="R170" s="64">
        <f t="shared" si="55"/>
        <v>47.229581399356974</v>
      </c>
      <c r="S170" s="59">
        <f t="shared" si="56"/>
        <v>42.770418600643026</v>
      </c>
      <c r="T170" s="58">
        <f t="shared" si="43"/>
        <v>121.05760956074302</v>
      </c>
      <c r="U170" s="66"/>
    </row>
    <row r="171" spans="1:34" x14ac:dyDescent="0.2">
      <c r="A171" s="67">
        <v>40</v>
      </c>
      <c r="B171" s="66">
        <f t="shared" si="44"/>
        <v>0.69813170079773179</v>
      </c>
      <c r="C171" s="64">
        <f t="shared" si="45"/>
        <v>67.349653244733673</v>
      </c>
      <c r="D171" s="64">
        <f t="shared" si="46"/>
        <v>22.650346755266327</v>
      </c>
      <c r="E171" s="65">
        <f t="shared" si="38"/>
        <v>140.28408109225984</v>
      </c>
      <c r="F171" s="64">
        <f t="shared" si="47"/>
        <v>58.102591021100068</v>
      </c>
      <c r="G171" s="64">
        <f t="shared" si="48"/>
        <v>31.897408978899932</v>
      </c>
      <c r="H171" s="65">
        <f t="shared" si="39"/>
        <v>132.15622528194359</v>
      </c>
      <c r="I171" s="64">
        <f t="shared" si="49"/>
        <v>49.485344294887504</v>
      </c>
      <c r="J171" s="64">
        <f t="shared" si="50"/>
        <v>40.514655705112496</v>
      </c>
      <c r="K171" s="65">
        <f t="shared" si="40"/>
        <v>122.27377002124692</v>
      </c>
      <c r="L171" s="64">
        <f t="shared" si="51"/>
        <v>41.946050759123999</v>
      </c>
      <c r="M171" s="64">
        <f t="shared" si="52"/>
        <v>48.053949240876001</v>
      </c>
      <c r="N171" s="65">
        <f t="shared" si="41"/>
        <v>109.68278794388944</v>
      </c>
      <c r="O171" s="64">
        <f t="shared" si="53"/>
        <v>36.208982917984876</v>
      </c>
      <c r="P171" s="64">
        <f t="shared" si="54"/>
        <v>53.791017082015124</v>
      </c>
      <c r="Q171" s="65">
        <f t="shared" si="42"/>
        <v>93.390311602188063</v>
      </c>
      <c r="R171" s="64">
        <f t="shared" si="55"/>
        <v>47.959570838204506</v>
      </c>
      <c r="S171" s="59">
        <f t="shared" si="56"/>
        <v>42.040429161795494</v>
      </c>
      <c r="T171" s="58">
        <f t="shared" si="43"/>
        <v>120.13346244528373</v>
      </c>
      <c r="U171" s="66"/>
    </row>
    <row r="172" spans="1:34" x14ac:dyDescent="0.2">
      <c r="A172" s="67">
        <v>41</v>
      </c>
      <c r="B172" s="66">
        <f t="shared" si="44"/>
        <v>0.71558499331767511</v>
      </c>
      <c r="C172" s="64">
        <f t="shared" si="45"/>
        <v>67.89606934973024</v>
      </c>
      <c r="D172" s="64">
        <f t="shared" si="46"/>
        <v>22.10393065026976</v>
      </c>
      <c r="E172" s="65">
        <f t="shared" si="38"/>
        <v>139.48713645554614</v>
      </c>
      <c r="F172" s="64">
        <f t="shared" si="47"/>
        <v>58.735606635610488</v>
      </c>
      <c r="G172" s="64">
        <f t="shared" si="48"/>
        <v>31.264393364389512</v>
      </c>
      <c r="H172" s="65">
        <f t="shared" si="39"/>
        <v>131.27936325937813</v>
      </c>
      <c r="I172" s="64">
        <f t="shared" si="49"/>
        <v>50.205941750035116</v>
      </c>
      <c r="J172" s="64">
        <f t="shared" si="50"/>
        <v>39.794058249964884</v>
      </c>
      <c r="K172" s="65">
        <f t="shared" si="40"/>
        <v>121.36658441114886</v>
      </c>
      <c r="L172" s="64">
        <f t="shared" si="51"/>
        <v>42.746615332569924</v>
      </c>
      <c r="M172" s="64">
        <f t="shared" si="52"/>
        <v>47.253384667430076</v>
      </c>
      <c r="N172" s="65">
        <f t="shared" si="41"/>
        <v>108.84586394902783</v>
      </c>
      <c r="O172" s="64">
        <f t="shared" si="53"/>
        <v>37.055791539006613</v>
      </c>
      <c r="P172" s="64">
        <f t="shared" si="54"/>
        <v>52.944208460993387</v>
      </c>
      <c r="Q172" s="65">
        <f t="shared" si="42"/>
        <v>92.798810265734261</v>
      </c>
      <c r="R172" s="64">
        <f t="shared" si="55"/>
        <v>48.696351600242743</v>
      </c>
      <c r="S172" s="59">
        <f t="shared" si="56"/>
        <v>41.303648399757257</v>
      </c>
      <c r="T172" s="58">
        <f t="shared" si="43"/>
        <v>119.22974526532134</v>
      </c>
      <c r="U172" s="66"/>
    </row>
    <row r="173" spans="1:34" x14ac:dyDescent="0.2">
      <c r="A173" s="67">
        <v>42</v>
      </c>
      <c r="B173" s="66">
        <f t="shared" si="44"/>
        <v>0.73303828583761843</v>
      </c>
      <c r="C173" s="64">
        <f t="shared" si="45"/>
        <v>68.451395384051111</v>
      </c>
      <c r="D173" s="64">
        <f t="shared" si="46"/>
        <v>21.548604615948889</v>
      </c>
      <c r="E173" s="65">
        <f t="shared" si="38"/>
        <v>138.70050482317461</v>
      </c>
      <c r="F173" s="64">
        <f t="shared" si="47"/>
        <v>59.377114591071887</v>
      </c>
      <c r="G173" s="64">
        <f t="shared" si="48"/>
        <v>30.622885408928113</v>
      </c>
      <c r="H173" s="65">
        <f t="shared" si="39"/>
        <v>130.41689108785457</v>
      </c>
      <c r="I173" s="64">
        <f t="shared" si="49"/>
        <v>50.93345589373245</v>
      </c>
      <c r="J173" s="64">
        <f t="shared" si="50"/>
        <v>39.06654410626755</v>
      </c>
      <c r="K173" s="65">
        <f t="shared" si="40"/>
        <v>120.47829934826305</v>
      </c>
      <c r="L173" s="64">
        <f t="shared" si="51"/>
        <v>43.551132017385733</v>
      </c>
      <c r="M173" s="64">
        <f t="shared" si="52"/>
        <v>46.448867982614267</v>
      </c>
      <c r="N173" s="65">
        <f t="shared" si="41"/>
        <v>108.02979737779444</v>
      </c>
      <c r="O173" s="64">
        <f t="shared" si="53"/>
        <v>37.903023337138599</v>
      </c>
      <c r="P173" s="64">
        <f t="shared" si="54"/>
        <v>52.096976662861401</v>
      </c>
      <c r="Q173" s="65">
        <f t="shared" si="42"/>
        <v>92.220450942517473</v>
      </c>
      <c r="R173" s="64">
        <f t="shared" si="55"/>
        <v>49.439593558749436</v>
      </c>
      <c r="S173" s="59">
        <f t="shared" si="56"/>
        <v>40.560406441250564</v>
      </c>
      <c r="T173" s="58">
        <f t="shared" si="43"/>
        <v>118.34565164979919</v>
      </c>
      <c r="U173" s="66"/>
    </row>
    <row r="174" spans="1:34" x14ac:dyDescent="0.2">
      <c r="A174" s="67">
        <v>43</v>
      </c>
      <c r="B174" s="66">
        <f t="shared" si="44"/>
        <v>0.75049157835756175</v>
      </c>
      <c r="C174" s="64">
        <f t="shared" si="45"/>
        <v>69.015411889503753</v>
      </c>
      <c r="D174" s="64">
        <f t="shared" si="46"/>
        <v>20.984588110496247</v>
      </c>
      <c r="E174" s="65">
        <f t="shared" si="38"/>
        <v>137.92408158380334</v>
      </c>
      <c r="F174" s="64">
        <f t="shared" si="47"/>
        <v>60.026831746373894</v>
      </c>
      <c r="G174" s="64">
        <f t="shared" si="48"/>
        <v>29.973168253626106</v>
      </c>
      <c r="H174" s="65">
        <f t="shared" si="39"/>
        <v>129.56849129189203</v>
      </c>
      <c r="I174" s="64">
        <f t="shared" si="49"/>
        <v>51.667570709101888</v>
      </c>
      <c r="J174" s="64">
        <f t="shared" si="50"/>
        <v>38.332429290898112</v>
      </c>
      <c r="K174" s="65">
        <f t="shared" si="40"/>
        <v>119.60821968720886</v>
      </c>
      <c r="L174" s="64">
        <f t="shared" si="51"/>
        <v>44.359342550110199</v>
      </c>
      <c r="M174" s="64">
        <f t="shared" si="52"/>
        <v>45.640657449889801</v>
      </c>
      <c r="N174" s="65">
        <f t="shared" si="41"/>
        <v>107.23345104891786</v>
      </c>
      <c r="O174" s="64">
        <f t="shared" si="53"/>
        <v>38.750583718736202</v>
      </c>
      <c r="P174" s="64">
        <f t="shared" si="54"/>
        <v>51.249416281263798</v>
      </c>
      <c r="Q174" s="65">
        <f t="shared" si="42"/>
        <v>91.654254178078517</v>
      </c>
      <c r="R174" s="64">
        <f t="shared" si="55"/>
        <v>50.188982625131374</v>
      </c>
      <c r="S174" s="59">
        <f t="shared" si="56"/>
        <v>39.811017374868626</v>
      </c>
      <c r="T174" s="58">
        <f t="shared" si="43"/>
        <v>117.48039819543938</v>
      </c>
      <c r="U174" s="66"/>
    </row>
    <row r="175" spans="1:34" x14ac:dyDescent="0.2">
      <c r="A175" s="67">
        <v>44</v>
      </c>
      <c r="B175" s="66">
        <f t="shared" si="44"/>
        <v>0.76794487087750496</v>
      </c>
      <c r="C175" s="64">
        <f t="shared" si="45"/>
        <v>69.587903078442807</v>
      </c>
      <c r="D175" s="64">
        <f t="shared" si="46"/>
        <v>20.412096921557193</v>
      </c>
      <c r="E175" s="65">
        <f t="shared" si="38"/>
        <v>137.15775412076212</v>
      </c>
      <c r="F175" s="64">
        <f t="shared" si="47"/>
        <v>60.684483299519243</v>
      </c>
      <c r="G175" s="64">
        <f t="shared" si="48"/>
        <v>29.315516700480757</v>
      </c>
      <c r="H175" s="65">
        <f t="shared" si="39"/>
        <v>128.7338420664355</v>
      </c>
      <c r="I175" s="64">
        <f t="shared" si="49"/>
        <v>52.407984474120099</v>
      </c>
      <c r="J175" s="64">
        <f t="shared" si="50"/>
        <v>37.592015525879901</v>
      </c>
      <c r="K175" s="65">
        <f t="shared" si="40"/>
        <v>118.75566660499022</v>
      </c>
      <c r="L175" s="64">
        <f t="shared" si="51"/>
        <v>45.171004725940378</v>
      </c>
      <c r="M175" s="64">
        <f t="shared" si="52"/>
        <v>44.828995274059622</v>
      </c>
      <c r="N175" s="65">
        <f t="shared" si="41"/>
        <v>106.45575084482776</v>
      </c>
      <c r="O175" s="64">
        <f t="shared" si="53"/>
        <v>39.598383996272084</v>
      </c>
      <c r="P175" s="64">
        <f t="shared" si="54"/>
        <v>50.401616003727916</v>
      </c>
      <c r="Q175" s="65">
        <f t="shared" si="42"/>
        <v>91.099318487357465</v>
      </c>
      <c r="R175" s="64">
        <f t="shared" si="55"/>
        <v>50.944219943595257</v>
      </c>
      <c r="S175" s="59">
        <f t="shared" si="56"/>
        <v>39.055780056404743</v>
      </c>
      <c r="T175" s="58">
        <f t="shared" si="43"/>
        <v>116.6332248474024</v>
      </c>
      <c r="U175" s="66"/>
    </row>
    <row r="176" spans="1:34" s="54" customFormat="1" x14ac:dyDescent="0.2">
      <c r="A176" s="63">
        <v>45</v>
      </c>
      <c r="B176" s="62">
        <f t="shared" si="44"/>
        <v>0.78539816339744828</v>
      </c>
      <c r="C176" s="60">
        <f t="shared" si="45"/>
        <v>70.168656947895656</v>
      </c>
      <c r="D176" s="60">
        <f t="shared" si="46"/>
        <v>19.831343052104344</v>
      </c>
      <c r="E176" s="61">
        <f t="shared" si="38"/>
        <v>136.40140251899646</v>
      </c>
      <c r="F176" s="60">
        <f t="shared" si="47"/>
        <v>61.349802697755756</v>
      </c>
      <c r="G176" s="60">
        <f t="shared" si="48"/>
        <v>28.650197302244244</v>
      </c>
      <c r="H176" s="61">
        <f t="shared" si="39"/>
        <v>127.91261845546173</v>
      </c>
      <c r="I176" s="60">
        <f t="shared" si="49"/>
        <v>53.154409118419402</v>
      </c>
      <c r="J176" s="60">
        <f t="shared" si="50"/>
        <v>36.845590881580598</v>
      </c>
      <c r="K176" s="61">
        <f t="shared" si="40"/>
        <v>117.91997821289543</v>
      </c>
      <c r="L176" s="60">
        <f t="shared" si="51"/>
        <v>45.985891139288903</v>
      </c>
      <c r="M176" s="60">
        <f t="shared" si="52"/>
        <v>44.014108860711097</v>
      </c>
      <c r="N176" s="61">
        <f t="shared" si="41"/>
        <v>105.69568194315536</v>
      </c>
      <c r="O176" s="60">
        <f t="shared" si="53"/>
        <v>40.446340727929801</v>
      </c>
      <c r="P176" s="60">
        <f t="shared" si="54"/>
        <v>49.553659272070199</v>
      </c>
      <c r="Q176" s="61">
        <f t="shared" si="42"/>
        <v>90.554812443159989</v>
      </c>
      <c r="R176" s="60">
        <f t="shared" si="55"/>
        <v>51.705021109090239</v>
      </c>
      <c r="S176" s="59">
        <f t="shared" si="56"/>
        <v>38.294978890909761</v>
      </c>
      <c r="T176" s="58">
        <f t="shared" si="43"/>
        <v>115.80339506101176</v>
      </c>
      <c r="U176" s="62"/>
      <c r="V176" s="56">
        <f>E176</f>
        <v>136.40140251899646</v>
      </c>
      <c r="W176" s="55"/>
      <c r="AH176" s="55">
        <f>D176</f>
        <v>19.831343052104344</v>
      </c>
    </row>
    <row r="177" spans="1:35" x14ac:dyDescent="0.2">
      <c r="A177" s="67">
        <v>46</v>
      </c>
      <c r="B177" s="66">
        <f t="shared" si="44"/>
        <v>0.8028514559173916</v>
      </c>
      <c r="C177" s="64">
        <f t="shared" si="45"/>
        <v>70.757465374823553</v>
      </c>
      <c r="D177" s="64">
        <f t="shared" si="46"/>
        <v>19.242534625176447</v>
      </c>
      <c r="E177" s="65">
        <f t="shared" si="38"/>
        <v>135.65490024070536</v>
      </c>
      <c r="F177" s="64">
        <f t="shared" si="47"/>
        <v>62.022531525277095</v>
      </c>
      <c r="G177" s="64">
        <f t="shared" si="48"/>
        <v>27.977468474722905</v>
      </c>
      <c r="H177" s="65">
        <f t="shared" si="39"/>
        <v>127.10449341836144</v>
      </c>
      <c r="I177" s="64">
        <f t="shared" si="49"/>
        <v>53.906569591762221</v>
      </c>
      <c r="J177" s="64">
        <f t="shared" si="50"/>
        <v>36.093430408237779</v>
      </c>
      <c r="K177" s="65">
        <f t="shared" si="40"/>
        <v>117.10050997294616</v>
      </c>
      <c r="L177" s="64">
        <f t="shared" si="51"/>
        <v>46.803788025362167</v>
      </c>
      <c r="M177" s="64">
        <f t="shared" si="52"/>
        <v>43.196211974637833</v>
      </c>
      <c r="N177" s="65">
        <f t="shared" si="41"/>
        <v>104.95228520834328</v>
      </c>
      <c r="O177" s="64">
        <f t="shared" si="53"/>
        <v>41.294375134494352</v>
      </c>
      <c r="P177" s="64">
        <f t="shared" si="54"/>
        <v>48.705624865505648</v>
      </c>
      <c r="Q177" s="65">
        <f t="shared" si="42"/>
        <v>90.019967679573355</v>
      </c>
      <c r="R177" s="64">
        <f t="shared" si="55"/>
        <v>52.47111541099548</v>
      </c>
      <c r="S177" s="59">
        <f t="shared" si="56"/>
        <v>37.52888458900452</v>
      </c>
      <c r="T177" s="58">
        <f t="shared" si="43"/>
        <v>114.99019577894596</v>
      </c>
      <c r="U177" s="66"/>
      <c r="V177" s="53">
        <f>H176</f>
        <v>127.91261845546173</v>
      </c>
      <c r="AH177" s="50">
        <f>G176</f>
        <v>28.650197302244244</v>
      </c>
    </row>
    <row r="178" spans="1:35" x14ac:dyDescent="0.2">
      <c r="A178" s="67">
        <v>47</v>
      </c>
      <c r="B178" s="66">
        <f t="shared" si="44"/>
        <v>0.82030474843733492</v>
      </c>
      <c r="C178" s="64">
        <f t="shared" si="45"/>
        <v>71.354124193736112</v>
      </c>
      <c r="D178" s="64">
        <f t="shared" si="46"/>
        <v>18.645875806263888</v>
      </c>
      <c r="E178" s="65">
        <f t="shared" si="38"/>
        <v>134.91811476884166</v>
      </c>
      <c r="F178" s="64">
        <f t="shared" si="47"/>
        <v>62.702419371630157</v>
      </c>
      <c r="G178" s="64">
        <f t="shared" si="48"/>
        <v>27.297580628369843</v>
      </c>
      <c r="H178" s="65">
        <f t="shared" si="39"/>
        <v>126.30913879008124</v>
      </c>
      <c r="I178" s="64">
        <f t="shared" si="49"/>
        <v>54.664203246997971</v>
      </c>
      <c r="J178" s="64">
        <f t="shared" si="50"/>
        <v>35.335796753002029</v>
      </c>
      <c r="K178" s="65">
        <f t="shared" si="40"/>
        <v>116.29663494558309</v>
      </c>
      <c r="L178" s="64">
        <f t="shared" si="51"/>
        <v>47.6244941947499</v>
      </c>
      <c r="M178" s="64">
        <f t="shared" si="52"/>
        <v>42.3755058052501</v>
      </c>
      <c r="N178" s="65">
        <f t="shared" si="41"/>
        <v>104.22465375226606</v>
      </c>
      <c r="O178" s="64">
        <f t="shared" si="53"/>
        <v>42.142412583007783</v>
      </c>
      <c r="P178" s="64">
        <f t="shared" si="54"/>
        <v>47.857587416992217</v>
      </c>
      <c r="Q178" s="65">
        <f t="shared" si="42"/>
        <v>89.494072691297276</v>
      </c>
      <c r="R178" s="64">
        <f t="shared" si="55"/>
        <v>53.242245104291591</v>
      </c>
      <c r="S178" s="59">
        <f t="shared" si="56"/>
        <v>36.757754895708409</v>
      </c>
      <c r="T178" s="58">
        <f t="shared" si="43"/>
        <v>114.1929372541821</v>
      </c>
      <c r="U178" s="66"/>
      <c r="V178" s="53">
        <f>K176</f>
        <v>117.91997821289543</v>
      </c>
      <c r="AH178" s="50">
        <f>J176</f>
        <v>36.845590881580598</v>
      </c>
    </row>
    <row r="179" spans="1:35" x14ac:dyDescent="0.2">
      <c r="A179" s="67">
        <v>48</v>
      </c>
      <c r="B179" s="66">
        <f t="shared" si="44"/>
        <v>0.83775804095727824</v>
      </c>
      <c r="C179" s="64">
        <f t="shared" si="45"/>
        <v>71.958433257862637</v>
      </c>
      <c r="D179" s="64">
        <f t="shared" si="46"/>
        <v>18.041566742137363</v>
      </c>
      <c r="E179" s="65">
        <f t="shared" si="38"/>
        <v>134.19090821796664</v>
      </c>
      <c r="F179" s="64">
        <f t="shared" si="47"/>
        <v>63.389223683704181</v>
      </c>
      <c r="G179" s="64">
        <f t="shared" si="48"/>
        <v>26.610776316295819</v>
      </c>
      <c r="H179" s="65">
        <f t="shared" si="39"/>
        <v>125.52622614117148</v>
      </c>
      <c r="I179" s="64">
        <f t="shared" si="49"/>
        <v>55.42705923967948</v>
      </c>
      <c r="J179" s="64">
        <f t="shared" si="50"/>
        <v>34.57294076032052</v>
      </c>
      <c r="K179" s="65">
        <f t="shared" si="40"/>
        <v>115.50774389250458</v>
      </c>
      <c r="L179" s="64">
        <f t="shared" si="51"/>
        <v>48.447820053495256</v>
      </c>
      <c r="M179" s="64">
        <f t="shared" si="52"/>
        <v>41.552179946504744</v>
      </c>
      <c r="N179" s="65">
        <f t="shared" si="41"/>
        <v>103.51192966815316</v>
      </c>
      <c r="O179" s="64">
        <f t="shared" si="53"/>
        <v>42.990382128232127</v>
      </c>
      <c r="P179" s="64">
        <f t="shared" si="54"/>
        <v>47.009617871767873</v>
      </c>
      <c r="Q179" s="65">
        <f t="shared" si="42"/>
        <v>88.976467326826068</v>
      </c>
      <c r="R179" s="64">
        <f t="shared" si="55"/>
        <v>54.018164709342606</v>
      </c>
      <c r="S179" s="59">
        <f t="shared" si="56"/>
        <v>35.981835290657394</v>
      </c>
      <c r="T179" s="58">
        <f t="shared" si="43"/>
        <v>113.41095274521304</v>
      </c>
      <c r="U179" s="66"/>
      <c r="V179" s="53">
        <f>N176</f>
        <v>105.69568194315536</v>
      </c>
      <c r="AH179" s="50">
        <f>M176</f>
        <v>44.014108860711097</v>
      </c>
    </row>
    <row r="180" spans="1:35" x14ac:dyDescent="0.2">
      <c r="A180" s="67">
        <v>49</v>
      </c>
      <c r="B180" s="66">
        <f t="shared" si="44"/>
        <v>0.85521133347722145</v>
      </c>
      <c r="C180" s="64">
        <f t="shared" si="45"/>
        <v>72.570196485060691</v>
      </c>
      <c r="D180" s="64">
        <f t="shared" si="46"/>
        <v>17.429803514939309</v>
      </c>
      <c r="E180" s="65">
        <f t="shared" si="38"/>
        <v>133.47313791224096</v>
      </c>
      <c r="F180" s="64">
        <f t="shared" si="47"/>
        <v>64.082709603922481</v>
      </c>
      <c r="G180" s="64">
        <f t="shared" si="48"/>
        <v>25.917290396077519</v>
      </c>
      <c r="H180" s="65">
        <f t="shared" si="39"/>
        <v>124.75542754394679</v>
      </c>
      <c r="I180" s="64">
        <f t="shared" si="49"/>
        <v>56.194897945974574</v>
      </c>
      <c r="J180" s="64">
        <f t="shared" si="50"/>
        <v>33.805102054025426</v>
      </c>
      <c r="K180" s="65">
        <f t="shared" si="40"/>
        <v>114.73324525598528</v>
      </c>
      <c r="L180" s="64">
        <f t="shared" si="51"/>
        <v>49.273586701608167</v>
      </c>
      <c r="M180" s="64">
        <f t="shared" si="52"/>
        <v>40.726413298391833</v>
      </c>
      <c r="N180" s="65">
        <f t="shared" si="41"/>
        <v>102.81330093856697</v>
      </c>
      <c r="O180" s="64">
        <f t="shared" si="53"/>
        <v>43.838216104282836</v>
      </c>
      <c r="P180" s="64">
        <f t="shared" si="54"/>
        <v>46.161783895717164</v>
      </c>
      <c r="Q180" s="65">
        <f t="shared" si="42"/>
        <v>88.466537887782536</v>
      </c>
      <c r="R180" s="64">
        <f t="shared" si="55"/>
        <v>54.798640340908328</v>
      </c>
      <c r="S180" s="59">
        <f t="shared" si="56"/>
        <v>35.201359659091672</v>
      </c>
      <c r="T180" s="58">
        <f t="shared" si="43"/>
        <v>112.64359810665555</v>
      </c>
      <c r="U180" s="66"/>
      <c r="V180" s="53">
        <f>Q176</f>
        <v>90.554812443159989</v>
      </c>
      <c r="AH180" s="50">
        <f>P176</f>
        <v>49.553659272070199</v>
      </c>
    </row>
    <row r="181" spans="1:35" x14ac:dyDescent="0.2">
      <c r="A181" s="67">
        <v>50</v>
      </c>
      <c r="B181" s="66">
        <f t="shared" si="44"/>
        <v>0.87266462599716477</v>
      </c>
      <c r="C181" s="64">
        <f t="shared" si="45"/>
        <v>73.189221889611829</v>
      </c>
      <c r="D181" s="64">
        <f t="shared" si="46"/>
        <v>16.810778110388171</v>
      </c>
      <c r="E181" s="65">
        <f t="shared" si="38"/>
        <v>132.76465693058685</v>
      </c>
      <c r="F181" s="64">
        <f t="shared" si="47"/>
        <v>64.782649797014869</v>
      </c>
      <c r="G181" s="64">
        <f t="shared" si="48"/>
        <v>25.217350202985131</v>
      </c>
      <c r="H181" s="65">
        <f t="shared" si="39"/>
        <v>123.99641625093574</v>
      </c>
      <c r="I181" s="64">
        <f t="shared" si="49"/>
        <v>56.967490400048554</v>
      </c>
      <c r="J181" s="64">
        <f t="shared" si="50"/>
        <v>33.032509599951446</v>
      </c>
      <c r="K181" s="65">
        <f t="shared" si="40"/>
        <v>113.97256503360353</v>
      </c>
      <c r="L181" s="64">
        <f t="shared" si="51"/>
        <v>50.101625103477687</v>
      </c>
      <c r="M181" s="64">
        <f t="shared" si="52"/>
        <v>39.898374896522313</v>
      </c>
      <c r="N181" s="65">
        <f t="shared" si="41"/>
        <v>102.12799851551438</v>
      </c>
      <c r="O181" s="64">
        <f t="shared" si="53"/>
        <v>44.68584975990148</v>
      </c>
      <c r="P181" s="64">
        <f t="shared" si="54"/>
        <v>45.31415024009852</v>
      </c>
      <c r="Q181" s="65">
        <f t="shared" si="42"/>
        <v>87.963712758890566</v>
      </c>
      <c r="R181" s="64">
        <f t="shared" si="55"/>
        <v>55.58344906659282</v>
      </c>
      <c r="S181" s="59">
        <f t="shared" si="56"/>
        <v>34.41655093340718</v>
      </c>
      <c r="T181" s="58">
        <f t="shared" si="43"/>
        <v>111.89025129530209</v>
      </c>
      <c r="U181" s="66"/>
    </row>
    <row r="182" spans="1:35" x14ac:dyDescent="0.2">
      <c r="A182" s="67">
        <v>51</v>
      </c>
      <c r="B182" s="66">
        <f t="shared" si="44"/>
        <v>0.89011791851710809</v>
      </c>
      <c r="C182" s="64">
        <f t="shared" si="45"/>
        <v>73.815321601018411</v>
      </c>
      <c r="D182" s="64">
        <f t="shared" si="46"/>
        <v>16.184678398981589</v>
      </c>
      <c r="E182" s="65">
        <f t="shared" si="38"/>
        <v>132.06531461927892</v>
      </c>
      <c r="F182" s="64">
        <f t="shared" si="47"/>
        <v>65.488824267516009</v>
      </c>
      <c r="G182" s="64">
        <f t="shared" si="48"/>
        <v>24.511175732483991</v>
      </c>
      <c r="H182" s="65">
        <f t="shared" si="39"/>
        <v>123.24886729169776</v>
      </c>
      <c r="I182" s="64">
        <f t="shared" si="49"/>
        <v>57.744617751704894</v>
      </c>
      <c r="J182" s="64">
        <f t="shared" si="50"/>
        <v>32.255382248295106</v>
      </c>
      <c r="K182" s="65">
        <f t="shared" si="40"/>
        <v>113.22514656510032</v>
      </c>
      <c r="L182" s="64">
        <f t="shared" si="51"/>
        <v>50.931775324122476</v>
      </c>
      <c r="M182" s="64">
        <f t="shared" si="52"/>
        <v>39.068224675877524</v>
      </c>
      <c r="N182" s="65">
        <f t="shared" si="41"/>
        <v>101.45529356878507</v>
      </c>
      <c r="O182" s="64">
        <f t="shared" si="53"/>
        <v>45.533220931768049</v>
      </c>
      <c r="P182" s="64">
        <f t="shared" si="54"/>
        <v>44.466779068231951</v>
      </c>
      <c r="Q182" s="65">
        <f t="shared" si="42"/>
        <v>87.467458503427878</v>
      </c>
      <c r="R182" s="64">
        <f t="shared" si="55"/>
        <v>56.3723782945994</v>
      </c>
      <c r="S182" s="59">
        <f t="shared" si="56"/>
        <v>33.6276217054006</v>
      </c>
      <c r="T182" s="58">
        <f t="shared" si="43"/>
        <v>111.15031180893077</v>
      </c>
      <c r="U182" s="69"/>
    </row>
    <row r="183" spans="1:35" x14ac:dyDescent="0.2">
      <c r="A183" s="67">
        <v>52</v>
      </c>
      <c r="B183" s="66">
        <f t="shared" si="44"/>
        <v>0.90757121103705141</v>
      </c>
      <c r="C183" s="64">
        <f t="shared" si="45"/>
        <v>74.448311870874818</v>
      </c>
      <c r="D183" s="64">
        <f t="shared" si="46"/>
        <v>15.551688129125182</v>
      </c>
      <c r="E183" s="65">
        <f t="shared" si="38"/>
        <v>131.37495707241018</v>
      </c>
      <c r="F183" s="64">
        <f t="shared" si="47"/>
        <v>66.2010201699172</v>
      </c>
      <c r="G183" s="64">
        <f t="shared" si="48"/>
        <v>23.7989798300828</v>
      </c>
      <c r="H183" s="65">
        <f t="shared" si="39"/>
        <v>122.51245799392851</v>
      </c>
      <c r="I183" s="64">
        <f t="shared" si="49"/>
        <v>58.526070744745837</v>
      </c>
      <c r="J183" s="64">
        <f t="shared" si="50"/>
        <v>31.473929255254163</v>
      </c>
      <c r="K183" s="65">
        <f t="shared" si="40"/>
        <v>112.49045024608462</v>
      </c>
      <c r="L183" s="64">
        <f t="shared" si="51"/>
        <v>51.763885825683289</v>
      </c>
      <c r="M183" s="64">
        <f t="shared" si="52"/>
        <v>38.236114174316711</v>
      </c>
      <c r="N183" s="65">
        <f t="shared" si="41"/>
        <v>100.79449489717518</v>
      </c>
      <c r="O183" s="64">
        <f t="shared" si="53"/>
        <v>46.38026975103881</v>
      </c>
      <c r="P183" s="64">
        <f t="shared" si="54"/>
        <v>43.61973024896119</v>
      </c>
      <c r="Q183" s="65">
        <f t="shared" si="42"/>
        <v>86.977276367819371</v>
      </c>
      <c r="R183" s="64">
        <f t="shared" si="55"/>
        <v>57.165225190393762</v>
      </c>
      <c r="S183" s="59">
        <f t="shared" si="56"/>
        <v>32.834774809606238</v>
      </c>
      <c r="T183" s="58">
        <f t="shared" si="43"/>
        <v>110.42320007275192</v>
      </c>
      <c r="U183" s="69"/>
    </row>
    <row r="184" spans="1:35" x14ac:dyDescent="0.2">
      <c r="A184" s="67">
        <v>53</v>
      </c>
      <c r="B184" s="66">
        <f t="shared" si="44"/>
        <v>0.92502450355699462</v>
      </c>
      <c r="C184" s="64">
        <f t="shared" si="45"/>
        <v>75.088013068841803</v>
      </c>
      <c r="D184" s="64">
        <f t="shared" si="46"/>
        <v>14.911986931158197</v>
      </c>
      <c r="E184" s="65">
        <f t="shared" si="38"/>
        <v>130.69342758084215</v>
      </c>
      <c r="F184" s="64">
        <f t="shared" si="47"/>
        <v>66.919031613193297</v>
      </c>
      <c r="G184" s="64">
        <f t="shared" si="48"/>
        <v>23.080968386806703</v>
      </c>
      <c r="H184" s="65">
        <f t="shared" si="39"/>
        <v>121.78686843457228</v>
      </c>
      <c r="I184" s="64">
        <f t="shared" si="49"/>
        <v>59.311649216244724</v>
      </c>
      <c r="J184" s="64">
        <f t="shared" si="50"/>
        <v>30.688350783755276</v>
      </c>
      <c r="K184" s="65">
        <f t="shared" si="40"/>
        <v>111.76795318147458</v>
      </c>
      <c r="L184" s="64">
        <f t="shared" si="51"/>
        <v>52.597812819004808</v>
      </c>
      <c r="M184" s="64">
        <f t="shared" si="52"/>
        <v>37.402187180995192</v>
      </c>
      <c r="N184" s="65">
        <f t="shared" si="41"/>
        <v>100.14494649625668</v>
      </c>
      <c r="O184" s="64">
        <f t="shared" si="53"/>
        <v>47.226938378960419</v>
      </c>
      <c r="P184" s="64">
        <f t="shared" si="54"/>
        <v>42.773061621039581</v>
      </c>
      <c r="Q184" s="65">
        <f t="shared" si="42"/>
        <v>86.492699146554926</v>
      </c>
      <c r="R184" s="64">
        <f t="shared" si="55"/>
        <v>57.961796121666204</v>
      </c>
      <c r="S184" s="59">
        <f t="shared" si="56"/>
        <v>32.038203878333796</v>
      </c>
      <c r="T184" s="58">
        <f t="shared" si="43"/>
        <v>109.70835678621513</v>
      </c>
      <c r="U184" s="69"/>
    </row>
    <row r="185" spans="1:35" x14ac:dyDescent="0.2">
      <c r="A185" s="67">
        <v>54</v>
      </c>
      <c r="B185" s="66">
        <f t="shared" si="44"/>
        <v>0.94247779607693793</v>
      </c>
      <c r="C185" s="64">
        <f t="shared" si="45"/>
        <v>75.73424966870553</v>
      </c>
      <c r="D185" s="64">
        <f t="shared" si="46"/>
        <v>14.26575033129447</v>
      </c>
      <c r="E185" s="65">
        <f t="shared" si="38"/>
        <v>130.02056705038271</v>
      </c>
      <c r="F185" s="64">
        <f t="shared" si="47"/>
        <v>67.642659461235709</v>
      </c>
      <c r="G185" s="64">
        <f t="shared" si="48"/>
        <v>22.357340538764291</v>
      </c>
      <c r="H185" s="65">
        <f t="shared" si="39"/>
        <v>121.07178182642731</v>
      </c>
      <c r="I185" s="64">
        <f t="shared" si="49"/>
        <v>60.101161616698519</v>
      </c>
      <c r="J185" s="64">
        <f t="shared" si="50"/>
        <v>29.898838383301481</v>
      </c>
      <c r="K185" s="65">
        <f t="shared" si="40"/>
        <v>111.0571487899217</v>
      </c>
      <c r="L185" s="64">
        <f t="shared" si="51"/>
        <v>53.433419665572494</v>
      </c>
      <c r="M185" s="64">
        <f t="shared" si="52"/>
        <v>36.566580334427506</v>
      </c>
      <c r="N185" s="65">
        <f t="shared" si="41"/>
        <v>99.506025275693247</v>
      </c>
      <c r="O185" s="64">
        <f t="shared" si="53"/>
        <v>48.073170767974773</v>
      </c>
      <c r="P185" s="64">
        <f t="shared" si="54"/>
        <v>41.926829232025227</v>
      </c>
      <c r="Q185" s="65">
        <f t="shared" si="42"/>
        <v>86.013288365048737</v>
      </c>
      <c r="R185" s="64">
        <f t="shared" si="55"/>
        <v>58.761906130820108</v>
      </c>
      <c r="S185" s="59">
        <f t="shared" si="56"/>
        <v>31.238093869179892</v>
      </c>
      <c r="T185" s="58">
        <f t="shared" si="43"/>
        <v>109.00524224100124</v>
      </c>
      <c r="U185" s="69"/>
    </row>
    <row r="186" spans="1:35" x14ac:dyDescent="0.2">
      <c r="A186" s="67">
        <v>55</v>
      </c>
      <c r="B186" s="66">
        <f t="shared" si="44"/>
        <v>0.95993108859688125</v>
      </c>
      <c r="C186" s="64">
        <f t="shared" si="45"/>
        <v>76.386850225454268</v>
      </c>
      <c r="D186" s="64">
        <f t="shared" si="46"/>
        <v>13.613149774545732</v>
      </c>
      <c r="E186" s="65">
        <f t="shared" si="38"/>
        <v>129.35621439004521</v>
      </c>
      <c r="F186" s="64">
        <f t="shared" si="47"/>
        <v>68.371711130545151</v>
      </c>
      <c r="G186" s="64">
        <f t="shared" si="48"/>
        <v>21.628288869454849</v>
      </c>
      <c r="H186" s="65">
        <f t="shared" si="39"/>
        <v>120.3668848454674</v>
      </c>
      <c r="I186" s="64">
        <f t="shared" si="49"/>
        <v>60.894424550848193</v>
      </c>
      <c r="J186" s="64">
        <f t="shared" si="50"/>
        <v>29.105575449151807</v>
      </c>
      <c r="K186" s="65">
        <f t="shared" si="40"/>
        <v>110.35754636898791</v>
      </c>
      <c r="L186" s="64">
        <f t="shared" si="51"/>
        <v>54.270576325460759</v>
      </c>
      <c r="M186" s="64">
        <f t="shared" si="52"/>
        <v>35.729423674539241</v>
      </c>
      <c r="N186" s="65">
        <f t="shared" si="41"/>
        <v>98.877138918715431</v>
      </c>
      <c r="O186" s="64">
        <f t="shared" si="53"/>
        <v>48.918912445208221</v>
      </c>
      <c r="P186" s="64">
        <f t="shared" si="54"/>
        <v>41.081087554791779</v>
      </c>
      <c r="Q186" s="65">
        <f t="shared" si="42"/>
        <v>85.538631743568217</v>
      </c>
      <c r="R186" s="64">
        <f t="shared" si="55"/>
        <v>59.565378434091713</v>
      </c>
      <c r="S186" s="59">
        <f t="shared" si="56"/>
        <v>30.434621565908287</v>
      </c>
      <c r="T186" s="58">
        <f t="shared" si="43"/>
        <v>108.31333561935756</v>
      </c>
      <c r="U186" s="69"/>
    </row>
    <row r="187" spans="1:35" x14ac:dyDescent="0.2">
      <c r="A187" s="67">
        <v>56</v>
      </c>
      <c r="B187" s="66">
        <f t="shared" si="44"/>
        <v>0.97738438111682457</v>
      </c>
      <c r="C187" s="64">
        <f t="shared" si="45"/>
        <v>77.0456473442553</v>
      </c>
      <c r="D187" s="64">
        <f t="shared" si="46"/>
        <v>12.9543526557447</v>
      </c>
      <c r="E187" s="65">
        <f t="shared" si="38"/>
        <v>128.70020687133069</v>
      </c>
      <c r="F187" s="64">
        <f t="shared" si="47"/>
        <v>69.106000386374049</v>
      </c>
      <c r="G187" s="64">
        <f t="shared" si="48"/>
        <v>20.893999613625951</v>
      </c>
      <c r="H187" s="65">
        <f t="shared" si="39"/>
        <v>119.67186790382947</v>
      </c>
      <c r="I187" s="64">
        <f t="shared" si="49"/>
        <v>61.691262338808187</v>
      </c>
      <c r="J187" s="64">
        <f t="shared" si="50"/>
        <v>28.308737661191813</v>
      </c>
      <c r="K187" s="65">
        <f t="shared" si="40"/>
        <v>109.66867062952824</v>
      </c>
      <c r="L187" s="64">
        <f t="shared" si="51"/>
        <v>55.109158847313942</v>
      </c>
      <c r="M187" s="64">
        <f t="shared" si="52"/>
        <v>34.890841152686058</v>
      </c>
      <c r="N187" s="65">
        <f t="shared" si="41"/>
        <v>98.257723876179725</v>
      </c>
      <c r="O187" s="64">
        <f t="shared" si="53"/>
        <v>49.764110315647919</v>
      </c>
      <c r="P187" s="64">
        <f t="shared" si="54"/>
        <v>40.235889684352081</v>
      </c>
      <c r="Q187" s="65">
        <f t="shared" si="42"/>
        <v>85.068340910091138</v>
      </c>
      <c r="R187" s="64">
        <f t="shared" si="55"/>
        <v>60.372043946316282</v>
      </c>
      <c r="S187" s="59">
        <f t="shared" si="56"/>
        <v>29.627956053683718</v>
      </c>
      <c r="T187" s="58">
        <f t="shared" si="43"/>
        <v>107.6321342804781</v>
      </c>
      <c r="U187" s="69"/>
    </row>
    <row r="188" spans="1:35" x14ac:dyDescent="0.2">
      <c r="A188" s="67">
        <v>57</v>
      </c>
      <c r="B188" s="66">
        <f t="shared" si="44"/>
        <v>0.99483767363676789</v>
      </c>
      <c r="C188" s="64">
        <f t="shared" si="45"/>
        <v>77.710477642163966</v>
      </c>
      <c r="D188" s="64">
        <f t="shared" si="46"/>
        <v>12.289522357836034</v>
      </c>
      <c r="E188" s="65">
        <f t="shared" si="38"/>
        <v>128.0523804595432</v>
      </c>
      <c r="F188" s="64">
        <f t="shared" si="47"/>
        <v>69.845347138358974</v>
      </c>
      <c r="G188" s="64">
        <f t="shared" si="48"/>
        <v>20.154652861641026</v>
      </c>
      <c r="H188" s="65">
        <f t="shared" si="39"/>
        <v>118.98642537312831</v>
      </c>
      <c r="I188" s="64">
        <f t="shared" si="49"/>
        <v>62.49150659703016</v>
      </c>
      <c r="J188" s="64">
        <f t="shared" si="50"/>
        <v>27.50849340296984</v>
      </c>
      <c r="K188" s="65">
        <f t="shared" si="40"/>
        <v>108.990061206557</v>
      </c>
      <c r="L188" s="64">
        <f t="shared" si="51"/>
        <v>55.949048896718409</v>
      </c>
      <c r="M188" s="64">
        <f t="shared" si="52"/>
        <v>34.050951103281591</v>
      </c>
      <c r="N188" s="65">
        <f t="shared" si="41"/>
        <v>97.647243487610794</v>
      </c>
      <c r="O188" s="64">
        <f t="shared" si="53"/>
        <v>50.608712482656685</v>
      </c>
      <c r="P188" s="64">
        <f t="shared" si="54"/>
        <v>39.391287517343315</v>
      </c>
      <c r="Q188" s="65">
        <f t="shared" si="42"/>
        <v>84.602049334019469</v>
      </c>
      <c r="R188" s="64">
        <f t="shared" si="55"/>
        <v>61.181740830294558</v>
      </c>
      <c r="S188" s="59">
        <f t="shared" si="56"/>
        <v>28.818259169705442</v>
      </c>
      <c r="T188" s="58">
        <f t="shared" si="43"/>
        <v>106.96115304136173</v>
      </c>
      <c r="U188" s="69"/>
    </row>
    <row r="189" spans="1:35" x14ac:dyDescent="0.2">
      <c r="A189" s="67">
        <v>58</v>
      </c>
      <c r="B189" s="66">
        <f t="shared" si="44"/>
        <v>1.0122909661567112</v>
      </c>
      <c r="C189" s="64">
        <f t="shared" si="45"/>
        <v>78.381181703346627</v>
      </c>
      <c r="D189" s="64">
        <f t="shared" si="46"/>
        <v>11.618818296653373</v>
      </c>
      <c r="E189" s="65">
        <f t="shared" si="38"/>
        <v>127.41257011819755</v>
      </c>
      <c r="F189" s="64">
        <f t="shared" si="47"/>
        <v>70.589577236545907</v>
      </c>
      <c r="G189" s="64">
        <f t="shared" si="48"/>
        <v>19.410422763454093</v>
      </c>
      <c r="H189" s="65">
        <f t="shared" si="39"/>
        <v>118.31025576247059</v>
      </c>
      <c r="I189" s="64">
        <f t="shared" si="49"/>
        <v>63.294995838536728</v>
      </c>
      <c r="J189" s="64">
        <f t="shared" si="50"/>
        <v>26.705004161463272</v>
      </c>
      <c r="K189" s="65">
        <f t="shared" si="40"/>
        <v>108.32127215283478</v>
      </c>
      <c r="L189" s="64">
        <f t="shared" si="51"/>
        <v>56.790133319636183</v>
      </c>
      <c r="M189" s="64">
        <f t="shared" si="52"/>
        <v>33.209866680363817</v>
      </c>
      <c r="N189" s="65">
        <f t="shared" si="41"/>
        <v>97.045186221713578</v>
      </c>
      <c r="O189" s="64">
        <f t="shared" si="53"/>
        <v>51.452668083777581</v>
      </c>
      <c r="P189" s="64">
        <f t="shared" si="54"/>
        <v>38.547331916222419</v>
      </c>
      <c r="Q189" s="65">
        <f t="shared" si="42"/>
        <v>84.139410456185061</v>
      </c>
      <c r="R189" s="64">
        <f t="shared" si="55"/>
        <v>61.994314069674793</v>
      </c>
      <c r="S189" s="59">
        <f t="shared" si="56"/>
        <v>28.005685930325207</v>
      </c>
      <c r="T189" s="58">
        <f t="shared" si="43"/>
        <v>106.29992345747866</v>
      </c>
      <c r="U189" s="69"/>
    </row>
    <row r="190" spans="1:35" x14ac:dyDescent="0.2">
      <c r="A190" s="67">
        <v>59</v>
      </c>
      <c r="B190" s="66">
        <f t="shared" si="44"/>
        <v>1.0297442586766545</v>
      </c>
      <c r="C190" s="64">
        <f t="shared" si="45"/>
        <v>79.057604028548738</v>
      </c>
      <c r="D190" s="64">
        <f t="shared" si="46"/>
        <v>10.942395971451262</v>
      </c>
      <c r="E190" s="65">
        <f t="shared" si="38"/>
        <v>126.78061008761344</v>
      </c>
      <c r="F190" s="64">
        <f t="shared" si="47"/>
        <v>71.338522268586416</v>
      </c>
      <c r="G190" s="64">
        <f t="shared" si="48"/>
        <v>18.661477731413584</v>
      </c>
      <c r="H190" s="65">
        <f t="shared" si="39"/>
        <v>117.64306185524792</v>
      </c>
      <c r="I190" s="64">
        <f t="shared" si="49"/>
        <v>64.10157509179156</v>
      </c>
      <c r="J190" s="64">
        <f t="shared" si="50"/>
        <v>25.89842490820844</v>
      </c>
      <c r="K190" s="65">
        <f t="shared" si="40"/>
        <v>107.66187142049313</v>
      </c>
      <c r="L190" s="64">
        <f t="shared" si="51"/>
        <v>57.632303737856013</v>
      </c>
      <c r="M190" s="64">
        <f t="shared" si="52"/>
        <v>32.367696262143987</v>
      </c>
      <c r="N190" s="65">
        <f t="shared" si="41"/>
        <v>96.451064029020785</v>
      </c>
      <c r="O190" s="64">
        <f t="shared" si="53"/>
        <v>52.295927140035445</v>
      </c>
      <c r="P190" s="64">
        <f t="shared" si="54"/>
        <v>37.704072859964555</v>
      </c>
      <c r="Q190" s="65">
        <f t="shared" si="42"/>
        <v>83.680095993611701</v>
      </c>
      <c r="R190" s="64">
        <f t="shared" si="55"/>
        <v>62.809615064244561</v>
      </c>
      <c r="S190" s="59">
        <f t="shared" si="56"/>
        <v>27.190384935755439</v>
      </c>
      <c r="T190" s="58">
        <f t="shared" si="43"/>
        <v>105.64799310762446</v>
      </c>
      <c r="U190" s="69"/>
    </row>
    <row r="191" spans="1:35" s="54" customFormat="1" x14ac:dyDescent="0.2">
      <c r="A191" s="63">
        <v>60</v>
      </c>
      <c r="B191" s="62">
        <f t="shared" si="44"/>
        <v>1.0471975511965976</v>
      </c>
      <c r="C191" s="60">
        <f t="shared" si="45"/>
        <v>79.739592979490382</v>
      </c>
      <c r="D191" s="60">
        <f t="shared" si="46"/>
        <v>10.260407020509618</v>
      </c>
      <c r="E191" s="61">
        <f t="shared" si="38"/>
        <v>126.15633413880917</v>
      </c>
      <c r="F191" s="60">
        <f t="shared" si="47"/>
        <v>72.092019358769178</v>
      </c>
      <c r="G191" s="60">
        <f t="shared" si="48"/>
        <v>17.907980641230822</v>
      </c>
      <c r="H191" s="61">
        <f t="shared" si="39"/>
        <v>116.984550808503</v>
      </c>
      <c r="I191" s="60">
        <f t="shared" si="49"/>
        <v>64.911095537522598</v>
      </c>
      <c r="J191" s="60">
        <f t="shared" si="50"/>
        <v>25.088904462477402</v>
      </c>
      <c r="K191" s="61">
        <f t="shared" si="40"/>
        <v>107.01144033520333</v>
      </c>
      <c r="L191" s="60">
        <f t="shared" si="51"/>
        <v>58.475456173681614</v>
      </c>
      <c r="M191" s="60">
        <f t="shared" si="52"/>
        <v>31.524543826318386</v>
      </c>
      <c r="N191" s="61">
        <f t="shared" si="41"/>
        <v>95.864410799578479</v>
      </c>
      <c r="O191" s="60">
        <f t="shared" si="53"/>
        <v>53.138440417164254</v>
      </c>
      <c r="P191" s="60">
        <f t="shared" si="54"/>
        <v>36.861559582835746</v>
      </c>
      <c r="Q191" s="61">
        <f t="shared" si="42"/>
        <v>83.223794400118152</v>
      </c>
      <c r="R191" s="60">
        <f t="shared" si="55"/>
        <v>63.627501246522598</v>
      </c>
      <c r="S191" s="59">
        <f t="shared" si="56"/>
        <v>26.372498753477402</v>
      </c>
      <c r="T191" s="58">
        <f t="shared" si="43"/>
        <v>105.00492488651548</v>
      </c>
      <c r="U191" s="70"/>
      <c r="V191" s="56">
        <f>E191</f>
        <v>126.15633413880917</v>
      </c>
      <c r="W191" s="55"/>
      <c r="AI191" s="55">
        <f>D191</f>
        <v>10.260407020509618</v>
      </c>
    </row>
    <row r="192" spans="1:35" x14ac:dyDescent="0.2">
      <c r="A192" s="67">
        <v>61</v>
      </c>
      <c r="B192" s="66">
        <f t="shared" si="44"/>
        <v>1.064650843716541</v>
      </c>
      <c r="C192" s="64">
        <f t="shared" si="45"/>
        <v>80.427000718823919</v>
      </c>
      <c r="D192" s="64">
        <f t="shared" si="46"/>
        <v>9.5729992811760809</v>
      </c>
      <c r="E192" s="65">
        <f t="shared" si="38"/>
        <v>125.53957580381513</v>
      </c>
      <c r="F192" s="64">
        <f t="shared" si="47"/>
        <v>72.84991096944961</v>
      </c>
      <c r="G192" s="64">
        <f t="shared" si="48"/>
        <v>17.15008903055039</v>
      </c>
      <c r="H192" s="65">
        <f t="shared" si="39"/>
        <v>116.33443421838034</v>
      </c>
      <c r="I192" s="64">
        <f t="shared" si="49"/>
        <v>65.723414162779946</v>
      </c>
      <c r="J192" s="64">
        <f t="shared" si="50"/>
        <v>24.276585837220054</v>
      </c>
      <c r="K192" s="65">
        <f t="shared" si="40"/>
        <v>106.3695730666827</v>
      </c>
      <c r="L192" s="64">
        <f t="shared" si="51"/>
        <v>59.31949070131612</v>
      </c>
      <c r="M192" s="64">
        <f t="shared" si="52"/>
        <v>30.68050929868388</v>
      </c>
      <c r="N192" s="65">
        <f t="shared" si="41"/>
        <v>95.284780918856626</v>
      </c>
      <c r="O192" s="64">
        <f t="shared" si="53"/>
        <v>53.980159297379245</v>
      </c>
      <c r="P192" s="64">
        <f t="shared" si="54"/>
        <v>36.019840702620755</v>
      </c>
      <c r="Q192" s="65">
        <f t="shared" si="42"/>
        <v>82.770209466119411</v>
      </c>
      <c r="R192" s="64">
        <f t="shared" si="55"/>
        <v>64.447835718546003</v>
      </c>
      <c r="S192" s="59">
        <f t="shared" si="56"/>
        <v>25.552164281453997</v>
      </c>
      <c r="T192" s="58">
        <f t="shared" si="43"/>
        <v>104.37029630797623</v>
      </c>
      <c r="U192" s="69"/>
      <c r="V192" s="53">
        <f>H191</f>
        <v>116.984550808503</v>
      </c>
      <c r="AI192" s="50">
        <f>G191</f>
        <v>17.907980641230822</v>
      </c>
    </row>
    <row r="193" spans="1:36" x14ac:dyDescent="0.2">
      <c r="A193" s="67">
        <v>62</v>
      </c>
      <c r="B193" s="66">
        <f t="shared" si="44"/>
        <v>1.0821041362364843</v>
      </c>
      <c r="C193" s="64">
        <f t="shared" si="45"/>
        <v>81.119683146240959</v>
      </c>
      <c r="D193" s="64">
        <f t="shared" si="46"/>
        <v>8.8803168537590409</v>
      </c>
      <c r="E193" s="65">
        <f t="shared" si="38"/>
        <v>124.93016858352479</v>
      </c>
      <c r="F193" s="64">
        <f t="shared" si="47"/>
        <v>73.612044705347216</v>
      </c>
      <c r="G193" s="64">
        <f t="shared" si="48"/>
        <v>16.387955294652784</v>
      </c>
      <c r="H193" s="65">
        <f t="shared" si="39"/>
        <v>115.69242815490257</v>
      </c>
      <c r="I193" s="64">
        <f t="shared" si="49"/>
        <v>66.538393431487478</v>
      </c>
      <c r="J193" s="64">
        <f t="shared" si="50"/>
        <v>23.461606568512522</v>
      </c>
      <c r="K193" s="65">
        <f t="shared" si="40"/>
        <v>105.7358760987082</v>
      </c>
      <c r="L193" s="64">
        <f t="shared" si="51"/>
        <v>60.164311122621896</v>
      </c>
      <c r="M193" s="64">
        <f t="shared" si="52"/>
        <v>29.835688877378104</v>
      </c>
      <c r="N193" s="65">
        <f t="shared" si="41"/>
        <v>94.71174791537986</v>
      </c>
      <c r="O193" s="64">
        <f t="shared" si="53"/>
        <v>54.821035660477406</v>
      </c>
      <c r="P193" s="64">
        <f t="shared" si="54"/>
        <v>35.178964339522594</v>
      </c>
      <c r="Q193" s="65">
        <f t="shared" si="42"/>
        <v>82.319059042956425</v>
      </c>
      <c r="R193" s="64">
        <f t="shared" si="55"/>
        <v>65.270486907765161</v>
      </c>
      <c r="S193" s="59">
        <f t="shared" si="56"/>
        <v>24.729513092234839</v>
      </c>
      <c r="T193" s="58">
        <f t="shared" si="43"/>
        <v>103.7436988209605</v>
      </c>
      <c r="U193" s="69"/>
      <c r="V193" s="53">
        <f>K191</f>
        <v>107.01144033520333</v>
      </c>
      <c r="AI193" s="50">
        <f>J191</f>
        <v>25.088904462477402</v>
      </c>
    </row>
    <row r="194" spans="1:36" x14ac:dyDescent="0.2">
      <c r="A194" s="67">
        <v>63</v>
      </c>
      <c r="B194" s="66">
        <f t="shared" si="44"/>
        <v>1.0995574287564276</v>
      </c>
      <c r="C194" s="64">
        <f t="shared" si="45"/>
        <v>81.817499831272386</v>
      </c>
      <c r="D194" s="64">
        <f t="shared" si="46"/>
        <v>8.1825001687276142</v>
      </c>
      <c r="E194" s="65">
        <f t="shared" si="38"/>
        <v>124.32794613418696</v>
      </c>
      <c r="F194" s="64">
        <f t="shared" si="47"/>
        <v>74.378273121098331</v>
      </c>
      <c r="G194" s="64">
        <f t="shared" si="48"/>
        <v>15.621726878901669</v>
      </c>
      <c r="H194" s="65">
        <f t="shared" si="39"/>
        <v>115.05825316904985</v>
      </c>
      <c r="I194" s="64">
        <f t="shared" si="49"/>
        <v>67.355900970735263</v>
      </c>
      <c r="J194" s="64">
        <f t="shared" si="50"/>
        <v>22.644099029264737</v>
      </c>
      <c r="K194" s="65">
        <f t="shared" si="40"/>
        <v>105.10996770126138</v>
      </c>
      <c r="L194" s="64">
        <f t="shared" si="51"/>
        <v>61.009824665135838</v>
      </c>
      <c r="M194" s="64">
        <f t="shared" si="52"/>
        <v>28.990175334864162</v>
      </c>
      <c r="N194" s="65">
        <f t="shared" si="41"/>
        <v>94.144903193900859</v>
      </c>
      <c r="O194" s="64">
        <f t="shared" si="53"/>
        <v>55.661021773192907</v>
      </c>
      <c r="P194" s="64">
        <f t="shared" si="54"/>
        <v>34.338978226807093</v>
      </c>
      <c r="Q194" s="65">
        <f t="shared" si="42"/>
        <v>81.870073878802003</v>
      </c>
      <c r="R194" s="64">
        <f t="shared" si="55"/>
        <v>66.095328240981374</v>
      </c>
      <c r="S194" s="59">
        <f t="shared" si="56"/>
        <v>23.904671759018626</v>
      </c>
      <c r="T194" s="58">
        <f t="shared" si="43"/>
        <v>103.12473714013272</v>
      </c>
      <c r="U194" s="69"/>
      <c r="V194" s="53">
        <f>N191</f>
        <v>95.864410799578479</v>
      </c>
      <c r="AI194" s="50">
        <f>M191</f>
        <v>31.524543826318386</v>
      </c>
    </row>
    <row r="195" spans="1:36" x14ac:dyDescent="0.2">
      <c r="A195" s="67">
        <v>64</v>
      </c>
      <c r="B195" s="66">
        <f t="shared" si="44"/>
        <v>1.1170107212763709</v>
      </c>
      <c r="C195" s="64">
        <f t="shared" si="45"/>
        <v>82.520313943280897</v>
      </c>
      <c r="D195" s="64">
        <f t="shared" si="46"/>
        <v>7.4796860567191032</v>
      </c>
      <c r="E195" s="65">
        <f t="shared" ref="E195:E251" si="57">DEGREES(ACOS((SIN(RADIANS(D195))*SIN($C$6)-SIN(C$5))/(COS(RADIANS(D195))*COS($C$6))))</f>
        <v>123.73274243362353</v>
      </c>
      <c r="F195" s="64">
        <f t="shared" si="47"/>
        <v>75.148453532377033</v>
      </c>
      <c r="G195" s="64">
        <f t="shared" si="48"/>
        <v>14.851546467622967</v>
      </c>
      <c r="H195" s="65">
        <f t="shared" ref="H195:H251" si="58">DEGREES(ACOS((SIN(RADIANS(G195))*SIN($C$6)-SIN(G$5))/(COS(RADIANS(G195))*COS($C$6))))</f>
        <v>114.43163427487063</v>
      </c>
      <c r="I195" s="64">
        <f t="shared" si="49"/>
        <v>68.175809272056526</v>
      </c>
      <c r="J195" s="64">
        <f t="shared" si="50"/>
        <v>21.824190727943474</v>
      </c>
      <c r="K195" s="65">
        <f t="shared" ref="K195:K251" si="59">DEGREES(ACOS((SIN(RADIANS(J195))*SIN($C$6)-SIN(J$5))/(COS(RADIANS(J195))*COS($C$6))))</f>
        <v>104.49147740695399</v>
      </c>
      <c r="L195" s="64">
        <f t="shared" si="51"/>
        <v>61.855941700401168</v>
      </c>
      <c r="M195" s="64">
        <f t="shared" si="52"/>
        <v>28.144058299598832</v>
      </c>
      <c r="N195" s="65">
        <f t="shared" ref="N195:N251" si="60">DEGREES(ACOS((SIN(RADIANS(M195))*SIN($C$6)-SIN(M$5))/(COS(RADIANS(M195))*COS($C$6))))</f>
        <v>93.583854848272324</v>
      </c>
      <c r="O195" s="64">
        <f t="shared" si="53"/>
        <v>56.500070185857155</v>
      </c>
      <c r="P195" s="64">
        <f t="shared" si="54"/>
        <v>33.499929814142845</v>
      </c>
      <c r="Q195" s="65">
        <f t="shared" ref="Q195:Q251" si="61">DEGREES(ACOS((SIN(RADIANS(P195))*SIN($C$6)-SIN(P$5))/(COS(RADIANS(P195))*COS($C$6))))</f>
        <v>81.422996554688211</v>
      </c>
      <c r="R195" s="64">
        <f t="shared" si="55"/>
        <v>66.922237835290673</v>
      </c>
      <c r="S195" s="59">
        <f t="shared" si="56"/>
        <v>23.077762164709327</v>
      </c>
      <c r="T195" s="58">
        <f t="shared" ref="T195:T251" si="62">DEGREES(ACOS((SIN(RADIANS(S195))*SIN($C$6)-SIN(S$5))/(COS(RADIANS(S195))*COS($C$6))))</f>
        <v>102.51302859229497</v>
      </c>
      <c r="U195" s="69"/>
      <c r="V195" s="53">
        <f>Q191</f>
        <v>83.223794400118152</v>
      </c>
      <c r="AI195" s="50">
        <f>P191</f>
        <v>36.861559582835746</v>
      </c>
    </row>
    <row r="196" spans="1:36" x14ac:dyDescent="0.2">
      <c r="A196" s="67">
        <v>65</v>
      </c>
      <c r="B196" s="66">
        <f t="shared" si="44"/>
        <v>1.1344640137963142</v>
      </c>
      <c r="C196" s="64">
        <f t="shared" si="45"/>
        <v>83.227992179105271</v>
      </c>
      <c r="D196" s="64">
        <f t="shared" si="46"/>
        <v>6.7720078208947285</v>
      </c>
      <c r="E196" s="65">
        <f t="shared" si="57"/>
        <v>123.14439192822853</v>
      </c>
      <c r="F196" s="64">
        <f t="shared" si="47"/>
        <v>75.922447830831572</v>
      </c>
      <c r="G196" s="64">
        <f t="shared" si="48"/>
        <v>14.077552169168428</v>
      </c>
      <c r="H196" s="65">
        <f t="shared" si="58"/>
        <v>113.81230090911271</v>
      </c>
      <c r="I196" s="64">
        <f t="shared" si="49"/>
        <v>68.997995406935701</v>
      </c>
      <c r="J196" s="64">
        <f t="shared" si="50"/>
        <v>21.002004593064299</v>
      </c>
      <c r="K196" s="65">
        <f t="shared" si="59"/>
        <v>103.88004549347018</v>
      </c>
      <c r="L196" s="64">
        <f t="shared" si="51"/>
        <v>62.702575480844551</v>
      </c>
      <c r="M196" s="64">
        <f t="shared" si="52"/>
        <v>27.297424519155449</v>
      </c>
      <c r="N196" s="65">
        <f t="shared" si="60"/>
        <v>93.028226548506424</v>
      </c>
      <c r="O196" s="64">
        <f t="shared" si="53"/>
        <v>57.338133635520926</v>
      </c>
      <c r="P196" s="64">
        <f t="shared" si="54"/>
        <v>32.661866364479074</v>
      </c>
      <c r="Q196" s="65">
        <f t="shared" si="61"/>
        <v>80.97758051050765</v>
      </c>
      <c r="R196" s="64">
        <f t="shared" si="55"/>
        <v>67.751098205029905</v>
      </c>
      <c r="S196" s="59">
        <f t="shared" si="56"/>
        <v>22.248901794970095</v>
      </c>
      <c r="T196" s="58">
        <f t="shared" si="62"/>
        <v>101.90820247957204</v>
      </c>
      <c r="U196" s="69"/>
    </row>
    <row r="197" spans="1:36" x14ac:dyDescent="0.2">
      <c r="A197" s="67">
        <v>66</v>
      </c>
      <c r="B197" s="66">
        <f t="shared" si="44"/>
        <v>1.1519173063162575</v>
      </c>
      <c r="C197" s="64">
        <f t="shared" si="45"/>
        <v>83.940404688776027</v>
      </c>
      <c r="D197" s="64">
        <f t="shared" si="46"/>
        <v>6.0595953112239727</v>
      </c>
      <c r="E197" s="65">
        <f t="shared" si="57"/>
        <v>122.56272966177184</v>
      </c>
      <c r="F197" s="64">
        <f t="shared" si="47"/>
        <v>76.700122303024514</v>
      </c>
      <c r="G197" s="64">
        <f t="shared" si="48"/>
        <v>13.299877696975486</v>
      </c>
      <c r="H197" s="65">
        <f t="shared" si="58"/>
        <v>113.19998687063806</v>
      </c>
      <c r="I197" s="64">
        <f t="shared" si="49"/>
        <v>69.822340755803197</v>
      </c>
      <c r="J197" s="64">
        <f t="shared" si="50"/>
        <v>20.177659244196803</v>
      </c>
      <c r="K197" s="65">
        <f t="shared" si="59"/>
        <v>103.27532247340335</v>
      </c>
      <c r="L197" s="64">
        <f t="shared" si="51"/>
        <v>63.549641893577267</v>
      </c>
      <c r="M197" s="64">
        <f t="shared" si="52"/>
        <v>26.450358106422733</v>
      </c>
      <c r="N197" s="65">
        <f t="shared" si="60"/>
        <v>92.477656496840623</v>
      </c>
      <c r="O197" s="64">
        <f t="shared" si="53"/>
        <v>58.175164954789828</v>
      </c>
      <c r="P197" s="64">
        <f t="shared" si="54"/>
        <v>31.824835045210172</v>
      </c>
      <c r="Q197" s="65">
        <f t="shared" si="61"/>
        <v>80.53358915198632</v>
      </c>
      <c r="R197" s="64">
        <f t="shared" si="55"/>
        <v>68.581795983756621</v>
      </c>
      <c r="S197" s="59">
        <f t="shared" si="56"/>
        <v>21.418204016243379</v>
      </c>
      <c r="T197" s="58">
        <f t="shared" si="62"/>
        <v>101.30989945995179</v>
      </c>
      <c r="U197" s="69"/>
    </row>
    <row r="198" spans="1:36" x14ac:dyDescent="0.2">
      <c r="A198" s="67">
        <v>67</v>
      </c>
      <c r="B198" s="66">
        <f t="shared" si="44"/>
        <v>1.1693705988362009</v>
      </c>
      <c r="C198" s="64">
        <f t="shared" si="45"/>
        <v>84.657424999685063</v>
      </c>
      <c r="D198" s="64">
        <f t="shared" si="46"/>
        <v>5.3425750003149375</v>
      </c>
      <c r="E198" s="65">
        <f t="shared" si="57"/>
        <v>121.98759138699415</v>
      </c>
      <c r="F198" s="64">
        <f t="shared" si="47"/>
        <v>77.481347453512626</v>
      </c>
      <c r="G198" s="64">
        <f t="shared" si="48"/>
        <v>12.518652546487374</v>
      </c>
      <c r="H198" s="65">
        <f t="shared" si="58"/>
        <v>112.59443024167221</v>
      </c>
      <c r="I198" s="64">
        <f t="shared" si="49"/>
        <v>70.648730749785216</v>
      </c>
      <c r="J198" s="64">
        <f t="shared" si="50"/>
        <v>19.351269250214784</v>
      </c>
      <c r="K198" s="65">
        <f t="shared" si="59"/>
        <v>102.67696859255658</v>
      </c>
      <c r="L198" s="64">
        <f t="shared" si="51"/>
        <v>64.397059229636696</v>
      </c>
      <c r="M198" s="64">
        <f t="shared" si="52"/>
        <v>25.602940770363304</v>
      </c>
      <c r="N198" s="65">
        <f t="shared" si="60"/>
        <v>91.931796447948571</v>
      </c>
      <c r="O198" s="64">
        <f t="shared" si="53"/>
        <v>59.011116985705733</v>
      </c>
      <c r="P198" s="64">
        <f t="shared" si="54"/>
        <v>30.988883014294267</v>
      </c>
      <c r="Q198" s="65">
        <f t="shared" si="61"/>
        <v>80.090795030628172</v>
      </c>
      <c r="R198" s="64">
        <f t="shared" si="55"/>
        <v>69.414221660330625</v>
      </c>
      <c r="S198" s="59">
        <f t="shared" si="56"/>
        <v>20.585778339669375</v>
      </c>
      <c r="T198" s="58">
        <f t="shared" si="62"/>
        <v>100.71777094551348</v>
      </c>
      <c r="U198" s="69"/>
    </row>
    <row r="199" spans="1:36" x14ac:dyDescent="0.2">
      <c r="A199" s="67">
        <v>68</v>
      </c>
      <c r="B199" s="66">
        <f t="shared" si="44"/>
        <v>1.1868238913561442</v>
      </c>
      <c r="C199" s="64">
        <f t="shared" si="45"/>
        <v>85.378929939557125</v>
      </c>
      <c r="D199" s="64">
        <f t="shared" si="46"/>
        <v>4.6210700604428752</v>
      </c>
      <c r="E199" s="65">
        <f t="shared" si="57"/>
        <v>121.41881366093673</v>
      </c>
      <c r="F199" s="64">
        <f t="shared" si="47"/>
        <v>78.265997832156785</v>
      </c>
      <c r="G199" s="64">
        <f t="shared" si="48"/>
        <v>11.734002167843215</v>
      </c>
      <c r="H199" s="65">
        <f t="shared" si="58"/>
        <v>111.99537329273784</v>
      </c>
      <c r="I199" s="64">
        <f t="shared" si="49"/>
        <v>71.477054624493078</v>
      </c>
      <c r="J199" s="64">
        <f t="shared" si="50"/>
        <v>18.522945375506922</v>
      </c>
      <c r="K199" s="65">
        <f t="shared" si="59"/>
        <v>102.08465333750816</v>
      </c>
      <c r="L199" s="64">
        <f t="shared" si="51"/>
        <v>65.244747967309223</v>
      </c>
      <c r="M199" s="64">
        <f t="shared" si="52"/>
        <v>24.755252032690777</v>
      </c>
      <c r="N199" s="65">
        <f t="shared" si="60"/>
        <v>91.390310788744188</v>
      </c>
      <c r="O199" s="64">
        <f t="shared" si="53"/>
        <v>59.845942498078479</v>
      </c>
      <c r="P199" s="64">
        <f t="shared" si="54"/>
        <v>30.154057501921521</v>
      </c>
      <c r="Q199" s="65">
        <f t="shared" si="61"/>
        <v>79.64897908951248</v>
      </c>
      <c r="R199" s="64">
        <f t="shared" si="55"/>
        <v>70.248269328203321</v>
      </c>
      <c r="S199" s="59">
        <f t="shared" si="56"/>
        <v>19.751730671796679</v>
      </c>
      <c r="T199" s="58">
        <f t="shared" si="62"/>
        <v>100.13147851845464</v>
      </c>
      <c r="U199" s="69"/>
    </row>
    <row r="200" spans="1:36" x14ac:dyDescent="0.2">
      <c r="A200" s="67">
        <v>69</v>
      </c>
      <c r="B200" s="66">
        <f t="shared" si="44"/>
        <v>1.2042771838760873</v>
      </c>
      <c r="C200" s="64">
        <f t="shared" si="45"/>
        <v>86.104799558537692</v>
      </c>
      <c r="D200" s="64">
        <f t="shared" si="46"/>
        <v>3.8952004414623076</v>
      </c>
      <c r="E200" s="65">
        <f t="shared" si="57"/>
        <v>120.85623392490719</v>
      </c>
      <c r="F200" s="64">
        <f t="shared" si="47"/>
        <v>79.053951865710957</v>
      </c>
      <c r="G200" s="64">
        <f t="shared" si="48"/>
        <v>10.946048134289043</v>
      </c>
      <c r="H200" s="65">
        <f t="shared" si="58"/>
        <v>111.40256237293512</v>
      </c>
      <c r="I200" s="64">
        <f t="shared" si="49"/>
        <v>72.307205185155325</v>
      </c>
      <c r="J200" s="64">
        <f t="shared" si="50"/>
        <v>17.692794814844675</v>
      </c>
      <c r="K200" s="65">
        <f t="shared" si="59"/>
        <v>101.49805495301463</v>
      </c>
      <c r="L200" s="64">
        <f t="shared" si="51"/>
        <v>66.092630568288286</v>
      </c>
      <c r="M200" s="64">
        <f t="shared" si="52"/>
        <v>23.907369431711714</v>
      </c>
      <c r="N200" s="65">
        <f t="shared" si="60"/>
        <v>90.852875673523855</v>
      </c>
      <c r="O200" s="64">
        <f t="shared" si="53"/>
        <v>60.679594111734502</v>
      </c>
      <c r="P200" s="64">
        <f t="shared" si="54"/>
        <v>29.320405888265498</v>
      </c>
      <c r="Q200" s="65">
        <f t="shared" si="61"/>
        <v>79.207929968600837</v>
      </c>
      <c r="R200" s="64">
        <f t="shared" si="55"/>
        <v>71.08383644705934</v>
      </c>
      <c r="S200" s="59">
        <f t="shared" si="56"/>
        <v>18.91616355294066</v>
      </c>
      <c r="T200" s="58">
        <f t="shared" si="62"/>
        <v>99.550693364843283</v>
      </c>
      <c r="U200" s="69"/>
    </row>
    <row r="201" spans="1:36" x14ac:dyDescent="0.2">
      <c r="A201" s="67">
        <v>70</v>
      </c>
      <c r="B201" s="66">
        <f t="shared" si="44"/>
        <v>1.2217304763960306</v>
      </c>
      <c r="C201" s="64">
        <f t="shared" si="45"/>
        <v>86.834917050680815</v>
      </c>
      <c r="D201" s="64">
        <f t="shared" si="46"/>
        <v>3.165082949319185</v>
      </c>
      <c r="E201" s="65">
        <f t="shared" si="57"/>
        <v>120.29969056993468</v>
      </c>
      <c r="F201" s="64">
        <f t="shared" si="47"/>
        <v>79.845091693704404</v>
      </c>
      <c r="G201" s="64">
        <f t="shared" si="48"/>
        <v>10.154908306295596</v>
      </c>
      <c r="H201" s="65">
        <f t="shared" si="58"/>
        <v>110.815747787055</v>
      </c>
      <c r="I201" s="64">
        <f t="shared" si="49"/>
        <v>73.139078582415664</v>
      </c>
      <c r="J201" s="64">
        <f t="shared" si="50"/>
        <v>16.860921417584336</v>
      </c>
      <c r="K201" s="65">
        <f t="shared" si="59"/>
        <v>100.91685996962721</v>
      </c>
      <c r="L201" s="64">
        <f t="shared" si="51"/>
        <v>66.940631285524461</v>
      </c>
      <c r="M201" s="64">
        <f t="shared" si="52"/>
        <v>23.059368714475539</v>
      </c>
      <c r="N201" s="65">
        <f t="shared" si="60"/>
        <v>90.319178210473041</v>
      </c>
      <c r="O201" s="64">
        <f t="shared" si="53"/>
        <v>61.512024222204104</v>
      </c>
      <c r="P201" s="64">
        <f t="shared" si="54"/>
        <v>28.487975777795896</v>
      </c>
      <c r="Q201" s="65">
        <f t="shared" si="61"/>
        <v>78.767443363892525</v>
      </c>
      <c r="R201" s="64">
        <f t="shared" si="55"/>
        <v>71.920823615992205</v>
      </c>
      <c r="S201" s="59">
        <f t="shared" si="56"/>
        <v>18.079176384007795</v>
      </c>
      <c r="T201" s="58">
        <f t="shared" si="62"/>
        <v>98.975095725869636</v>
      </c>
      <c r="U201" s="69"/>
    </row>
    <row r="202" spans="1:36" x14ac:dyDescent="0.2">
      <c r="A202" s="67">
        <v>71</v>
      </c>
      <c r="B202" s="66">
        <f t="shared" ref="B202:B251" si="63">RADIANS(A202)</f>
        <v>1.2391837689159739</v>
      </c>
      <c r="C202" s="64">
        <f t="shared" ref="C202:C251" si="64">DEGREES(ACOS(SIN(C$5)*SIN($C$6)+COS(C$5)*COS($C$6)*COS($B202)))</f>
        <v>87.569168675091404</v>
      </c>
      <c r="D202" s="64">
        <f t="shared" ref="D202:D251" si="65">90-C202</f>
        <v>2.4308313249085955</v>
      </c>
      <c r="E202" s="65">
        <f t="shared" si="57"/>
        <v>119.74902298852072</v>
      </c>
      <c r="F202" s="64">
        <f t="shared" ref="F202:F251" si="66">DEGREES(ACOS(SIN(G$5)*SIN($C$6)+COS(G$5)*COS($C$6)*COS($B202)))</f>
        <v>80.639303008598816</v>
      </c>
      <c r="G202" s="64">
        <f t="shared" ref="G202:G251" si="67">90-F202</f>
        <v>9.3606969914011842</v>
      </c>
      <c r="H202" s="65">
        <f t="shared" si="58"/>
        <v>110.23468366084802</v>
      </c>
      <c r="I202" s="64">
        <f t="shared" ref="I202:I251" si="68">DEGREES(ACOS(SIN(J$5)*SIN($C$6)+COS(J$5)*COS($C$6)*COS($B202)))</f>
        <v>73.97257409814172</v>
      </c>
      <c r="J202" s="64">
        <f t="shared" ref="J202:J251" si="69">90-I202</f>
        <v>16.02742590185828</v>
      </c>
      <c r="K202" s="65">
        <f t="shared" si="59"/>
        <v>100.34076274172889</v>
      </c>
      <c r="L202" s="64">
        <f t="shared" ref="L202:L251" si="70">DEGREES(ACOS(SIN(M$5)*SIN($C$6)+COS(M$5)*COS($C$6)*COS($B202)))</f>
        <v>67.788675981717006</v>
      </c>
      <c r="M202" s="64">
        <f t="shared" ref="M202:M251" si="71">90-L202</f>
        <v>22.211324018282994</v>
      </c>
      <c r="N202" s="65">
        <f t="shared" si="60"/>
        <v>89.788915695832173</v>
      </c>
      <c r="O202" s="64">
        <f t="shared" ref="O202:O251" si="72">DEGREES(ACOS(SIN(P$5)*SIN($C$6)+COS(P$5)*COS($C$6)*COS($B202)))</f>
        <v>62.343184929417092</v>
      </c>
      <c r="P202" s="64">
        <f t="shared" ref="P202:P251" si="73">90-O202</f>
        <v>27.656815070582908</v>
      </c>
      <c r="Q202" s="65">
        <f t="shared" si="61"/>
        <v>78.327321435370678</v>
      </c>
      <c r="R202" s="64">
        <f t="shared" ref="R202:R251" si="74">DEGREES(ACOS(SIN(S$5)*SIN($C$6)+COS(S$5)*COS($C$6)*COS($B202)))</f>
        <v>72.759134357433467</v>
      </c>
      <c r="S202" s="59">
        <f t="shared" ref="S202:S251" si="75">90-R202</f>
        <v>17.240865642566533</v>
      </c>
      <c r="T202" s="58">
        <f t="shared" si="62"/>
        <v>98.404374366246671</v>
      </c>
      <c r="U202" s="69"/>
    </row>
    <row r="203" spans="1:36" x14ac:dyDescent="0.2">
      <c r="A203" s="67">
        <v>72</v>
      </c>
      <c r="B203" s="66">
        <f t="shared" si="63"/>
        <v>1.2566370614359172</v>
      </c>
      <c r="C203" s="64">
        <f t="shared" si="64"/>
        <v>88.307443676949717</v>
      </c>
      <c r="D203" s="64">
        <f t="shared" si="65"/>
        <v>1.6925563230502831</v>
      </c>
      <c r="E203" s="65">
        <f t="shared" si="57"/>
        <v>119.20407161344143</v>
      </c>
      <c r="F203" s="64">
        <f t="shared" si="66"/>
        <v>81.436474900175838</v>
      </c>
      <c r="G203" s="64">
        <f t="shared" si="67"/>
        <v>8.5635250998241617</v>
      </c>
      <c r="H203" s="65">
        <f t="shared" si="58"/>
        <v>109.65912779561714</v>
      </c>
      <c r="I203" s="64">
        <f t="shared" si="68"/>
        <v>74.807593940611142</v>
      </c>
      <c r="J203" s="64">
        <f t="shared" si="69"/>
        <v>15.192406059388858</v>
      </c>
      <c r="K203" s="65">
        <f t="shared" si="59"/>
        <v>99.769464996056485</v>
      </c>
      <c r="L203" s="64">
        <f t="shared" si="70"/>
        <v>68.636691957481148</v>
      </c>
      <c r="M203" s="64">
        <f t="shared" si="71"/>
        <v>21.363308042518852</v>
      </c>
      <c r="N203" s="65">
        <f t="shared" si="60"/>
        <v>89.261794892268455</v>
      </c>
      <c r="O203" s="64">
        <f t="shared" si="72"/>
        <v>63.173027969019202</v>
      </c>
      <c r="P203" s="64">
        <f t="shared" si="73"/>
        <v>26.826972030980798</v>
      </c>
      <c r="Q203" s="65">
        <f t="shared" si="61"/>
        <v>77.887372259214317</v>
      </c>
      <c r="R203" s="64">
        <f t="shared" si="74"/>
        <v>73.598674911090797</v>
      </c>
      <c r="S203" s="59">
        <f t="shared" si="75"/>
        <v>16.401325088909203</v>
      </c>
      <c r="T203" s="58">
        <f t="shared" si="62"/>
        <v>97.838226059307146</v>
      </c>
      <c r="U203" s="69"/>
    </row>
    <row r="204" spans="1:36" x14ac:dyDescent="0.2">
      <c r="A204" s="67">
        <v>73</v>
      </c>
      <c r="B204" s="66">
        <f t="shared" si="63"/>
        <v>1.2740903539558606</v>
      </c>
      <c r="C204" s="64">
        <f t="shared" si="64"/>
        <v>89.049634208619551</v>
      </c>
      <c r="D204" s="64">
        <f t="shared" si="65"/>
        <v>0.95036579138044885</v>
      </c>
      <c r="E204" s="65">
        <f t="shared" si="57"/>
        <v>118.66467794430757</v>
      </c>
      <c r="F204" s="64">
        <f t="shared" si="66"/>
        <v>82.236499704085503</v>
      </c>
      <c r="G204" s="64">
        <f t="shared" si="67"/>
        <v>7.763500295914497</v>
      </c>
      <c r="H204" s="65">
        <f t="shared" si="58"/>
        <v>109.08884151316185</v>
      </c>
      <c r="I204" s="64">
        <f t="shared" si="68"/>
        <v>75.644043048463942</v>
      </c>
      <c r="J204" s="64">
        <f t="shared" si="69"/>
        <v>14.355956951536058</v>
      </c>
      <c r="K204" s="65">
        <f t="shared" si="59"/>
        <v>99.202675390650427</v>
      </c>
      <c r="L204" s="64">
        <f t="shared" si="70"/>
        <v>69.484607788301545</v>
      </c>
      <c r="M204" s="64">
        <f t="shared" si="71"/>
        <v>20.515392211698455</v>
      </c>
      <c r="N204" s="65">
        <f t="shared" si="60"/>
        <v>88.737531348238221</v>
      </c>
      <c r="O204" s="64">
        <f t="shared" si="72"/>
        <v>64.001504645958704</v>
      </c>
      <c r="P204" s="64">
        <f t="shared" si="73"/>
        <v>25.998495354041296</v>
      </c>
      <c r="Q204" s="65">
        <f t="shared" si="61"/>
        <v>77.447409320224395</v>
      </c>
      <c r="R204" s="64">
        <f t="shared" si="74"/>
        <v>74.439354037185382</v>
      </c>
      <c r="S204" s="59">
        <f t="shared" si="75"/>
        <v>15.560645962814618</v>
      </c>
      <c r="T204" s="58">
        <f t="shared" si="62"/>
        <v>97.276355088263017</v>
      </c>
      <c r="U204" s="68"/>
    </row>
    <row r="205" spans="1:36" x14ac:dyDescent="0.2">
      <c r="A205" s="67">
        <v>74</v>
      </c>
      <c r="B205" s="66">
        <f t="shared" si="63"/>
        <v>1.2915436464758039</v>
      </c>
      <c r="C205" s="64">
        <f t="shared" si="64"/>
        <v>89.79563525101905</v>
      </c>
      <c r="D205" s="64">
        <f t="shared" si="65"/>
        <v>0.20436474898095014</v>
      </c>
      <c r="E205" s="65">
        <f t="shared" si="57"/>
        <v>118.13068456253747</v>
      </c>
      <c r="F205" s="64">
        <f t="shared" si="66"/>
        <v>83.039272854466049</v>
      </c>
      <c r="G205" s="64">
        <f t="shared" si="67"/>
        <v>6.9607271455339514</v>
      </c>
      <c r="H205" s="65">
        <f t="shared" si="58"/>
        <v>108.52358949196656</v>
      </c>
      <c r="I205" s="64">
        <f t="shared" si="68"/>
        <v>76.481828902832376</v>
      </c>
      <c r="J205" s="64">
        <f t="shared" si="69"/>
        <v>13.518171097167624</v>
      </c>
      <c r="K205" s="65">
        <f t="shared" si="59"/>
        <v>98.640109084071483</v>
      </c>
      <c r="L205" s="64">
        <f t="shared" si="70"/>
        <v>70.332353169451892</v>
      </c>
      <c r="M205" s="64">
        <f t="shared" si="71"/>
        <v>19.667646830548108</v>
      </c>
      <c r="N205" s="65">
        <f t="shared" si="60"/>
        <v>88.215848755347551</v>
      </c>
      <c r="O205" s="64">
        <f t="shared" si="72"/>
        <v>64.828565770026373</v>
      </c>
      <c r="P205" s="64">
        <f t="shared" si="73"/>
        <v>25.171434229973627</v>
      </c>
      <c r="Q205" s="65">
        <f t="shared" si="61"/>
        <v>77.007251040830013</v>
      </c>
      <c r="R205" s="64">
        <f t="shared" si="74"/>
        <v>75.281082828313018</v>
      </c>
      <c r="S205" s="59">
        <f t="shared" si="75"/>
        <v>14.718917171686982</v>
      </c>
      <c r="T205" s="58">
        <f t="shared" si="62"/>
        <v>96.718472763028004</v>
      </c>
      <c r="U205" s="66"/>
    </row>
    <row r="206" spans="1:36" s="54" customFormat="1" x14ac:dyDescent="0.2">
      <c r="A206" s="63">
        <v>75</v>
      </c>
      <c r="B206" s="62">
        <f t="shared" si="63"/>
        <v>1.3089969389957472</v>
      </c>
      <c r="C206" s="60">
        <f t="shared" si="64"/>
        <v>90.545344535410322</v>
      </c>
      <c r="D206" s="60">
        <f t="shared" si="65"/>
        <v>-0.54534453541032235</v>
      </c>
      <c r="E206" s="61">
        <f t="shared" si="57"/>
        <v>117.60193513534711</v>
      </c>
      <c r="F206" s="60">
        <f t="shared" si="66"/>
        <v>83.844692740526611</v>
      </c>
      <c r="G206" s="60">
        <f t="shared" si="67"/>
        <v>6.1553072594733891</v>
      </c>
      <c r="H206" s="61">
        <f t="shared" si="58"/>
        <v>107.96313959540366</v>
      </c>
      <c r="I206" s="60">
        <f t="shared" si="68"/>
        <v>77.320861347080907</v>
      </c>
      <c r="J206" s="60">
        <f t="shared" si="69"/>
        <v>12.679138652919093</v>
      </c>
      <c r="K206" s="61">
        <f t="shared" si="59"/>
        <v>98.081487314637457</v>
      </c>
      <c r="L206" s="60">
        <f t="shared" si="70"/>
        <v>71.179858768123239</v>
      </c>
      <c r="M206" s="60">
        <f t="shared" si="71"/>
        <v>18.820141231876761</v>
      </c>
      <c r="N206" s="61">
        <f t="shared" si="60"/>
        <v>87.696478340927868</v>
      </c>
      <c r="O206" s="60">
        <f t="shared" si="72"/>
        <v>65.654161593060337</v>
      </c>
      <c r="P206" s="60">
        <f t="shared" si="73"/>
        <v>24.345838406939663</v>
      </c>
      <c r="Q206" s="61">
        <f t="shared" si="61"/>
        <v>76.566720343415298</v>
      </c>
      <c r="R206" s="60">
        <f t="shared" si="74"/>
        <v>76.123774529284447</v>
      </c>
      <c r="S206" s="59">
        <f t="shared" si="75"/>
        <v>13.876225470715553</v>
      </c>
      <c r="T206" s="58">
        <f t="shared" si="62"/>
        <v>96.16429695195356</v>
      </c>
      <c r="U206" s="62"/>
      <c r="V206" s="56">
        <f>E206</f>
        <v>117.60193513534711</v>
      </c>
      <c r="W206" s="55"/>
      <c r="AJ206" s="55">
        <f>D206</f>
        <v>-0.54534453541032235</v>
      </c>
    </row>
    <row r="207" spans="1:36" x14ac:dyDescent="0.2">
      <c r="A207" s="67">
        <v>76</v>
      </c>
      <c r="B207" s="66">
        <f t="shared" si="63"/>
        <v>1.3264502315156905</v>
      </c>
      <c r="C207" s="64">
        <f t="shared" si="64"/>
        <v>91.298662465744201</v>
      </c>
      <c r="D207" s="64">
        <f t="shared" si="65"/>
        <v>-1.2986624657442007</v>
      </c>
      <c r="E207" s="65">
        <f t="shared" si="57"/>
        <v>117.07827440931055</v>
      </c>
      <c r="F207" s="64">
        <f t="shared" si="66"/>
        <v>84.652660566969416</v>
      </c>
      <c r="G207" s="64">
        <f t="shared" si="67"/>
        <v>5.3473394330305837</v>
      </c>
      <c r="H207" s="65">
        <f t="shared" si="58"/>
        <v>107.4072626926058</v>
      </c>
      <c r="I207" s="64">
        <f t="shared" si="68"/>
        <v>78.161052413610378</v>
      </c>
      <c r="J207" s="64">
        <f t="shared" si="69"/>
        <v>11.838947586389622</v>
      </c>
      <c r="K207" s="65">
        <f t="shared" si="59"/>
        <v>97.526536989359784</v>
      </c>
      <c r="L207" s="64">
        <f t="shared" si="70"/>
        <v>72.02705608206081</v>
      </c>
      <c r="M207" s="64">
        <f t="shared" si="71"/>
        <v>17.97294391793919</v>
      </c>
      <c r="N207" s="65">
        <f t="shared" si="60"/>
        <v>87.179158293238018</v>
      </c>
      <c r="O207" s="64">
        <f t="shared" si="72"/>
        <v>66.478241747554208</v>
      </c>
      <c r="P207" s="64">
        <f t="shared" si="73"/>
        <v>23.521758252445792</v>
      </c>
      <c r="Q207" s="65">
        <f t="shared" si="61"/>
        <v>76.12564424303747</v>
      </c>
      <c r="R207" s="64">
        <f t="shared" si="74"/>
        <v>76.967344364331609</v>
      </c>
      <c r="S207" s="59">
        <f t="shared" si="75"/>
        <v>13.032655635668391</v>
      </c>
      <c r="T207" s="58">
        <f t="shared" si="62"/>
        <v>95.613551627789903</v>
      </c>
      <c r="U207" s="66"/>
      <c r="V207" s="53">
        <f>H206</f>
        <v>107.96313959540366</v>
      </c>
      <c r="AJ207" s="50">
        <f>G206</f>
        <v>6.1553072594733891</v>
      </c>
    </row>
    <row r="208" spans="1:36" x14ac:dyDescent="0.2">
      <c r="A208" s="67">
        <v>77</v>
      </c>
      <c r="B208" s="66">
        <f t="shared" si="63"/>
        <v>1.3439035240356338</v>
      </c>
      <c r="C208" s="64">
        <f t="shared" si="64"/>
        <v>92.055492041677169</v>
      </c>
      <c r="D208" s="64">
        <f t="shared" si="65"/>
        <v>-2.0554920416771694</v>
      </c>
      <c r="E208" s="65">
        <f t="shared" si="57"/>
        <v>116.5595481939929</v>
      </c>
      <c r="F208" s="64">
        <f t="shared" si="66"/>
        <v>85.463080218113546</v>
      </c>
      <c r="G208" s="64">
        <f t="shared" si="67"/>
        <v>4.5369197818864535</v>
      </c>
      <c r="H208" s="65">
        <f t="shared" si="58"/>
        <v>106.85573247255505</v>
      </c>
      <c r="I208" s="64">
        <f t="shared" si="68"/>
        <v>79.002316157200838</v>
      </c>
      <c r="J208" s="64">
        <f t="shared" si="69"/>
        <v>10.997683842799162</v>
      </c>
      <c r="K208" s="65">
        <f t="shared" si="59"/>
        <v>96.974990282198689</v>
      </c>
      <c r="L208" s="64">
        <f t="shared" si="70"/>
        <v>72.873877304060116</v>
      </c>
      <c r="M208" s="64">
        <f t="shared" si="71"/>
        <v>17.126122695939884</v>
      </c>
      <c r="N208" s="65">
        <f t="shared" si="60"/>
        <v>86.663633216887746</v>
      </c>
      <c r="O208" s="64">
        <f t="shared" si="72"/>
        <v>67.3007551864292</v>
      </c>
      <c r="P208" s="64">
        <f t="shared" si="73"/>
        <v>22.6992448135708</v>
      </c>
      <c r="Q208" s="65">
        <f t="shared" si="61"/>
        <v>75.683853467904754</v>
      </c>
      <c r="R208" s="64">
        <f t="shared" si="74"/>
        <v>77.811709371094707</v>
      </c>
      <c r="S208" s="59">
        <f t="shared" si="75"/>
        <v>12.188290628905293</v>
      </c>
      <c r="T208" s="58">
        <f t="shared" si="62"/>
        <v>95.065966427153995</v>
      </c>
      <c r="U208" s="66"/>
      <c r="V208" s="53">
        <f>K206</f>
        <v>98.081487314637457</v>
      </c>
      <c r="AJ208" s="50">
        <f>J206</f>
        <v>12.679138652919093</v>
      </c>
    </row>
    <row r="209" spans="1:37" x14ac:dyDescent="0.2">
      <c r="A209" s="67">
        <v>78</v>
      </c>
      <c r="B209" s="66">
        <f t="shared" si="63"/>
        <v>1.3613568165555769</v>
      </c>
      <c r="C209" s="64">
        <f t="shared" si="64"/>
        <v>92.81573878236064</v>
      </c>
      <c r="D209" s="64">
        <f t="shared" si="65"/>
        <v>-2.8157387823606399</v>
      </c>
      <c r="E209" s="65">
        <f t="shared" si="57"/>
        <v>116.04560333610711</v>
      </c>
      <c r="F209" s="64">
        <f t="shared" si="66"/>
        <v>86.275858125570949</v>
      </c>
      <c r="G209" s="64">
        <f t="shared" si="67"/>
        <v>3.7241418744290513</v>
      </c>
      <c r="H209" s="65">
        <f t="shared" si="58"/>
        <v>106.30832525183571</v>
      </c>
      <c r="I209" s="64">
        <f t="shared" si="68"/>
        <v>79.844568494387019</v>
      </c>
      <c r="J209" s="64">
        <f t="shared" si="69"/>
        <v>10.155431505612981</v>
      </c>
      <c r="K209" s="65">
        <f t="shared" si="59"/>
        <v>96.426584241205546</v>
      </c>
      <c r="L209" s="64">
        <f t="shared" si="70"/>
        <v>73.720255191720213</v>
      </c>
      <c r="M209" s="64">
        <f t="shared" si="71"/>
        <v>16.279744808279787</v>
      </c>
      <c r="N209" s="65">
        <f t="shared" si="60"/>
        <v>86.149653616246383</v>
      </c>
      <c r="O209" s="64">
        <f t="shared" si="72"/>
        <v>68.121650123752076</v>
      </c>
      <c r="P209" s="64">
        <f t="shared" si="73"/>
        <v>21.878349876247924</v>
      </c>
      <c r="Q209" s="65">
        <f t="shared" si="61"/>
        <v>75.241182105246253</v>
      </c>
      <c r="R209" s="64">
        <f t="shared" si="74"/>
        <v>78.656788240831915</v>
      </c>
      <c r="S209" s="59">
        <f t="shared" si="75"/>
        <v>11.343211759168085</v>
      </c>
      <c r="T209" s="58">
        <f t="shared" si="62"/>
        <v>94.521276222767426</v>
      </c>
      <c r="U209" s="66"/>
      <c r="V209" s="53">
        <f>N206</f>
        <v>87.696478340927868</v>
      </c>
      <c r="AJ209" s="50">
        <f>M206</f>
        <v>18.820141231876761</v>
      </c>
    </row>
    <row r="210" spans="1:37" x14ac:dyDescent="0.2">
      <c r="A210" s="67">
        <v>79</v>
      </c>
      <c r="B210" s="66">
        <f t="shared" si="63"/>
        <v>1.3788101090755203</v>
      </c>
      <c r="C210" s="64">
        <f t="shared" si="64"/>
        <v>93.579310651085891</v>
      </c>
      <c r="D210" s="64">
        <f t="shared" si="65"/>
        <v>-3.5793106510858905</v>
      </c>
      <c r="E210" s="65">
        <f t="shared" si="57"/>
        <v>115.53628768459593</v>
      </c>
      <c r="F210" s="64">
        <f t="shared" si="66"/>
        <v>87.09090313931469</v>
      </c>
      <c r="G210" s="64">
        <f t="shared" si="67"/>
        <v>2.9090968606853096</v>
      </c>
      <c r="H210" s="65">
        <f t="shared" si="58"/>
        <v>105.76481977640448</v>
      </c>
      <c r="I210" s="64">
        <f t="shared" si="68"/>
        <v>80.687727048378875</v>
      </c>
      <c r="J210" s="64">
        <f t="shared" si="69"/>
        <v>9.3122729516211251</v>
      </c>
      <c r="K210" s="65">
        <f t="shared" si="59"/>
        <v>95.881060404078369</v>
      </c>
      <c r="L210" s="64">
        <f t="shared" si="70"/>
        <v>74.56612294189388</v>
      </c>
      <c r="M210" s="64">
        <f t="shared" si="71"/>
        <v>15.43387705810612</v>
      </c>
      <c r="N210" s="65">
        <f t="shared" si="60"/>
        <v>85.636975404760349</v>
      </c>
      <c r="O210" s="64">
        <f t="shared" si="72"/>
        <v>68.940873976198461</v>
      </c>
      <c r="P210" s="64">
        <f t="shared" si="73"/>
        <v>21.059126023801539</v>
      </c>
      <c r="Q210" s="65">
        <f t="shared" si="61"/>
        <v>74.797467270444017</v>
      </c>
      <c r="R210" s="64">
        <f t="shared" si="74"/>
        <v>79.502501164318659</v>
      </c>
      <c r="S210" s="59">
        <f t="shared" si="75"/>
        <v>10.497498835681341</v>
      </c>
      <c r="T210" s="58">
        <f t="shared" si="62"/>
        <v>93.979220707712457</v>
      </c>
      <c r="U210" s="66"/>
      <c r="V210" s="53">
        <f>Q206</f>
        <v>76.566720343415298</v>
      </c>
      <c r="AJ210" s="50">
        <f>P206</f>
        <v>24.345838406939663</v>
      </c>
    </row>
    <row r="211" spans="1:37" x14ac:dyDescent="0.2">
      <c r="A211" s="67">
        <v>80</v>
      </c>
      <c r="B211" s="66">
        <f t="shared" si="63"/>
        <v>1.3962634015954636</v>
      </c>
      <c r="C211" s="64">
        <f t="shared" si="64"/>
        <v>94.346117980853222</v>
      </c>
      <c r="D211" s="64">
        <f t="shared" si="65"/>
        <v>-4.3461179808532222</v>
      </c>
      <c r="E211" s="65">
        <f t="shared" si="57"/>
        <v>115.03145004698978</v>
      </c>
      <c r="F211" s="64">
        <f t="shared" si="66"/>
        <v>87.908126401970222</v>
      </c>
      <c r="G211" s="64">
        <f t="shared" si="67"/>
        <v>2.0918735980297782</v>
      </c>
      <c r="H211" s="65">
        <f t="shared" si="58"/>
        <v>105.22499701764309</v>
      </c>
      <c r="I211" s="64">
        <f t="shared" si="68"/>
        <v>81.531710999057253</v>
      </c>
      <c r="J211" s="64">
        <f t="shared" si="69"/>
        <v>8.4682890009427467</v>
      </c>
      <c r="K211" s="65">
        <f t="shared" si="59"/>
        <v>95.338164421622807</v>
      </c>
      <c r="L211" s="64">
        <f t="shared" si="70"/>
        <v>75.411414069312798</v>
      </c>
      <c r="M211" s="64">
        <f t="shared" si="71"/>
        <v>14.588585930687202</v>
      </c>
      <c r="N211" s="65">
        <f t="shared" si="60"/>
        <v>85.12535943824976</v>
      </c>
      <c r="O211" s="64">
        <f t="shared" si="72"/>
        <v>69.758373305078393</v>
      </c>
      <c r="P211" s="64">
        <f t="shared" si="73"/>
        <v>20.241626694921607</v>
      </c>
      <c r="Q211" s="65">
        <f t="shared" si="61"/>
        <v>74.352548797510167</v>
      </c>
      <c r="R211" s="64">
        <f t="shared" si="74"/>
        <v>80.348769682926857</v>
      </c>
      <c r="S211" s="59">
        <f t="shared" si="75"/>
        <v>9.6512303170731428</v>
      </c>
      <c r="T211" s="58">
        <f t="shared" si="62"/>
        <v>93.439543990947115</v>
      </c>
      <c r="U211" s="66"/>
    </row>
    <row r="212" spans="1:37" x14ac:dyDescent="0.2">
      <c r="A212" s="67">
        <v>81</v>
      </c>
      <c r="B212" s="66">
        <f t="shared" si="63"/>
        <v>1.4137166941154069</v>
      </c>
      <c r="C212" s="64">
        <f t="shared" si="64"/>
        <v>95.116073400920826</v>
      </c>
      <c r="D212" s="64">
        <f t="shared" si="65"/>
        <v>-5.1160734009208255</v>
      </c>
      <c r="E212" s="65">
        <f t="shared" si="57"/>
        <v>114.53094013734035</v>
      </c>
      <c r="F212" s="64">
        <f t="shared" si="66"/>
        <v>88.727441226152479</v>
      </c>
      <c r="G212" s="64">
        <f t="shared" si="67"/>
        <v>1.2725587738475213</v>
      </c>
      <c r="H212" s="65">
        <f t="shared" si="58"/>
        <v>104.6886399628759</v>
      </c>
      <c r="I212" s="64">
        <f t="shared" si="68"/>
        <v>82.376440937591099</v>
      </c>
      <c r="J212" s="64">
        <f t="shared" si="69"/>
        <v>7.6235590624089014</v>
      </c>
      <c r="K212" s="65">
        <f t="shared" si="59"/>
        <v>94.797645688581369</v>
      </c>
      <c r="L212" s="64">
        <f t="shared" si="70"/>
        <v>76.256062288899983</v>
      </c>
      <c r="M212" s="64">
        <f t="shared" si="71"/>
        <v>13.743937711100017</v>
      </c>
      <c r="N212" s="65">
        <f t="shared" si="60"/>
        <v>84.614571070393211</v>
      </c>
      <c r="O212" s="64">
        <f t="shared" si="72"/>
        <v>70.574093758754486</v>
      </c>
      <c r="P212" s="64">
        <f t="shared" si="73"/>
        <v>19.425906241245514</v>
      </c>
      <c r="Q212" s="65">
        <f t="shared" si="61"/>
        <v>73.906268949184295</v>
      </c>
      <c r="R212" s="64">
        <f t="shared" si="74"/>
        <v>81.1955165443959</v>
      </c>
      <c r="S212" s="59">
        <f t="shared" si="75"/>
        <v>8.8044834556040996</v>
      </c>
      <c r="T212" s="58">
        <f t="shared" si="62"/>
        <v>92.90199420331723</v>
      </c>
      <c r="U212" s="66"/>
    </row>
    <row r="213" spans="1:37" x14ac:dyDescent="0.2">
      <c r="A213" s="67">
        <v>82</v>
      </c>
      <c r="B213" s="66">
        <f t="shared" si="63"/>
        <v>1.4311699866353502</v>
      </c>
      <c r="C213" s="64">
        <f t="shared" si="64"/>
        <v>95.889091764374427</v>
      </c>
      <c r="D213" s="64">
        <f t="shared" si="65"/>
        <v>-5.8890917643744274</v>
      </c>
      <c r="E213" s="65">
        <f t="shared" si="57"/>
        <v>114.03460851598227</v>
      </c>
      <c r="F213" s="64">
        <f t="shared" si="66"/>
        <v>89.548762974664186</v>
      </c>
      <c r="G213" s="64">
        <f t="shared" si="67"/>
        <v>0.45123702533581422</v>
      </c>
      <c r="H213" s="65">
        <f t="shared" si="58"/>
        <v>104.15553340045693</v>
      </c>
      <c r="I213" s="64">
        <f t="shared" si="68"/>
        <v>83.221838725237404</v>
      </c>
      <c r="J213" s="64">
        <f t="shared" si="69"/>
        <v>6.7781612747625957</v>
      </c>
      <c r="K213" s="65">
        <f t="shared" si="59"/>
        <v>94.259256981272429</v>
      </c>
      <c r="L213" s="64">
        <f t="shared" si="70"/>
        <v>77.100001401313293</v>
      </c>
      <c r="M213" s="64">
        <f t="shared" si="71"/>
        <v>12.899998598686707</v>
      </c>
      <c r="N213" s="65">
        <f t="shared" si="60"/>
        <v>84.10437972873747</v>
      </c>
      <c r="O213" s="64">
        <f t="shared" si="72"/>
        <v>71.387980015298027</v>
      </c>
      <c r="P213" s="64">
        <f t="shared" si="73"/>
        <v>18.612019984701973</v>
      </c>
      <c r="Q213" s="65">
        <f t="shared" si="61"/>
        <v>73.458472145097957</v>
      </c>
      <c r="R213" s="64">
        <f t="shared" si="74"/>
        <v>82.042665562827253</v>
      </c>
      <c r="S213" s="59">
        <f t="shared" si="75"/>
        <v>7.9573344371727472</v>
      </c>
      <c r="T213" s="58">
        <f t="shared" si="62"/>
        <v>92.366323113303778</v>
      </c>
      <c r="U213" s="66"/>
    </row>
    <row r="214" spans="1:37" x14ac:dyDescent="0.2">
      <c r="A214" s="67">
        <v>83</v>
      </c>
      <c r="B214" s="66">
        <f t="shared" si="63"/>
        <v>1.4486232791552935</v>
      </c>
      <c r="C214" s="64">
        <f t="shared" si="64"/>
        <v>96.665090076748925</v>
      </c>
      <c r="D214" s="64">
        <f t="shared" si="65"/>
        <v>-6.6650900767489247</v>
      </c>
      <c r="E214" s="65">
        <f t="shared" si="57"/>
        <v>113.5423065213226</v>
      </c>
      <c r="F214" s="64">
        <f t="shared" si="66"/>
        <v>90.372008943364307</v>
      </c>
      <c r="G214" s="64">
        <f t="shared" si="67"/>
        <v>-0.37200894336430679</v>
      </c>
      <c r="H214" s="65">
        <f t="shared" si="58"/>
        <v>103.62546369945612</v>
      </c>
      <c r="I214" s="64">
        <f t="shared" si="68"/>
        <v>84.067827355899468</v>
      </c>
      <c r="J214" s="64">
        <f t="shared" si="69"/>
        <v>5.9321726441005325</v>
      </c>
      <c r="K214" s="65">
        <f t="shared" si="59"/>
        <v>93.722754101460438</v>
      </c>
      <c r="L214" s="64">
        <f t="shared" si="70"/>
        <v>77.943165181291675</v>
      </c>
      <c r="M214" s="64">
        <f t="shared" si="71"/>
        <v>12.056834818708325</v>
      </c>
      <c r="N214" s="65">
        <f t="shared" si="60"/>
        <v>83.594558509688838</v>
      </c>
      <c r="O214" s="64">
        <f t="shared" si="72"/>
        <v>72.199975725238517</v>
      </c>
      <c r="P214" s="64">
        <f t="shared" si="73"/>
        <v>17.800024274761483</v>
      </c>
      <c r="Q214" s="65">
        <f t="shared" si="61"/>
        <v>73.009004706611606</v>
      </c>
      <c r="R214" s="64">
        <f t="shared" si="74"/>
        <v>82.89014148245252</v>
      </c>
      <c r="S214" s="59">
        <f t="shared" si="75"/>
        <v>7.1098585175474796</v>
      </c>
      <c r="T214" s="58">
        <f t="shared" si="62"/>
        <v>91.832285751747662</v>
      </c>
      <c r="U214" s="66"/>
    </row>
    <row r="215" spans="1:37" x14ac:dyDescent="0.2">
      <c r="A215" s="67">
        <v>84</v>
      </c>
      <c r="B215" s="66">
        <f t="shared" si="63"/>
        <v>1.4660765716752369</v>
      </c>
      <c r="C215" s="64">
        <f t="shared" si="64"/>
        <v>97.44398742572028</v>
      </c>
      <c r="D215" s="64">
        <f t="shared" si="65"/>
        <v>-7.4439874257202803</v>
      </c>
      <c r="E215" s="65">
        <f t="shared" si="57"/>
        <v>113.05388619381017</v>
      </c>
      <c r="F215" s="64">
        <f t="shared" si="66"/>
        <v>91.197098246509114</v>
      </c>
      <c r="G215" s="64">
        <f t="shared" si="67"/>
        <v>-1.197098246509114</v>
      </c>
      <c r="H215" s="65">
        <f t="shared" si="58"/>
        <v>103.09821858390414</v>
      </c>
      <c r="I215" s="64">
        <f t="shared" si="68"/>
        <v>84.914330822031559</v>
      </c>
      <c r="J215" s="64">
        <f t="shared" si="69"/>
        <v>5.0856691779684411</v>
      </c>
      <c r="K215" s="65">
        <f t="shared" si="59"/>
        <v>93.187895525864946</v>
      </c>
      <c r="L215" s="64">
        <f t="shared" si="70"/>
        <v>78.785487268401013</v>
      </c>
      <c r="M215" s="64">
        <f t="shared" si="71"/>
        <v>11.214512731598987</v>
      </c>
      <c r="N215" s="65">
        <f t="shared" si="60"/>
        <v>83.084883791055091</v>
      </c>
      <c r="O215" s="64">
        <f t="shared" si="72"/>
        <v>73.010023454274801</v>
      </c>
      <c r="P215" s="64">
        <f t="shared" si="73"/>
        <v>16.989976545725199</v>
      </c>
      <c r="Q215" s="65">
        <f t="shared" si="61"/>
        <v>72.55771461706864</v>
      </c>
      <c r="R215" s="64">
        <f t="shared" si="74"/>
        <v>83.737869844741695</v>
      </c>
      <c r="S215" s="59">
        <f t="shared" si="75"/>
        <v>6.2621301552583049</v>
      </c>
      <c r="T215" s="58">
        <f t="shared" si="62"/>
        <v>91.299640044799901</v>
      </c>
      <c r="U215" s="66"/>
    </row>
    <row r="216" spans="1:37" x14ac:dyDescent="0.2">
      <c r="A216" s="67">
        <v>85</v>
      </c>
      <c r="B216" s="66">
        <f t="shared" si="63"/>
        <v>1.4835298641951802</v>
      </c>
      <c r="C216" s="64">
        <f t="shared" si="64"/>
        <v>98.22570491187733</v>
      </c>
      <c r="D216" s="64">
        <f t="shared" si="65"/>
        <v>-8.2257049118773296</v>
      </c>
      <c r="E216" s="65">
        <f t="shared" si="57"/>
        <v>112.56920019218553</v>
      </c>
      <c r="F216" s="64">
        <f t="shared" si="66"/>
        <v>92.023951704363</v>
      </c>
      <c r="G216" s="64">
        <f t="shared" si="67"/>
        <v>-2.0239517043630002</v>
      </c>
      <c r="H216" s="65">
        <f t="shared" si="58"/>
        <v>102.57358690148675</v>
      </c>
      <c r="I216" s="64">
        <f t="shared" si="68"/>
        <v>85.761273983489104</v>
      </c>
      <c r="J216" s="64">
        <f t="shared" si="69"/>
        <v>4.2387260165108955</v>
      </c>
      <c r="K216" s="65">
        <f t="shared" si="59"/>
        <v>92.654442060703971</v>
      </c>
      <c r="L216" s="64">
        <f t="shared" si="70"/>
        <v>79.626901059799991</v>
      </c>
      <c r="M216" s="64">
        <f t="shared" si="71"/>
        <v>10.373098940200009</v>
      </c>
      <c r="N216" s="65">
        <f t="shared" si="60"/>
        <v>82.57513486081065</v>
      </c>
      <c r="O216" s="64">
        <f t="shared" si="72"/>
        <v>73.818064625824888</v>
      </c>
      <c r="P216" s="64">
        <f t="shared" si="73"/>
        <v>16.181935374175112</v>
      </c>
      <c r="Q216" s="65">
        <f t="shared" si="61"/>
        <v>72.10445129634229</v>
      </c>
      <c r="R216" s="64">
        <f t="shared" si="74"/>
        <v>84.585776858432723</v>
      </c>
      <c r="S216" s="59">
        <f t="shared" si="75"/>
        <v>5.4142231415672768</v>
      </c>
      <c r="T216" s="58">
        <f t="shared" si="62"/>
        <v>90.768146454354024</v>
      </c>
      <c r="U216" s="66"/>
    </row>
    <row r="217" spans="1:37" x14ac:dyDescent="0.2">
      <c r="A217" s="67">
        <v>86</v>
      </c>
      <c r="B217" s="66">
        <f t="shared" si="63"/>
        <v>1.5009831567151235</v>
      </c>
      <c r="C217" s="64">
        <f t="shared" si="64"/>
        <v>99.010165580572689</v>
      </c>
      <c r="D217" s="64">
        <f t="shared" si="65"/>
        <v>-9.0101655805726892</v>
      </c>
      <c r="E217" s="65">
        <f t="shared" si="57"/>
        <v>112.08810170206183</v>
      </c>
      <c r="F217" s="64">
        <f t="shared" si="66"/>
        <v>92.852491732870135</v>
      </c>
      <c r="G217" s="64">
        <f t="shared" si="67"/>
        <v>-2.8524917328701349</v>
      </c>
      <c r="H217" s="65">
        <f t="shared" si="58"/>
        <v>102.05135838651402</v>
      </c>
      <c r="I217" s="64">
        <f t="shared" si="68"/>
        <v>86.608582438934462</v>
      </c>
      <c r="J217" s="64">
        <f t="shared" si="69"/>
        <v>3.3914175610655377</v>
      </c>
      <c r="K217" s="65">
        <f t="shared" si="59"/>
        <v>92.122156500657908</v>
      </c>
      <c r="L217" s="64">
        <f t="shared" si="70"/>
        <v>80.467339604665938</v>
      </c>
      <c r="M217" s="64">
        <f t="shared" si="71"/>
        <v>9.5326603953340623</v>
      </c>
      <c r="N217" s="65">
        <f t="shared" si="60"/>
        <v>82.065093560856866</v>
      </c>
      <c r="O217" s="64">
        <f t="shared" si="72"/>
        <v>74.624039463301401</v>
      </c>
      <c r="P217" s="64">
        <f t="shared" si="73"/>
        <v>15.375960536698599</v>
      </c>
      <c r="Q217" s="65">
        <f t="shared" si="61"/>
        <v>71.649065388667054</v>
      </c>
      <c r="R217" s="64">
        <f t="shared" si="74"/>
        <v>85.433789272077362</v>
      </c>
      <c r="S217" s="59">
        <f t="shared" si="75"/>
        <v>4.5662107279226376</v>
      </c>
      <c r="T217" s="58">
        <f t="shared" si="62"/>
        <v>90.237567625225978</v>
      </c>
      <c r="U217" s="66"/>
    </row>
    <row r="218" spans="1:37" x14ac:dyDescent="0.2">
      <c r="A218" s="67">
        <v>87</v>
      </c>
      <c r="B218" s="66">
        <f t="shared" si="63"/>
        <v>1.5184364492350666</v>
      </c>
      <c r="C218" s="64">
        <f t="shared" si="64"/>
        <v>99.797294354843075</v>
      </c>
      <c r="D218" s="64">
        <f t="shared" si="65"/>
        <v>-9.7972943548430749</v>
      </c>
      <c r="E218" s="65">
        <f t="shared" si="57"/>
        <v>111.61044433683655</v>
      </c>
      <c r="F218" s="64">
        <f t="shared" si="66"/>
        <v>93.68264223517258</v>
      </c>
      <c r="G218" s="64">
        <f t="shared" si="67"/>
        <v>-3.6826422351725796</v>
      </c>
      <c r="H218" s="65">
        <f t="shared" si="58"/>
        <v>101.53132341692604</v>
      </c>
      <c r="I218" s="64">
        <f t="shared" si="68"/>
        <v>87.456182399416434</v>
      </c>
      <c r="J218" s="64">
        <f t="shared" si="69"/>
        <v>2.5438176005835658</v>
      </c>
      <c r="K218" s="65">
        <f t="shared" si="59"/>
        <v>91.590803291633421</v>
      </c>
      <c r="L218" s="64">
        <f t="shared" si="70"/>
        <v>81.30673549994026</v>
      </c>
      <c r="M218" s="64">
        <f t="shared" si="71"/>
        <v>8.6932645000597404</v>
      </c>
      <c r="N218" s="65">
        <f t="shared" si="60"/>
        <v>81.554543944639818</v>
      </c>
      <c r="O218" s="64">
        <f t="shared" si="72"/>
        <v>75.427886932007766</v>
      </c>
      <c r="P218" s="64">
        <f t="shared" si="73"/>
        <v>14.572113067992234</v>
      </c>
      <c r="Q218" s="65">
        <f t="shared" si="61"/>
        <v>71.191408562855486</v>
      </c>
      <c r="R218" s="64">
        <f t="shared" si="74"/>
        <v>86.281834248709984</v>
      </c>
      <c r="S218" s="59">
        <f t="shared" si="75"/>
        <v>3.7181657512900159</v>
      </c>
      <c r="T218" s="58">
        <f t="shared" si="62"/>
        <v>89.70766803835815</v>
      </c>
      <c r="U218" s="66"/>
    </row>
    <row r="219" spans="1:37" x14ac:dyDescent="0.2">
      <c r="A219" s="67">
        <v>88</v>
      </c>
      <c r="B219" s="66">
        <f t="shared" si="63"/>
        <v>1.5358897417550099</v>
      </c>
      <c r="C219" s="64">
        <f t="shared" si="64"/>
        <v>100.58701796938182</v>
      </c>
      <c r="D219" s="64">
        <f t="shared" si="65"/>
        <v>-10.587017969381819</v>
      </c>
      <c r="E219" s="65">
        <f t="shared" si="57"/>
        <v>111.1360820308805</v>
      </c>
      <c r="F219" s="64">
        <f t="shared" si="66"/>
        <v>94.514328494755276</v>
      </c>
      <c r="G219" s="64">
        <f t="shared" si="67"/>
        <v>-4.5143284947552758</v>
      </c>
      <c r="H219" s="65">
        <f t="shared" si="58"/>
        <v>101.01327276503329</v>
      </c>
      <c r="I219" s="64">
        <f t="shared" si="68"/>
        <v>88.304000563749781</v>
      </c>
      <c r="J219" s="64">
        <f t="shared" si="69"/>
        <v>1.6959994362502187</v>
      </c>
      <c r="K219" s="65">
        <f t="shared" si="59"/>
        <v>91.060148196700581</v>
      </c>
      <c r="L219" s="64">
        <f t="shared" si="70"/>
        <v>82.145020787068873</v>
      </c>
      <c r="M219" s="64">
        <f t="shared" si="71"/>
        <v>7.8549792129311271</v>
      </c>
      <c r="N219" s="65">
        <f t="shared" si="60"/>
        <v>81.043271947575548</v>
      </c>
      <c r="O219" s="64">
        <f t="shared" si="72"/>
        <v>76.229544680558647</v>
      </c>
      <c r="P219" s="64">
        <f t="shared" si="73"/>
        <v>13.770455319441353</v>
      </c>
      <c r="Q219" s="65">
        <f t="shared" si="61"/>
        <v>70.731333324098543</v>
      </c>
      <c r="R219" s="64">
        <f t="shared" si="74"/>
        <v>87.129839242256111</v>
      </c>
      <c r="S219" s="59">
        <f t="shared" si="75"/>
        <v>2.8701607577438892</v>
      </c>
      <c r="T219" s="58">
        <f t="shared" si="62"/>
        <v>89.178213669335548</v>
      </c>
      <c r="U219" s="66"/>
    </row>
    <row r="220" spans="1:37" x14ac:dyDescent="0.2">
      <c r="A220" s="67">
        <v>89</v>
      </c>
      <c r="B220" s="66">
        <f t="shared" si="63"/>
        <v>1.5533430342749532</v>
      </c>
      <c r="C220" s="64">
        <f t="shared" si="64"/>
        <v>101.37926490553717</v>
      </c>
      <c r="D220" s="64">
        <f t="shared" si="65"/>
        <v>-11.37926490553717</v>
      </c>
      <c r="E220" s="65">
        <f t="shared" si="57"/>
        <v>110.66486892489834</v>
      </c>
      <c r="F220" s="64">
        <f t="shared" si="66"/>
        <v>95.347477069991385</v>
      </c>
      <c r="G220" s="64">
        <f t="shared" si="67"/>
        <v>-5.3474770699913847</v>
      </c>
      <c r="H220" s="65">
        <f t="shared" si="58"/>
        <v>100.49699734162913</v>
      </c>
      <c r="I220" s="64">
        <f t="shared" si="68"/>
        <v>89.151963995326994</v>
      </c>
      <c r="J220" s="64">
        <f t="shared" si="69"/>
        <v>0.84803600467300555</v>
      </c>
      <c r="K220" s="65">
        <f t="shared" si="59"/>
        <v>90.529957964573427</v>
      </c>
      <c r="L220" s="64">
        <f t="shared" si="70"/>
        <v>82.982126849428624</v>
      </c>
      <c r="M220" s="64">
        <f t="shared" si="71"/>
        <v>7.0178731505713756</v>
      </c>
      <c r="N220" s="65">
        <f t="shared" si="60"/>
        <v>80.531065069314224</v>
      </c>
      <c r="O220" s="64">
        <f t="shared" si="72"/>
        <v>77.028948981735709</v>
      </c>
      <c r="P220" s="64">
        <f t="shared" si="73"/>
        <v>12.971051018264291</v>
      </c>
      <c r="Q220" s="65">
        <f t="shared" si="61"/>
        <v>70.268692836640199</v>
      </c>
      <c r="R220" s="64">
        <f t="shared" si="74"/>
        <v>87.977731875306475</v>
      </c>
      <c r="S220" s="59">
        <f t="shared" si="75"/>
        <v>2.0222681246935252</v>
      </c>
      <c r="T220" s="58">
        <f t="shared" si="62"/>
        <v>88.648971651514572</v>
      </c>
      <c r="U220" s="66"/>
    </row>
    <row r="221" spans="1:37" s="54" customFormat="1" x14ac:dyDescent="0.2">
      <c r="A221" s="63">
        <v>90</v>
      </c>
      <c r="B221" s="62">
        <f t="shared" si="63"/>
        <v>1.5707963267948966</v>
      </c>
      <c r="C221" s="60">
        <f t="shared" si="64"/>
        <v>102.17396532730339</v>
      </c>
      <c r="D221" s="60">
        <f t="shared" si="65"/>
        <v>-12.173965327303392</v>
      </c>
      <c r="E221" s="61">
        <f t="shared" si="57"/>
        <v>110.19665924329928</v>
      </c>
      <c r="F221" s="60">
        <f t="shared" si="66"/>
        <v>96.1820156898563</v>
      </c>
      <c r="G221" s="60">
        <f t="shared" si="67"/>
        <v>-6.1820156898562999</v>
      </c>
      <c r="H221" s="61">
        <f t="shared" si="58"/>
        <v>99.982287933048354</v>
      </c>
      <c r="I221" s="60">
        <f t="shared" si="68"/>
        <v>90</v>
      </c>
      <c r="J221" s="60">
        <f t="shared" si="69"/>
        <v>0</v>
      </c>
      <c r="K221" s="61">
        <f t="shared" si="59"/>
        <v>90</v>
      </c>
      <c r="L221" s="60">
        <f t="shared" si="70"/>
        <v>83.8179843101437</v>
      </c>
      <c r="M221" s="60">
        <f t="shared" si="71"/>
        <v>6.1820156898562999</v>
      </c>
      <c r="N221" s="61">
        <f t="shared" si="60"/>
        <v>80.017712066951646</v>
      </c>
      <c r="O221" s="60">
        <f t="shared" si="72"/>
        <v>77.826034672696608</v>
      </c>
      <c r="P221" s="60">
        <f t="shared" si="73"/>
        <v>12.173965327303392</v>
      </c>
      <c r="Q221" s="61">
        <f t="shared" si="61"/>
        <v>69.80334075670072</v>
      </c>
      <c r="R221" s="60">
        <f t="shared" si="74"/>
        <v>88.825439817890214</v>
      </c>
      <c r="S221" s="59">
        <f t="shared" si="75"/>
        <v>1.1745601821097864</v>
      </c>
      <c r="T221" s="58">
        <f t="shared" si="62"/>
        <v>88.119709943076757</v>
      </c>
      <c r="U221" s="62"/>
      <c r="V221" s="56">
        <f>E221</f>
        <v>110.19665924329928</v>
      </c>
      <c r="W221" s="55"/>
      <c r="AK221" s="55">
        <f>D221</f>
        <v>-12.173965327303392</v>
      </c>
    </row>
    <row r="222" spans="1:37" x14ac:dyDescent="0.2">
      <c r="A222" s="67">
        <v>91</v>
      </c>
      <c r="B222" s="66">
        <f t="shared" si="63"/>
        <v>1.5882496193148399</v>
      </c>
      <c r="C222" s="64">
        <f t="shared" si="64"/>
        <v>102.97105101826429</v>
      </c>
      <c r="D222" s="64">
        <f t="shared" si="65"/>
        <v>-12.971051018264291</v>
      </c>
      <c r="E222" s="65">
        <f t="shared" si="57"/>
        <v>109.7313071633598</v>
      </c>
      <c r="F222" s="64">
        <f t="shared" si="66"/>
        <v>97.017873150571376</v>
      </c>
      <c r="G222" s="64">
        <f t="shared" si="67"/>
        <v>-7.0178731505713756</v>
      </c>
      <c r="H222" s="65">
        <f t="shared" si="58"/>
        <v>99.468934930685776</v>
      </c>
      <c r="I222" s="64">
        <f t="shared" si="68"/>
        <v>90.848036004673006</v>
      </c>
      <c r="J222" s="64">
        <f t="shared" si="69"/>
        <v>-0.84803600467300555</v>
      </c>
      <c r="K222" s="65">
        <f t="shared" si="59"/>
        <v>89.470042035426559</v>
      </c>
      <c r="L222" s="64">
        <f t="shared" si="70"/>
        <v>84.652522930008615</v>
      </c>
      <c r="M222" s="64">
        <f t="shared" si="71"/>
        <v>5.3474770699913847</v>
      </c>
      <c r="N222" s="65">
        <f t="shared" si="60"/>
        <v>79.503002658370875</v>
      </c>
      <c r="O222" s="64">
        <f t="shared" si="72"/>
        <v>78.62073509446283</v>
      </c>
      <c r="P222" s="64">
        <f t="shared" si="73"/>
        <v>11.37926490553717</v>
      </c>
      <c r="Q222" s="65">
        <f t="shared" si="61"/>
        <v>69.335131075101657</v>
      </c>
      <c r="R222" s="64">
        <f t="shared" si="74"/>
        <v>89.672890666886275</v>
      </c>
      <c r="S222" s="59">
        <f t="shared" si="75"/>
        <v>0.32710933311372514</v>
      </c>
      <c r="T222" s="58">
        <f t="shared" si="62"/>
        <v>87.590196997334502</v>
      </c>
      <c r="U222" s="66"/>
      <c r="V222" s="53">
        <f>H221</f>
        <v>99.982287933048354</v>
      </c>
      <c r="AK222" s="50">
        <f>G221</f>
        <v>-6.1820156898562999</v>
      </c>
    </row>
    <row r="223" spans="1:37" x14ac:dyDescent="0.2">
      <c r="A223" s="67">
        <v>92</v>
      </c>
      <c r="B223" s="66">
        <f t="shared" si="63"/>
        <v>1.6057029118347832</v>
      </c>
      <c r="C223" s="64">
        <f t="shared" si="64"/>
        <v>103.77045531944135</v>
      </c>
      <c r="D223" s="64">
        <f t="shared" si="65"/>
        <v>-13.770455319441353</v>
      </c>
      <c r="E223" s="65">
        <f t="shared" si="57"/>
        <v>109.26866667590146</v>
      </c>
      <c r="F223" s="64">
        <f t="shared" si="66"/>
        <v>97.854979212931113</v>
      </c>
      <c r="G223" s="64">
        <f t="shared" si="67"/>
        <v>-7.8549792129311129</v>
      </c>
      <c r="H223" s="65">
        <f t="shared" si="58"/>
        <v>98.956728052424467</v>
      </c>
      <c r="I223" s="64">
        <f t="shared" si="68"/>
        <v>91.695999436250204</v>
      </c>
      <c r="J223" s="64">
        <f t="shared" si="69"/>
        <v>-1.6959994362502044</v>
      </c>
      <c r="K223" s="65">
        <f t="shared" si="59"/>
        <v>88.939851803299419</v>
      </c>
      <c r="L223" s="64">
        <f t="shared" si="70"/>
        <v>85.48567150524471</v>
      </c>
      <c r="M223" s="64">
        <f t="shared" si="71"/>
        <v>4.51432849475529</v>
      </c>
      <c r="N223" s="65">
        <f t="shared" si="60"/>
        <v>78.986727234966722</v>
      </c>
      <c r="O223" s="64">
        <f t="shared" si="72"/>
        <v>79.412982030618167</v>
      </c>
      <c r="P223" s="64">
        <f t="shared" si="73"/>
        <v>10.587017969381833</v>
      </c>
      <c r="Q223" s="65">
        <f t="shared" si="61"/>
        <v>68.863917969119498</v>
      </c>
      <c r="R223" s="64">
        <f t="shared" si="74"/>
        <v>90.520011825717376</v>
      </c>
      <c r="S223" s="59">
        <f t="shared" si="75"/>
        <v>-0.52001182571737559</v>
      </c>
      <c r="T223" s="58">
        <f t="shared" si="62"/>
        <v>87.060201435627931</v>
      </c>
      <c r="U223" s="66"/>
      <c r="V223" s="53">
        <f>K221</f>
        <v>90</v>
      </c>
      <c r="AK223" s="50">
        <f>J221</f>
        <v>0</v>
      </c>
    </row>
    <row r="224" spans="1:37" x14ac:dyDescent="0.2">
      <c r="A224" s="67">
        <v>93</v>
      </c>
      <c r="B224" s="66">
        <f t="shared" si="63"/>
        <v>1.6231562043547265</v>
      </c>
      <c r="C224" s="64">
        <f t="shared" si="64"/>
        <v>104.57211306799223</v>
      </c>
      <c r="D224" s="64">
        <f t="shared" si="65"/>
        <v>-14.572113067992234</v>
      </c>
      <c r="E224" s="65">
        <f t="shared" si="57"/>
        <v>108.80859143714451</v>
      </c>
      <c r="F224" s="64">
        <f t="shared" si="66"/>
        <v>98.693264500059726</v>
      </c>
      <c r="G224" s="64">
        <f t="shared" si="67"/>
        <v>-8.6932645000597262</v>
      </c>
      <c r="H224" s="65">
        <f t="shared" si="58"/>
        <v>98.445456055360197</v>
      </c>
      <c r="I224" s="64">
        <f t="shared" si="68"/>
        <v>92.543817600583552</v>
      </c>
      <c r="J224" s="64">
        <f t="shared" si="69"/>
        <v>-2.5438176005835516</v>
      </c>
      <c r="K224" s="65">
        <f t="shared" si="59"/>
        <v>88.409196708366579</v>
      </c>
      <c r="L224" s="64">
        <f t="shared" si="70"/>
        <v>86.317357764827406</v>
      </c>
      <c r="M224" s="64">
        <f t="shared" si="71"/>
        <v>3.6826422351725938</v>
      </c>
      <c r="N224" s="65">
        <f t="shared" si="60"/>
        <v>78.468676583073972</v>
      </c>
      <c r="O224" s="64">
        <f t="shared" si="72"/>
        <v>80.202705645156925</v>
      </c>
      <c r="P224" s="64">
        <f t="shared" si="73"/>
        <v>9.7972943548430749</v>
      </c>
      <c r="Q224" s="65">
        <f t="shared" si="61"/>
        <v>68.389555663163449</v>
      </c>
      <c r="R224" s="64">
        <f t="shared" si="74"/>
        <v>91.3667303839742</v>
      </c>
      <c r="S224" s="59">
        <f t="shared" si="75"/>
        <v>-1.3667303839742004</v>
      </c>
      <c r="T224" s="58">
        <f t="shared" si="62"/>
        <v>86.529491722167094</v>
      </c>
      <c r="U224" s="66"/>
      <c r="V224" s="53">
        <f>N221</f>
        <v>80.017712066951646</v>
      </c>
      <c r="AK224" s="50">
        <f>M221</f>
        <v>6.1820156898562999</v>
      </c>
    </row>
    <row r="225" spans="1:38" x14ac:dyDescent="0.2">
      <c r="A225" s="67">
        <v>94</v>
      </c>
      <c r="B225" s="66">
        <f t="shared" si="63"/>
        <v>1.6406094968746698</v>
      </c>
      <c r="C225" s="64">
        <f t="shared" si="64"/>
        <v>105.3759605366986</v>
      </c>
      <c r="D225" s="64">
        <f t="shared" si="65"/>
        <v>-15.375960536698599</v>
      </c>
      <c r="E225" s="65">
        <f t="shared" si="57"/>
        <v>108.35093461133295</v>
      </c>
      <c r="F225" s="64">
        <f t="shared" si="66"/>
        <v>99.532660395334062</v>
      </c>
      <c r="G225" s="64">
        <f t="shared" si="67"/>
        <v>-9.5326603953340623</v>
      </c>
      <c r="H225" s="65">
        <f t="shared" si="58"/>
        <v>97.934906439143134</v>
      </c>
      <c r="I225" s="64">
        <f t="shared" si="68"/>
        <v>93.391417561065538</v>
      </c>
      <c r="J225" s="64">
        <f t="shared" si="69"/>
        <v>-3.3914175610655377</v>
      </c>
      <c r="K225" s="65">
        <f t="shared" si="59"/>
        <v>87.877843499342092</v>
      </c>
      <c r="L225" s="64">
        <f t="shared" si="70"/>
        <v>87.147508267129865</v>
      </c>
      <c r="M225" s="64">
        <f t="shared" si="71"/>
        <v>2.8524917328701349</v>
      </c>
      <c r="N225" s="65">
        <f t="shared" si="60"/>
        <v>77.948641613485975</v>
      </c>
      <c r="O225" s="64">
        <f t="shared" si="72"/>
        <v>80.989834419427325</v>
      </c>
      <c r="P225" s="64">
        <f t="shared" si="73"/>
        <v>9.010165580572675</v>
      </c>
      <c r="Q225" s="65">
        <f t="shared" si="61"/>
        <v>67.911898297938151</v>
      </c>
      <c r="R225" s="64">
        <f t="shared" si="74"/>
        <v>92.212972996619598</v>
      </c>
      <c r="S225" s="59">
        <f t="shared" si="75"/>
        <v>-2.2129729966195981</v>
      </c>
      <c r="T225" s="58">
        <f t="shared" si="62"/>
        <v>85.997835840187804</v>
      </c>
      <c r="U225" s="66"/>
      <c r="V225" s="53">
        <f>Q221</f>
        <v>69.80334075670072</v>
      </c>
      <c r="AK225" s="50">
        <f>P221</f>
        <v>12.173965327303392</v>
      </c>
    </row>
    <row r="226" spans="1:38" x14ac:dyDescent="0.2">
      <c r="A226" s="67">
        <v>95</v>
      </c>
      <c r="B226" s="66">
        <f t="shared" si="63"/>
        <v>1.6580627893946132</v>
      </c>
      <c r="C226" s="64">
        <f t="shared" si="64"/>
        <v>106.18193537417511</v>
      </c>
      <c r="D226" s="64">
        <f t="shared" si="65"/>
        <v>-16.181935374175112</v>
      </c>
      <c r="E226" s="65">
        <f t="shared" si="57"/>
        <v>107.89554870365771</v>
      </c>
      <c r="F226" s="64">
        <f t="shared" si="66"/>
        <v>100.37309894020001</v>
      </c>
      <c r="G226" s="64">
        <f t="shared" si="67"/>
        <v>-10.373098940200009</v>
      </c>
      <c r="H226" s="65">
        <f t="shared" si="58"/>
        <v>97.42486513918935</v>
      </c>
      <c r="I226" s="64">
        <f t="shared" si="68"/>
        <v>94.23872601651091</v>
      </c>
      <c r="J226" s="64">
        <f t="shared" si="69"/>
        <v>-4.2387260165109097</v>
      </c>
      <c r="K226" s="65">
        <f t="shared" si="59"/>
        <v>87.345557939296015</v>
      </c>
      <c r="L226" s="64">
        <f t="shared" si="70"/>
        <v>87.976048295636986</v>
      </c>
      <c r="M226" s="64">
        <f t="shared" si="71"/>
        <v>2.0239517043630144</v>
      </c>
      <c r="N226" s="65">
        <f t="shared" si="60"/>
        <v>77.426413098513251</v>
      </c>
      <c r="O226" s="64">
        <f t="shared" si="72"/>
        <v>81.774295088122656</v>
      </c>
      <c r="P226" s="64">
        <f t="shared" si="73"/>
        <v>8.2257049118773438</v>
      </c>
      <c r="Q226" s="65">
        <f t="shared" si="61"/>
        <v>67.430799807814466</v>
      </c>
      <c r="R226" s="64">
        <f t="shared" si="74"/>
        <v>93.058665762423828</v>
      </c>
      <c r="S226" s="59">
        <f t="shared" si="75"/>
        <v>-3.0586657624238285</v>
      </c>
      <c r="T226" s="58">
        <f t="shared" si="62"/>
        <v>85.465000968804262</v>
      </c>
      <c r="U226" s="66"/>
    </row>
    <row r="227" spans="1:38" x14ac:dyDescent="0.2">
      <c r="A227" s="67">
        <v>96</v>
      </c>
      <c r="B227" s="66">
        <f t="shared" si="63"/>
        <v>1.6755160819145565</v>
      </c>
      <c r="C227" s="64">
        <f t="shared" si="64"/>
        <v>106.98997654572521</v>
      </c>
      <c r="D227" s="64">
        <f t="shared" si="65"/>
        <v>-16.989976545725213</v>
      </c>
      <c r="E227" s="65">
        <f t="shared" si="57"/>
        <v>107.44228538293135</v>
      </c>
      <c r="F227" s="64">
        <f t="shared" si="66"/>
        <v>101.21451273159899</v>
      </c>
      <c r="G227" s="64">
        <f t="shared" si="67"/>
        <v>-11.214512731598987</v>
      </c>
      <c r="H227" s="65">
        <f t="shared" si="58"/>
        <v>96.915116208944909</v>
      </c>
      <c r="I227" s="64">
        <f t="shared" si="68"/>
        <v>95.085669177968441</v>
      </c>
      <c r="J227" s="64">
        <f t="shared" si="69"/>
        <v>-5.0856691779684411</v>
      </c>
      <c r="K227" s="65">
        <f t="shared" si="59"/>
        <v>86.812104474135054</v>
      </c>
      <c r="L227" s="64">
        <f t="shared" si="70"/>
        <v>88.802901753490886</v>
      </c>
      <c r="M227" s="64">
        <f t="shared" si="71"/>
        <v>1.197098246509114</v>
      </c>
      <c r="N227" s="65">
        <f t="shared" si="60"/>
        <v>76.901781416095858</v>
      </c>
      <c r="O227" s="64">
        <f t="shared" si="72"/>
        <v>82.556012574279734</v>
      </c>
      <c r="P227" s="64">
        <f t="shared" si="73"/>
        <v>7.4439874257202661</v>
      </c>
      <c r="Q227" s="65">
        <f t="shared" si="61"/>
        <v>66.946113806189814</v>
      </c>
      <c r="R227" s="64">
        <f t="shared" si="74"/>
        <v>93.903734101281202</v>
      </c>
      <c r="S227" s="59">
        <f t="shared" si="75"/>
        <v>-3.9037341012812021</v>
      </c>
      <c r="T227" s="58">
        <f t="shared" si="62"/>
        <v>84.93075315995803</v>
      </c>
      <c r="U227" s="69"/>
    </row>
    <row r="228" spans="1:38" x14ac:dyDescent="0.2">
      <c r="A228" s="67">
        <v>97</v>
      </c>
      <c r="B228" s="66">
        <f t="shared" si="63"/>
        <v>1.6929693744344996</v>
      </c>
      <c r="C228" s="64">
        <f t="shared" si="64"/>
        <v>107.80002427476148</v>
      </c>
      <c r="D228" s="64">
        <f t="shared" si="65"/>
        <v>-17.800024274761483</v>
      </c>
      <c r="E228" s="65">
        <f t="shared" si="57"/>
        <v>106.99099529338839</v>
      </c>
      <c r="F228" s="64">
        <f t="shared" si="66"/>
        <v>102.05683481870832</v>
      </c>
      <c r="G228" s="64">
        <f t="shared" si="67"/>
        <v>-12.056834818708325</v>
      </c>
      <c r="H228" s="65">
        <f t="shared" si="58"/>
        <v>96.405441490311162</v>
      </c>
      <c r="I228" s="64">
        <f t="shared" si="68"/>
        <v>95.932172644100532</v>
      </c>
      <c r="J228" s="64">
        <f t="shared" si="69"/>
        <v>-5.9321726441005325</v>
      </c>
      <c r="K228" s="65">
        <f t="shared" si="59"/>
        <v>86.277245898539562</v>
      </c>
      <c r="L228" s="64">
        <f t="shared" si="70"/>
        <v>89.627991056635693</v>
      </c>
      <c r="M228" s="64">
        <f t="shared" si="71"/>
        <v>0.37200894336430679</v>
      </c>
      <c r="N228" s="65">
        <f t="shared" si="60"/>
        <v>76.37453630054388</v>
      </c>
      <c r="O228" s="64">
        <f t="shared" si="72"/>
        <v>83.334909923251075</v>
      </c>
      <c r="P228" s="64">
        <f t="shared" si="73"/>
        <v>6.6650900767489247</v>
      </c>
      <c r="Q228" s="65">
        <f t="shared" si="61"/>
        <v>66.457693478677399</v>
      </c>
      <c r="R228" s="64">
        <f t="shared" si="74"/>
        <v>94.748102630057573</v>
      </c>
      <c r="S228" s="59">
        <f t="shared" si="75"/>
        <v>-4.7481026300575735</v>
      </c>
      <c r="T228" s="58">
        <f t="shared" si="62"/>
        <v>84.394857014878724</v>
      </c>
      <c r="U228" s="69"/>
    </row>
    <row r="229" spans="1:38" x14ac:dyDescent="0.2">
      <c r="A229" s="67">
        <v>98</v>
      </c>
      <c r="B229" s="66">
        <f t="shared" si="63"/>
        <v>1.7104226669544429</v>
      </c>
      <c r="C229" s="64">
        <f t="shared" si="64"/>
        <v>108.61201998470196</v>
      </c>
      <c r="D229" s="64">
        <f t="shared" si="65"/>
        <v>-18.612019984701959</v>
      </c>
      <c r="E229" s="65">
        <f t="shared" si="57"/>
        <v>106.54152785490206</v>
      </c>
      <c r="F229" s="64">
        <f t="shared" si="66"/>
        <v>102.89999859868669</v>
      </c>
      <c r="G229" s="64">
        <f t="shared" si="67"/>
        <v>-12.899998598686693</v>
      </c>
      <c r="H229" s="65">
        <f t="shared" si="58"/>
        <v>95.895620271262544</v>
      </c>
      <c r="I229" s="64">
        <f t="shared" si="68"/>
        <v>96.778161274762596</v>
      </c>
      <c r="J229" s="64">
        <f t="shared" si="69"/>
        <v>-6.7781612747625957</v>
      </c>
      <c r="K229" s="65">
        <f t="shared" si="59"/>
        <v>85.740743018727571</v>
      </c>
      <c r="L229" s="64">
        <f t="shared" si="70"/>
        <v>90.4512370253358</v>
      </c>
      <c r="M229" s="64">
        <f t="shared" si="71"/>
        <v>-0.45123702533580001</v>
      </c>
      <c r="N229" s="65">
        <f t="shared" si="60"/>
        <v>75.844466599543082</v>
      </c>
      <c r="O229" s="64">
        <f t="shared" si="72"/>
        <v>84.110908235625573</v>
      </c>
      <c r="P229" s="64">
        <f t="shared" si="73"/>
        <v>5.8890917643744274</v>
      </c>
      <c r="Q229" s="65">
        <f t="shared" si="61"/>
        <v>65.965391484017729</v>
      </c>
      <c r="R229" s="64">
        <f t="shared" si="74"/>
        <v>95.591695036615207</v>
      </c>
      <c r="S229" s="59">
        <f t="shared" si="75"/>
        <v>-5.5916950366152065</v>
      </c>
      <c r="T229" s="58">
        <f t="shared" si="62"/>
        <v>83.857075359490452</v>
      </c>
      <c r="U229" s="69"/>
    </row>
    <row r="230" spans="1:38" x14ac:dyDescent="0.2">
      <c r="A230" s="67">
        <v>99</v>
      </c>
      <c r="B230" s="66">
        <f t="shared" si="63"/>
        <v>1.7278759594743862</v>
      </c>
      <c r="C230" s="64">
        <f t="shared" si="64"/>
        <v>109.4259062412455</v>
      </c>
      <c r="D230" s="64">
        <f t="shared" si="65"/>
        <v>-19.425906241245499</v>
      </c>
      <c r="E230" s="65">
        <f t="shared" si="57"/>
        <v>106.09373105081572</v>
      </c>
      <c r="F230" s="64">
        <f t="shared" si="66"/>
        <v>103.74393771110002</v>
      </c>
      <c r="G230" s="64">
        <f t="shared" si="67"/>
        <v>-13.743937711100017</v>
      </c>
      <c r="H230" s="65">
        <f t="shared" si="58"/>
        <v>95.385428929606789</v>
      </c>
      <c r="I230" s="64">
        <f t="shared" si="68"/>
        <v>97.623559062408901</v>
      </c>
      <c r="J230" s="64">
        <f t="shared" si="69"/>
        <v>-7.6235590624089014</v>
      </c>
      <c r="K230" s="65">
        <f t="shared" si="59"/>
        <v>85.202354311418631</v>
      </c>
      <c r="L230" s="64">
        <f t="shared" si="70"/>
        <v>91.272558773847507</v>
      </c>
      <c r="M230" s="64">
        <f t="shared" si="71"/>
        <v>-1.272558773847507</v>
      </c>
      <c r="N230" s="65">
        <f t="shared" si="60"/>
        <v>75.311360037124103</v>
      </c>
      <c r="O230" s="64">
        <f t="shared" si="72"/>
        <v>84.883926599079174</v>
      </c>
      <c r="P230" s="64">
        <f t="shared" si="73"/>
        <v>5.1160734009208255</v>
      </c>
      <c r="Q230" s="65">
        <f t="shared" si="61"/>
        <v>65.469059862659648</v>
      </c>
      <c r="R230" s="64">
        <f t="shared" si="74"/>
        <v>96.434433951658065</v>
      </c>
      <c r="S230" s="59">
        <f t="shared" si="75"/>
        <v>-6.4344339516580646</v>
      </c>
      <c r="T230" s="58">
        <f t="shared" si="62"/>
        <v>83.31716891821641</v>
      </c>
      <c r="U230" s="69"/>
    </row>
    <row r="231" spans="1:38" x14ac:dyDescent="0.2">
      <c r="A231" s="67">
        <v>100</v>
      </c>
      <c r="B231" s="66">
        <f t="shared" si="63"/>
        <v>1.7453292519943295</v>
      </c>
      <c r="C231" s="64">
        <f t="shared" si="64"/>
        <v>110.24162669492161</v>
      </c>
      <c r="D231" s="64">
        <f t="shared" si="65"/>
        <v>-20.241626694921607</v>
      </c>
      <c r="E231" s="65">
        <f t="shared" si="57"/>
        <v>105.64745120248982</v>
      </c>
      <c r="F231" s="64">
        <f t="shared" si="66"/>
        <v>104.58858593068719</v>
      </c>
      <c r="G231" s="64">
        <f t="shared" si="67"/>
        <v>-14.588585930687188</v>
      </c>
      <c r="H231" s="65">
        <f t="shared" si="58"/>
        <v>94.87464056175024</v>
      </c>
      <c r="I231" s="64">
        <f t="shared" si="68"/>
        <v>98.468289000942733</v>
      </c>
      <c r="J231" s="64">
        <f t="shared" si="69"/>
        <v>-8.4682890009427325</v>
      </c>
      <c r="K231" s="65">
        <f t="shared" si="59"/>
        <v>84.661835578377207</v>
      </c>
      <c r="L231" s="64">
        <f t="shared" si="70"/>
        <v>92.091873598029764</v>
      </c>
      <c r="M231" s="64">
        <f t="shared" si="71"/>
        <v>-2.091873598029764</v>
      </c>
      <c r="N231" s="65">
        <f t="shared" si="60"/>
        <v>74.775002982356924</v>
      </c>
      <c r="O231" s="64">
        <f t="shared" si="72"/>
        <v>85.653882019146764</v>
      </c>
      <c r="P231" s="64">
        <f t="shared" si="73"/>
        <v>4.3461179808532364</v>
      </c>
      <c r="Q231" s="65">
        <f t="shared" si="61"/>
        <v>64.968549953010225</v>
      </c>
      <c r="R231" s="64">
        <f t="shared" si="74"/>
        <v>97.27624081803593</v>
      </c>
      <c r="S231" s="59">
        <f t="shared" si="75"/>
        <v>-7.2762408180359301</v>
      </c>
      <c r="T231" s="58">
        <f t="shared" si="62"/>
        <v>82.774895985655718</v>
      </c>
      <c r="U231" s="69"/>
    </row>
    <row r="232" spans="1:38" x14ac:dyDescent="0.2">
      <c r="A232" s="67">
        <v>101</v>
      </c>
      <c r="B232" s="66">
        <f t="shared" si="63"/>
        <v>1.7627825445142729</v>
      </c>
      <c r="C232" s="64">
        <f t="shared" si="64"/>
        <v>111.05912602380153</v>
      </c>
      <c r="D232" s="64">
        <f t="shared" si="65"/>
        <v>-21.059126023801525</v>
      </c>
      <c r="E232" s="65">
        <f t="shared" si="57"/>
        <v>105.202532729556</v>
      </c>
      <c r="F232" s="64">
        <f t="shared" si="66"/>
        <v>105.43387705810611</v>
      </c>
      <c r="G232" s="64">
        <f t="shared" si="67"/>
        <v>-15.433877058106106</v>
      </c>
      <c r="H232" s="65">
        <f t="shared" si="58"/>
        <v>94.363024595239651</v>
      </c>
      <c r="I232" s="64">
        <f t="shared" si="68"/>
        <v>99.312272951621125</v>
      </c>
      <c r="J232" s="64">
        <f t="shared" si="69"/>
        <v>-9.3122729516211251</v>
      </c>
      <c r="K232" s="65">
        <f t="shared" si="59"/>
        <v>84.118939595921631</v>
      </c>
      <c r="L232" s="64">
        <f t="shared" si="70"/>
        <v>92.909096860685295</v>
      </c>
      <c r="M232" s="64">
        <f t="shared" si="71"/>
        <v>-2.9090968606852954</v>
      </c>
      <c r="N232" s="65">
        <f t="shared" si="60"/>
        <v>74.23518022359552</v>
      </c>
      <c r="O232" s="64">
        <f t="shared" si="72"/>
        <v>86.420689348914109</v>
      </c>
      <c r="P232" s="64">
        <f t="shared" si="73"/>
        <v>3.5793106510858905</v>
      </c>
      <c r="Q232" s="65">
        <f t="shared" si="61"/>
        <v>64.463712315404067</v>
      </c>
      <c r="R232" s="64">
        <f t="shared" si="74"/>
        <v>98.117035757139504</v>
      </c>
      <c r="S232" s="59">
        <f t="shared" si="75"/>
        <v>-8.1170357571395044</v>
      </c>
      <c r="T232" s="58">
        <f t="shared" si="62"/>
        <v>82.230012095629306</v>
      </c>
      <c r="U232" s="69"/>
    </row>
    <row r="233" spans="1:38" x14ac:dyDescent="0.2">
      <c r="A233" s="67">
        <v>102</v>
      </c>
      <c r="B233" s="66">
        <f t="shared" si="63"/>
        <v>1.7802358370342162</v>
      </c>
      <c r="C233" s="64">
        <f t="shared" si="64"/>
        <v>111.87834987624792</v>
      </c>
      <c r="D233" s="64">
        <f t="shared" si="65"/>
        <v>-21.878349876247924</v>
      </c>
      <c r="E233" s="65">
        <f t="shared" si="57"/>
        <v>104.75881789475375</v>
      </c>
      <c r="F233" s="64">
        <f t="shared" si="66"/>
        <v>106.27974480827979</v>
      </c>
      <c r="G233" s="64">
        <f t="shared" si="67"/>
        <v>-16.279744808279787</v>
      </c>
      <c r="H233" s="65">
        <f t="shared" si="58"/>
        <v>93.850346383753617</v>
      </c>
      <c r="I233" s="64">
        <f t="shared" si="68"/>
        <v>100.15543150561297</v>
      </c>
      <c r="J233" s="64">
        <f t="shared" si="69"/>
        <v>-10.155431505612967</v>
      </c>
      <c r="K233" s="65">
        <f t="shared" si="59"/>
        <v>83.573415758794468</v>
      </c>
      <c r="L233" s="64">
        <f t="shared" si="70"/>
        <v>93.724141874429037</v>
      </c>
      <c r="M233" s="64">
        <f t="shared" si="71"/>
        <v>-3.7241418744290371</v>
      </c>
      <c r="N233" s="65">
        <f t="shared" si="60"/>
        <v>73.691674748164303</v>
      </c>
      <c r="O233" s="64">
        <f t="shared" si="72"/>
        <v>87.184261217639346</v>
      </c>
      <c r="P233" s="64">
        <f t="shared" si="73"/>
        <v>2.8157387823606541</v>
      </c>
      <c r="Q233" s="65">
        <f t="shared" si="61"/>
        <v>63.954396663892922</v>
      </c>
      <c r="R233" s="64">
        <f t="shared" si="74"/>
        <v>98.956737432012801</v>
      </c>
      <c r="S233" s="59">
        <f t="shared" si="75"/>
        <v>-8.956737432012801</v>
      </c>
      <c r="T233" s="58">
        <f t="shared" si="62"/>
        <v>81.682269687117369</v>
      </c>
      <c r="U233" s="69"/>
    </row>
    <row r="234" spans="1:38" x14ac:dyDescent="0.2">
      <c r="A234" s="67">
        <v>103</v>
      </c>
      <c r="B234" s="66">
        <f t="shared" si="63"/>
        <v>1.7976891295541595</v>
      </c>
      <c r="C234" s="64">
        <f t="shared" si="64"/>
        <v>112.6992448135708</v>
      </c>
      <c r="D234" s="64">
        <f t="shared" si="65"/>
        <v>-22.6992448135708</v>
      </c>
      <c r="E234" s="65">
        <f t="shared" si="57"/>
        <v>104.31614653209525</v>
      </c>
      <c r="F234" s="64">
        <f t="shared" si="66"/>
        <v>107.12612269593988</v>
      </c>
      <c r="G234" s="64">
        <f t="shared" si="67"/>
        <v>-17.126122695939884</v>
      </c>
      <c r="H234" s="65">
        <f t="shared" si="58"/>
        <v>93.336366783112254</v>
      </c>
      <c r="I234" s="64">
        <f t="shared" si="68"/>
        <v>100.99768384279916</v>
      </c>
      <c r="J234" s="64">
        <f t="shared" si="69"/>
        <v>-10.997683842799162</v>
      </c>
      <c r="K234" s="65">
        <f t="shared" si="59"/>
        <v>83.025009717801311</v>
      </c>
      <c r="L234" s="64">
        <f t="shared" si="70"/>
        <v>94.536919781886454</v>
      </c>
      <c r="M234" s="64">
        <f t="shared" si="71"/>
        <v>-4.5369197818864535</v>
      </c>
      <c r="N234" s="65">
        <f t="shared" si="60"/>
        <v>73.144267527444953</v>
      </c>
      <c r="O234" s="64">
        <f t="shared" si="72"/>
        <v>87.944507958322845</v>
      </c>
      <c r="P234" s="64">
        <f t="shared" si="73"/>
        <v>2.0554920416771552</v>
      </c>
      <c r="Q234" s="65">
        <f t="shared" si="61"/>
        <v>63.440451806007083</v>
      </c>
      <c r="R234" s="64">
        <f t="shared" si="74"/>
        <v>99.795262906800261</v>
      </c>
      <c r="S234" s="59">
        <f t="shared" si="75"/>
        <v>-9.7952629068002608</v>
      </c>
      <c r="T234" s="58">
        <f t="shared" si="62"/>
        <v>81.131417766640055</v>
      </c>
      <c r="U234" s="69"/>
    </row>
    <row r="235" spans="1:38" x14ac:dyDescent="0.2">
      <c r="A235" s="67">
        <v>104</v>
      </c>
      <c r="B235" s="66">
        <f t="shared" si="63"/>
        <v>1.8151424220741028</v>
      </c>
      <c r="C235" s="64">
        <f t="shared" si="64"/>
        <v>113.52175825244581</v>
      </c>
      <c r="D235" s="64">
        <f t="shared" si="65"/>
        <v>-23.521758252445807</v>
      </c>
      <c r="E235" s="65">
        <f t="shared" si="57"/>
        <v>103.87435575696252</v>
      </c>
      <c r="F235" s="64">
        <f t="shared" si="66"/>
        <v>107.97294391793919</v>
      </c>
      <c r="G235" s="64">
        <f t="shared" si="67"/>
        <v>-17.97294391793919</v>
      </c>
      <c r="H235" s="65">
        <f t="shared" si="58"/>
        <v>92.820841706761982</v>
      </c>
      <c r="I235" s="64">
        <f t="shared" si="68"/>
        <v>101.83894758638962</v>
      </c>
      <c r="J235" s="64">
        <f t="shared" si="69"/>
        <v>-11.838947586389622</v>
      </c>
      <c r="K235" s="65">
        <f t="shared" si="59"/>
        <v>82.473463010640216</v>
      </c>
      <c r="L235" s="64">
        <f t="shared" si="70"/>
        <v>95.347339433030598</v>
      </c>
      <c r="M235" s="64">
        <f t="shared" si="71"/>
        <v>-5.3473394330305979</v>
      </c>
      <c r="N235" s="65">
        <f t="shared" si="60"/>
        <v>72.592737307394188</v>
      </c>
      <c r="O235" s="64">
        <f t="shared" si="72"/>
        <v>88.701337534255813</v>
      </c>
      <c r="P235" s="64">
        <f t="shared" si="73"/>
        <v>1.2986624657441865</v>
      </c>
      <c r="Q235" s="65">
        <f t="shared" si="61"/>
        <v>62.921725590689412</v>
      </c>
      <c r="R235" s="64">
        <f t="shared" si="74"/>
        <v>100.63252750213843</v>
      </c>
      <c r="S235" s="59">
        <f t="shared" si="75"/>
        <v>-10.63252750213843</v>
      </c>
      <c r="T235" s="58">
        <f t="shared" si="62"/>
        <v>80.577201566665593</v>
      </c>
      <c r="U235" s="69"/>
    </row>
    <row r="236" spans="1:38" s="54" customFormat="1" x14ac:dyDescent="0.2">
      <c r="A236" s="63">
        <v>105</v>
      </c>
      <c r="B236" s="62">
        <f t="shared" si="63"/>
        <v>1.8325957145940461</v>
      </c>
      <c r="C236" s="60">
        <f t="shared" si="64"/>
        <v>114.34583840693968</v>
      </c>
      <c r="D236" s="60">
        <f t="shared" si="65"/>
        <v>-24.345838406939677</v>
      </c>
      <c r="E236" s="61">
        <f t="shared" si="57"/>
        <v>103.43327965658469</v>
      </c>
      <c r="F236" s="60">
        <f t="shared" si="66"/>
        <v>108.82014123187676</v>
      </c>
      <c r="G236" s="60">
        <f t="shared" si="67"/>
        <v>-18.820141231876761</v>
      </c>
      <c r="H236" s="61">
        <f t="shared" si="58"/>
        <v>92.303521659072118</v>
      </c>
      <c r="I236" s="60">
        <f t="shared" si="68"/>
        <v>102.67913865291909</v>
      </c>
      <c r="J236" s="60">
        <f t="shared" si="69"/>
        <v>-12.679138652919093</v>
      </c>
      <c r="K236" s="61">
        <f t="shared" si="59"/>
        <v>81.918512685362543</v>
      </c>
      <c r="L236" s="60">
        <f t="shared" si="70"/>
        <v>96.155307259473389</v>
      </c>
      <c r="M236" s="60">
        <f t="shared" si="71"/>
        <v>-6.1553072594733891</v>
      </c>
      <c r="N236" s="61">
        <f t="shared" si="60"/>
        <v>72.036860404596339</v>
      </c>
      <c r="O236" s="60">
        <f t="shared" si="72"/>
        <v>89.454655464589678</v>
      </c>
      <c r="P236" s="60">
        <f t="shared" si="73"/>
        <v>0.54534453541032235</v>
      </c>
      <c r="Q236" s="61">
        <f t="shared" si="61"/>
        <v>62.398064864652873</v>
      </c>
      <c r="R236" s="60">
        <f t="shared" si="74"/>
        <v>101.46844464609175</v>
      </c>
      <c r="S236" s="59">
        <f t="shared" si="75"/>
        <v>-11.468444646091754</v>
      </c>
      <c r="T236" s="58">
        <f t="shared" si="62"/>
        <v>80.019362199667114</v>
      </c>
      <c r="U236" s="70"/>
      <c r="V236" s="56">
        <f>E236</f>
        <v>103.43327965658469</v>
      </c>
      <c r="W236" s="55"/>
      <c r="AL236" s="55">
        <f>D236</f>
        <v>-24.345838406939677</v>
      </c>
    </row>
    <row r="237" spans="1:38" x14ac:dyDescent="0.2">
      <c r="A237" s="67">
        <v>106</v>
      </c>
      <c r="B237" s="66">
        <f t="shared" si="63"/>
        <v>1.8500490071139892</v>
      </c>
      <c r="C237" s="64">
        <f t="shared" si="64"/>
        <v>115.17143422997363</v>
      </c>
      <c r="D237" s="64">
        <f t="shared" si="65"/>
        <v>-25.171434229973627</v>
      </c>
      <c r="E237" s="65">
        <f t="shared" si="57"/>
        <v>102.99274895916999</v>
      </c>
      <c r="F237" s="64">
        <f t="shared" si="66"/>
        <v>109.66764683054809</v>
      </c>
      <c r="G237" s="64">
        <f t="shared" si="67"/>
        <v>-19.667646830548094</v>
      </c>
      <c r="H237" s="65">
        <f t="shared" si="58"/>
        <v>91.784151244652449</v>
      </c>
      <c r="I237" s="64">
        <f t="shared" si="68"/>
        <v>103.51817109716762</v>
      </c>
      <c r="J237" s="64">
        <f t="shared" si="69"/>
        <v>-13.518171097167624</v>
      </c>
      <c r="K237" s="65">
        <f t="shared" si="59"/>
        <v>81.359890915928517</v>
      </c>
      <c r="L237" s="64">
        <f t="shared" si="70"/>
        <v>96.960727145533951</v>
      </c>
      <c r="M237" s="64">
        <f t="shared" si="71"/>
        <v>-6.9607271455339514</v>
      </c>
      <c r="N237" s="65">
        <f t="shared" si="60"/>
        <v>71.476410508033425</v>
      </c>
      <c r="O237" s="64">
        <f t="shared" si="72"/>
        <v>90.204364748980936</v>
      </c>
      <c r="P237" s="64">
        <f t="shared" si="73"/>
        <v>-0.20436474898093593</v>
      </c>
      <c r="Q237" s="65">
        <f t="shared" si="61"/>
        <v>61.869315437462546</v>
      </c>
      <c r="R237" s="64">
        <f t="shared" si="74"/>
        <v>102.30292572022262</v>
      </c>
      <c r="S237" s="59">
        <f t="shared" si="75"/>
        <v>-12.302925720222618</v>
      </c>
      <c r="T237" s="58">
        <f t="shared" si="62"/>
        <v>79.457636307491782</v>
      </c>
      <c r="U237" s="69"/>
      <c r="V237" s="53">
        <f>H236</f>
        <v>92.303521659072118</v>
      </c>
      <c r="AL237" s="50">
        <f>G236</f>
        <v>-18.820141231876761</v>
      </c>
    </row>
    <row r="238" spans="1:38" x14ac:dyDescent="0.2">
      <c r="A238" s="67">
        <v>107</v>
      </c>
      <c r="B238" s="66">
        <f t="shared" si="63"/>
        <v>1.8675022996339325</v>
      </c>
      <c r="C238" s="64">
        <f t="shared" si="64"/>
        <v>115.99849535404127</v>
      </c>
      <c r="D238" s="64">
        <f t="shared" si="65"/>
        <v>-25.998495354041268</v>
      </c>
      <c r="E238" s="65">
        <f t="shared" si="57"/>
        <v>102.55259067977563</v>
      </c>
      <c r="F238" s="64">
        <f t="shared" si="66"/>
        <v>110.51539221169844</v>
      </c>
      <c r="G238" s="64">
        <f t="shared" si="67"/>
        <v>-20.51539221169844</v>
      </c>
      <c r="H238" s="65">
        <f t="shared" si="58"/>
        <v>91.262468651761779</v>
      </c>
      <c r="I238" s="64">
        <f t="shared" si="68"/>
        <v>104.35595695153606</v>
      </c>
      <c r="J238" s="64">
        <f t="shared" si="69"/>
        <v>-14.355956951536058</v>
      </c>
      <c r="K238" s="65">
        <f t="shared" si="59"/>
        <v>80.797324609349573</v>
      </c>
      <c r="L238" s="64">
        <f t="shared" si="70"/>
        <v>97.763500295914483</v>
      </c>
      <c r="M238" s="64">
        <f t="shared" si="71"/>
        <v>-7.7635002959144828</v>
      </c>
      <c r="N238" s="65">
        <f t="shared" si="60"/>
        <v>70.911158486838161</v>
      </c>
      <c r="O238" s="64">
        <f t="shared" si="72"/>
        <v>90.950365791380449</v>
      </c>
      <c r="P238" s="64">
        <f t="shared" si="73"/>
        <v>-0.95036579138044885</v>
      </c>
      <c r="Q238" s="65">
        <f t="shared" si="61"/>
        <v>61.33532205569243</v>
      </c>
      <c r="R238" s="64">
        <f t="shared" si="74"/>
        <v>103.13587990037414</v>
      </c>
      <c r="S238" s="59">
        <f t="shared" si="75"/>
        <v>-13.135879900374135</v>
      </c>
      <c r="T238" s="58">
        <f t="shared" si="62"/>
        <v>78.891755705754591</v>
      </c>
      <c r="U238" s="69"/>
      <c r="V238" s="53">
        <f>K236</f>
        <v>81.918512685362543</v>
      </c>
      <c r="AL238" s="50">
        <f>J236</f>
        <v>-12.679138652919093</v>
      </c>
    </row>
    <row r="239" spans="1:38" x14ac:dyDescent="0.2">
      <c r="A239" s="67">
        <v>108</v>
      </c>
      <c r="B239" s="66">
        <f t="shared" si="63"/>
        <v>1.8849555921538759</v>
      </c>
      <c r="C239" s="64">
        <f t="shared" si="64"/>
        <v>116.82697203098078</v>
      </c>
      <c r="D239" s="64">
        <f t="shared" si="65"/>
        <v>-26.826972030980784</v>
      </c>
      <c r="E239" s="65">
        <f t="shared" si="57"/>
        <v>102.11262774078568</v>
      </c>
      <c r="F239" s="64">
        <f t="shared" si="66"/>
        <v>111.36330804251885</v>
      </c>
      <c r="G239" s="64">
        <f t="shared" si="67"/>
        <v>-21.363308042518852</v>
      </c>
      <c r="H239" s="65">
        <f t="shared" si="58"/>
        <v>90.738205107731531</v>
      </c>
      <c r="I239" s="64">
        <f t="shared" si="68"/>
        <v>105.19240605938886</v>
      </c>
      <c r="J239" s="64">
        <f t="shared" si="69"/>
        <v>-15.192406059388858</v>
      </c>
      <c r="K239" s="65">
        <f t="shared" si="59"/>
        <v>80.230535003943515</v>
      </c>
      <c r="L239" s="64">
        <f t="shared" si="70"/>
        <v>98.563525099824162</v>
      </c>
      <c r="M239" s="64">
        <f t="shared" si="71"/>
        <v>-8.5635250998241617</v>
      </c>
      <c r="N239" s="65">
        <f t="shared" si="60"/>
        <v>70.340872204382862</v>
      </c>
      <c r="O239" s="64">
        <f t="shared" si="72"/>
        <v>91.692556323050283</v>
      </c>
      <c r="P239" s="64">
        <f t="shared" si="73"/>
        <v>-1.6925563230502831</v>
      </c>
      <c r="Q239" s="65">
        <f t="shared" si="61"/>
        <v>60.795928386558565</v>
      </c>
      <c r="R239" s="64">
        <f t="shared" si="74"/>
        <v>103.96721399173322</v>
      </c>
      <c r="S239" s="59">
        <f t="shared" si="75"/>
        <v>-13.967213991733217</v>
      </c>
      <c r="T239" s="58">
        <f t="shared" si="62"/>
        <v>78.321447023024362</v>
      </c>
      <c r="U239" s="69"/>
      <c r="V239" s="53">
        <f>N236</f>
        <v>72.036860404596339</v>
      </c>
      <c r="AL239" s="50">
        <f>M236</f>
        <v>-6.1553072594733891</v>
      </c>
    </row>
    <row r="240" spans="1:38" x14ac:dyDescent="0.2">
      <c r="A240" s="67">
        <v>109</v>
      </c>
      <c r="B240" s="66">
        <f t="shared" si="63"/>
        <v>1.9024088846738192</v>
      </c>
      <c r="C240" s="64">
        <f t="shared" si="64"/>
        <v>117.65681507058291</v>
      </c>
      <c r="D240" s="64">
        <f t="shared" si="65"/>
        <v>-27.656815070582908</v>
      </c>
      <c r="E240" s="65">
        <f t="shared" si="57"/>
        <v>101.67267856462932</v>
      </c>
      <c r="F240" s="64">
        <f t="shared" si="66"/>
        <v>112.21132401828298</v>
      </c>
      <c r="G240" s="64">
        <f t="shared" si="67"/>
        <v>-22.21132401828298</v>
      </c>
      <c r="H240" s="65">
        <f t="shared" si="58"/>
        <v>90.211084304167827</v>
      </c>
      <c r="I240" s="64">
        <f t="shared" si="68"/>
        <v>106.02742590185827</v>
      </c>
      <c r="J240" s="64">
        <f t="shared" si="69"/>
        <v>-16.027425901858265</v>
      </c>
      <c r="K240" s="65">
        <f t="shared" si="59"/>
        <v>79.659237258271119</v>
      </c>
      <c r="L240" s="64">
        <f t="shared" si="70"/>
        <v>99.36069699140117</v>
      </c>
      <c r="M240" s="64">
        <f t="shared" si="71"/>
        <v>-9.36069699140117</v>
      </c>
      <c r="N240" s="65">
        <f t="shared" si="60"/>
        <v>69.765316339151994</v>
      </c>
      <c r="O240" s="64">
        <f t="shared" si="72"/>
        <v>92.430831324908596</v>
      </c>
      <c r="P240" s="64">
        <f t="shared" si="73"/>
        <v>-2.4308313249085955</v>
      </c>
      <c r="Q240" s="65">
        <f t="shared" si="61"/>
        <v>60.250977011479272</v>
      </c>
      <c r="R240" s="64">
        <f t="shared" si="74"/>
        <v>104.79683225772915</v>
      </c>
      <c r="S240" s="59">
        <f t="shared" si="75"/>
        <v>-14.79683225772915</v>
      </c>
      <c r="T240" s="58">
        <f t="shared" si="62"/>
        <v>77.74643133463448</v>
      </c>
      <c r="U240" s="69"/>
      <c r="V240" s="53">
        <f>Q236</f>
        <v>62.398064864652873</v>
      </c>
      <c r="AL240" s="50">
        <f>P236</f>
        <v>0.54534453541032235</v>
      </c>
    </row>
    <row r="241" spans="1:39" x14ac:dyDescent="0.2">
      <c r="A241" s="67">
        <v>110</v>
      </c>
      <c r="B241" s="66">
        <f t="shared" si="63"/>
        <v>1.9198621771937625</v>
      </c>
      <c r="C241" s="64">
        <f t="shared" si="64"/>
        <v>118.48797577779588</v>
      </c>
      <c r="D241" s="64">
        <f t="shared" si="65"/>
        <v>-28.487975777795882</v>
      </c>
      <c r="E241" s="65">
        <f t="shared" si="57"/>
        <v>101.23255663610747</v>
      </c>
      <c r="F241" s="64">
        <f t="shared" si="66"/>
        <v>113.05936871447554</v>
      </c>
      <c r="G241" s="64">
        <f t="shared" si="67"/>
        <v>-23.059368714475539</v>
      </c>
      <c r="H241" s="65">
        <f t="shared" si="58"/>
        <v>89.680821789526959</v>
      </c>
      <c r="I241" s="64">
        <f t="shared" si="68"/>
        <v>106.86092141758434</v>
      </c>
      <c r="J241" s="64">
        <f t="shared" si="69"/>
        <v>-16.860921417584336</v>
      </c>
      <c r="K241" s="65">
        <f t="shared" si="59"/>
        <v>79.083140030372789</v>
      </c>
      <c r="L241" s="64">
        <f t="shared" si="70"/>
        <v>100.15490830629558</v>
      </c>
      <c r="M241" s="64">
        <f t="shared" si="71"/>
        <v>-10.154908306295582</v>
      </c>
      <c r="N241" s="65">
        <f t="shared" si="60"/>
        <v>69.184252212944997</v>
      </c>
      <c r="O241" s="64">
        <f t="shared" si="72"/>
        <v>93.165082949319185</v>
      </c>
      <c r="P241" s="64">
        <f t="shared" si="73"/>
        <v>-3.165082949319185</v>
      </c>
      <c r="Q241" s="65">
        <f t="shared" si="61"/>
        <v>59.700309430065317</v>
      </c>
      <c r="R241" s="64">
        <f t="shared" si="74"/>
        <v>105.62463624231145</v>
      </c>
      <c r="S241" s="59">
        <f t="shared" si="75"/>
        <v>-15.624636242311453</v>
      </c>
      <c r="T241" s="58">
        <f t="shared" si="62"/>
        <v>77.166423791022893</v>
      </c>
      <c r="U241" s="69"/>
    </row>
    <row r="242" spans="1:39" x14ac:dyDescent="0.2">
      <c r="A242" s="67">
        <v>111</v>
      </c>
      <c r="B242" s="66">
        <f t="shared" si="63"/>
        <v>1.9373154697137058</v>
      </c>
      <c r="C242" s="64">
        <f t="shared" si="64"/>
        <v>119.3204058882655</v>
      </c>
      <c r="D242" s="64">
        <f t="shared" si="65"/>
        <v>-29.320405888265498</v>
      </c>
      <c r="E242" s="65">
        <f t="shared" si="57"/>
        <v>100.79207003139916</v>
      </c>
      <c r="F242" s="64">
        <f t="shared" si="66"/>
        <v>113.90736943171171</v>
      </c>
      <c r="G242" s="64">
        <f t="shared" si="67"/>
        <v>-23.907369431711714</v>
      </c>
      <c r="H242" s="65">
        <f t="shared" si="58"/>
        <v>89.147124326476145</v>
      </c>
      <c r="I242" s="64">
        <f t="shared" si="68"/>
        <v>107.69279481484467</v>
      </c>
      <c r="J242" s="64">
        <f t="shared" si="69"/>
        <v>-17.692794814844675</v>
      </c>
      <c r="K242" s="65">
        <f t="shared" si="59"/>
        <v>78.501945046985369</v>
      </c>
      <c r="L242" s="64">
        <f t="shared" si="70"/>
        <v>100.94604813428904</v>
      </c>
      <c r="M242" s="64">
        <f t="shared" si="71"/>
        <v>-10.946048134289043</v>
      </c>
      <c r="N242" s="65">
        <f t="shared" si="60"/>
        <v>68.597437627064878</v>
      </c>
      <c r="O242" s="64">
        <f t="shared" si="72"/>
        <v>93.895200441462293</v>
      </c>
      <c r="P242" s="64">
        <f t="shared" si="73"/>
        <v>-3.8952004414622934</v>
      </c>
      <c r="Q242" s="65">
        <f t="shared" si="61"/>
        <v>59.14376607509282</v>
      </c>
      <c r="R242" s="64">
        <f t="shared" si="74"/>
        <v>106.45052458513742</v>
      </c>
      <c r="S242" s="59">
        <f t="shared" si="75"/>
        <v>-16.450524585137416</v>
      </c>
      <c r="T242" s="58">
        <f t="shared" si="62"/>
        <v>76.581133240592422</v>
      </c>
      <c r="U242" s="69"/>
    </row>
    <row r="243" spans="1:39" x14ac:dyDescent="0.2">
      <c r="A243" s="67">
        <v>112</v>
      </c>
      <c r="B243" s="66">
        <f t="shared" si="63"/>
        <v>1.9547687622336491</v>
      </c>
      <c r="C243" s="64">
        <f t="shared" si="64"/>
        <v>120.15405750192151</v>
      </c>
      <c r="D243" s="64">
        <f t="shared" si="65"/>
        <v>-30.154057501921514</v>
      </c>
      <c r="E243" s="65">
        <f t="shared" si="57"/>
        <v>100.35102091048753</v>
      </c>
      <c r="F243" s="64">
        <f t="shared" si="66"/>
        <v>114.75525203269078</v>
      </c>
      <c r="G243" s="64">
        <f t="shared" si="67"/>
        <v>-24.755252032690777</v>
      </c>
      <c r="H243" s="65">
        <f t="shared" si="58"/>
        <v>88.609689211255812</v>
      </c>
      <c r="I243" s="64">
        <f t="shared" si="68"/>
        <v>108.52294537550692</v>
      </c>
      <c r="J243" s="64">
        <f t="shared" si="69"/>
        <v>-18.522945375506922</v>
      </c>
      <c r="K243" s="65">
        <f t="shared" si="59"/>
        <v>77.915346662491842</v>
      </c>
      <c r="L243" s="64">
        <f t="shared" si="70"/>
        <v>101.73400216784323</v>
      </c>
      <c r="M243" s="64">
        <f t="shared" si="71"/>
        <v>-11.734002167843229</v>
      </c>
      <c r="N243" s="65">
        <f t="shared" si="60"/>
        <v>68.004626707262148</v>
      </c>
      <c r="O243" s="64">
        <f t="shared" si="72"/>
        <v>94.621070060442875</v>
      </c>
      <c r="P243" s="64">
        <f t="shared" si="73"/>
        <v>-4.6210700604428752</v>
      </c>
      <c r="Q243" s="65">
        <f t="shared" si="61"/>
        <v>58.581186339063265</v>
      </c>
      <c r="R243" s="64">
        <f t="shared" si="74"/>
        <v>107.27439282918841</v>
      </c>
      <c r="S243" s="59">
        <f t="shared" si="75"/>
        <v>-17.274392829188415</v>
      </c>
      <c r="T243" s="58">
        <f t="shared" si="62"/>
        <v>75.990261847178516</v>
      </c>
      <c r="U243" s="69"/>
    </row>
    <row r="244" spans="1:39" x14ac:dyDescent="0.2">
      <c r="A244" s="67">
        <v>113</v>
      </c>
      <c r="B244" s="66">
        <f t="shared" si="63"/>
        <v>1.9722220547535925</v>
      </c>
      <c r="C244" s="64">
        <f t="shared" si="64"/>
        <v>120.98888301429427</v>
      </c>
      <c r="D244" s="64">
        <f t="shared" si="65"/>
        <v>-30.988883014294274</v>
      </c>
      <c r="E244" s="65">
        <f t="shared" si="57"/>
        <v>99.909204969371828</v>
      </c>
      <c r="F244" s="64">
        <f t="shared" si="66"/>
        <v>115.6029407703633</v>
      </c>
      <c r="G244" s="64">
        <f t="shared" si="67"/>
        <v>-25.602940770363304</v>
      </c>
      <c r="H244" s="65">
        <f t="shared" si="58"/>
        <v>88.068203552051429</v>
      </c>
      <c r="I244" s="64">
        <f t="shared" si="68"/>
        <v>109.3512692502148</v>
      </c>
      <c r="J244" s="64">
        <f t="shared" si="69"/>
        <v>-19.351269250214798</v>
      </c>
      <c r="K244" s="65">
        <f t="shared" si="59"/>
        <v>77.323031407443409</v>
      </c>
      <c r="L244" s="64">
        <f t="shared" si="70"/>
        <v>102.51865254648737</v>
      </c>
      <c r="M244" s="64">
        <f t="shared" si="71"/>
        <v>-12.518652546487374</v>
      </c>
      <c r="N244" s="65">
        <f t="shared" si="60"/>
        <v>67.405569758327786</v>
      </c>
      <c r="O244" s="64">
        <f t="shared" si="72"/>
        <v>95.342575000314937</v>
      </c>
      <c r="P244" s="64">
        <f t="shared" si="73"/>
        <v>-5.3425750003149375</v>
      </c>
      <c r="Q244" s="65">
        <f t="shared" si="61"/>
        <v>58.012408613005846</v>
      </c>
      <c r="R244" s="64">
        <f t="shared" si="74"/>
        <v>108.09613322032209</v>
      </c>
      <c r="S244" s="59">
        <f t="shared" si="75"/>
        <v>-18.096133220322088</v>
      </c>
      <c r="T244" s="58">
        <f t="shared" si="62"/>
        <v>75.393504702323952</v>
      </c>
      <c r="U244" s="69"/>
    </row>
    <row r="245" spans="1:39" x14ac:dyDescent="0.2">
      <c r="A245" s="67">
        <v>114</v>
      </c>
      <c r="B245" s="66">
        <f t="shared" si="63"/>
        <v>1.9896753472735358</v>
      </c>
      <c r="C245" s="64">
        <f t="shared" si="64"/>
        <v>121.82483504521018</v>
      </c>
      <c r="D245" s="64">
        <f t="shared" si="65"/>
        <v>-31.824835045210179</v>
      </c>
      <c r="E245" s="65">
        <f t="shared" si="57"/>
        <v>99.466410848013666</v>
      </c>
      <c r="F245" s="64">
        <f t="shared" si="66"/>
        <v>116.45035810642275</v>
      </c>
      <c r="G245" s="64">
        <f t="shared" si="67"/>
        <v>-26.450358106422755</v>
      </c>
      <c r="H245" s="65">
        <f t="shared" si="58"/>
        <v>87.522343503159348</v>
      </c>
      <c r="I245" s="64">
        <f t="shared" si="68"/>
        <v>110.1776592441968</v>
      </c>
      <c r="J245" s="64">
        <f t="shared" si="69"/>
        <v>-20.177659244196803</v>
      </c>
      <c r="K245" s="65">
        <f t="shared" si="59"/>
        <v>76.724677526596651</v>
      </c>
      <c r="L245" s="64">
        <f t="shared" si="70"/>
        <v>103.29987769697549</v>
      </c>
      <c r="M245" s="64">
        <f t="shared" si="71"/>
        <v>-13.299877696975486</v>
      </c>
      <c r="N245" s="65">
        <f t="shared" si="60"/>
        <v>66.800013129361943</v>
      </c>
      <c r="O245" s="64">
        <f t="shared" si="72"/>
        <v>96.059595311223973</v>
      </c>
      <c r="P245" s="64">
        <f t="shared" si="73"/>
        <v>-6.0595953112239727</v>
      </c>
      <c r="Q245" s="65">
        <f t="shared" si="61"/>
        <v>57.43727033822816</v>
      </c>
      <c r="R245" s="64">
        <f t="shared" si="74"/>
        <v>108.91563449825576</v>
      </c>
      <c r="S245" s="59">
        <f t="shared" si="75"/>
        <v>-18.915634498255756</v>
      </c>
      <c r="T245" s="58">
        <f t="shared" si="62"/>
        <v>74.790549432688749</v>
      </c>
      <c r="U245" s="69"/>
    </row>
    <row r="246" spans="1:39" x14ac:dyDescent="0.2">
      <c r="A246" s="67">
        <v>115</v>
      </c>
      <c r="B246" s="66">
        <f t="shared" si="63"/>
        <v>2.0071286397934789</v>
      </c>
      <c r="C246" s="64">
        <f t="shared" si="64"/>
        <v>122.66186636447908</v>
      </c>
      <c r="D246" s="64">
        <f t="shared" si="65"/>
        <v>-32.661866364479081</v>
      </c>
      <c r="E246" s="65">
        <f t="shared" si="57"/>
        <v>99.02241948949235</v>
      </c>
      <c r="F246" s="64">
        <f t="shared" si="66"/>
        <v>117.29742451915546</v>
      </c>
      <c r="G246" s="64">
        <f t="shared" si="67"/>
        <v>-27.297424519155456</v>
      </c>
      <c r="H246" s="65">
        <f t="shared" si="58"/>
        <v>86.971773451493561</v>
      </c>
      <c r="I246" s="64">
        <f t="shared" si="68"/>
        <v>111.0020045930643</v>
      </c>
      <c r="J246" s="64">
        <f t="shared" si="69"/>
        <v>-21.002004593064299</v>
      </c>
      <c r="K246" s="65">
        <f t="shared" si="59"/>
        <v>76.119954506529808</v>
      </c>
      <c r="L246" s="64">
        <f t="shared" si="70"/>
        <v>104.07755216916841</v>
      </c>
      <c r="M246" s="64">
        <f t="shared" si="71"/>
        <v>-14.077552169168413</v>
      </c>
      <c r="N246" s="65">
        <f t="shared" si="60"/>
        <v>66.187699090887321</v>
      </c>
      <c r="O246" s="64">
        <f t="shared" si="72"/>
        <v>96.772007820894714</v>
      </c>
      <c r="P246" s="64">
        <f t="shared" si="73"/>
        <v>-6.7720078208947143</v>
      </c>
      <c r="Q246" s="65">
        <f t="shared" si="61"/>
        <v>56.855608071771478</v>
      </c>
      <c r="R246" s="64">
        <f t="shared" si="74"/>
        <v>109.73278167846716</v>
      </c>
      <c r="S246" s="59">
        <f t="shared" si="75"/>
        <v>-19.732781678467163</v>
      </c>
      <c r="T246" s="58">
        <f t="shared" si="62"/>
        <v>74.181075803070769</v>
      </c>
      <c r="U246" s="69"/>
    </row>
    <row r="247" spans="1:39" x14ac:dyDescent="0.2">
      <c r="A247" s="67">
        <v>116</v>
      </c>
      <c r="B247" s="66">
        <f t="shared" si="63"/>
        <v>2.0245819323134224</v>
      </c>
      <c r="C247" s="64">
        <f t="shared" si="64"/>
        <v>123.49992981414285</v>
      </c>
      <c r="D247" s="64">
        <f t="shared" si="65"/>
        <v>-33.499929814142845</v>
      </c>
      <c r="E247" s="65">
        <f t="shared" si="57"/>
        <v>98.577003445311789</v>
      </c>
      <c r="F247" s="64">
        <f t="shared" si="66"/>
        <v>118.14405829959883</v>
      </c>
      <c r="G247" s="64">
        <f t="shared" si="67"/>
        <v>-28.144058299598825</v>
      </c>
      <c r="H247" s="65">
        <f t="shared" si="58"/>
        <v>86.416145151727676</v>
      </c>
      <c r="I247" s="64">
        <f t="shared" si="68"/>
        <v>111.82419072794347</v>
      </c>
      <c r="J247" s="64">
        <f t="shared" si="69"/>
        <v>-21.824190727943474</v>
      </c>
      <c r="K247" s="65">
        <f t="shared" si="59"/>
        <v>75.50852259304601</v>
      </c>
      <c r="L247" s="64">
        <f t="shared" si="70"/>
        <v>104.85154646762298</v>
      </c>
      <c r="M247" s="64">
        <f t="shared" si="71"/>
        <v>-14.851546467622981</v>
      </c>
      <c r="N247" s="65">
        <f t="shared" si="60"/>
        <v>65.568365725129354</v>
      </c>
      <c r="O247" s="64">
        <f t="shared" si="72"/>
        <v>97.479686056719103</v>
      </c>
      <c r="P247" s="64">
        <f t="shared" si="73"/>
        <v>-7.4796860567191032</v>
      </c>
      <c r="Q247" s="65">
        <f t="shared" si="61"/>
        <v>56.26725756637645</v>
      </c>
      <c r="R247" s="64">
        <f t="shared" si="74"/>
        <v>110.54745582448928</v>
      </c>
      <c r="S247" s="59">
        <f t="shared" si="75"/>
        <v>-20.547455824489276</v>
      </c>
      <c r="T247" s="58">
        <f t="shared" si="62"/>
        <v>73.564755315681467</v>
      </c>
      <c r="U247" s="69"/>
    </row>
    <row r="248" spans="1:39" x14ac:dyDescent="0.2">
      <c r="A248" s="67">
        <v>117</v>
      </c>
      <c r="B248" s="66">
        <f t="shared" si="63"/>
        <v>2.0420352248333655</v>
      </c>
      <c r="C248" s="64">
        <f t="shared" si="64"/>
        <v>124.33897822680707</v>
      </c>
      <c r="D248" s="64">
        <f t="shared" si="65"/>
        <v>-34.338978226807072</v>
      </c>
      <c r="E248" s="65">
        <f t="shared" si="57"/>
        <v>98.129926121197997</v>
      </c>
      <c r="F248" s="64">
        <f t="shared" si="66"/>
        <v>118.99017533486415</v>
      </c>
      <c r="G248" s="64">
        <f t="shared" si="67"/>
        <v>-28.990175334864148</v>
      </c>
      <c r="H248" s="65">
        <f t="shared" si="58"/>
        <v>85.855096806099155</v>
      </c>
      <c r="I248" s="64">
        <f t="shared" si="68"/>
        <v>112.64409902926474</v>
      </c>
      <c r="J248" s="64">
        <f t="shared" si="69"/>
        <v>-22.644099029264737</v>
      </c>
      <c r="K248" s="65">
        <f t="shared" si="59"/>
        <v>74.890032298738618</v>
      </c>
      <c r="L248" s="64">
        <f t="shared" si="70"/>
        <v>105.62172687890165</v>
      </c>
      <c r="M248" s="64">
        <f t="shared" si="71"/>
        <v>-15.621726878901654</v>
      </c>
      <c r="N248" s="65">
        <f t="shared" si="60"/>
        <v>64.94174683095018</v>
      </c>
      <c r="O248" s="64">
        <f t="shared" si="72"/>
        <v>98.182500168727614</v>
      </c>
      <c r="P248" s="64">
        <f t="shared" si="73"/>
        <v>-8.1825001687276142</v>
      </c>
      <c r="Q248" s="65">
        <f t="shared" si="61"/>
        <v>55.672053865813055</v>
      </c>
      <c r="R248" s="64">
        <f t="shared" si="74"/>
        <v>111.35953381006932</v>
      </c>
      <c r="S248" s="59">
        <f t="shared" si="75"/>
        <v>-21.359533810069323</v>
      </c>
      <c r="T248" s="58">
        <f t="shared" si="62"/>
        <v>72.941250806514702</v>
      </c>
      <c r="U248" s="69"/>
    </row>
    <row r="249" spans="1:39" x14ac:dyDescent="0.2">
      <c r="A249" s="67">
        <v>118</v>
      </c>
      <c r="B249" s="66">
        <f t="shared" si="63"/>
        <v>2.0594885173533091</v>
      </c>
      <c r="C249" s="64">
        <f t="shared" si="64"/>
        <v>125.17896433952261</v>
      </c>
      <c r="D249" s="64">
        <f t="shared" si="65"/>
        <v>-35.178964339522608</v>
      </c>
      <c r="E249" s="65">
        <f t="shared" si="57"/>
        <v>97.680940957043561</v>
      </c>
      <c r="F249" s="64">
        <f t="shared" si="66"/>
        <v>119.83568887737809</v>
      </c>
      <c r="G249" s="64">
        <f t="shared" si="67"/>
        <v>-29.83568887737809</v>
      </c>
      <c r="H249" s="65">
        <f t="shared" si="58"/>
        <v>85.288252084620169</v>
      </c>
      <c r="I249" s="64">
        <f t="shared" si="68"/>
        <v>113.46160656851252</v>
      </c>
      <c r="J249" s="64">
        <f t="shared" si="69"/>
        <v>-23.461606568512522</v>
      </c>
      <c r="K249" s="65">
        <f t="shared" si="59"/>
        <v>74.264123901291796</v>
      </c>
      <c r="L249" s="64">
        <f t="shared" si="70"/>
        <v>106.3879552946528</v>
      </c>
      <c r="M249" s="64">
        <f t="shared" si="71"/>
        <v>-16.387955294652798</v>
      </c>
      <c r="N249" s="65">
        <f t="shared" si="60"/>
        <v>64.307571845097414</v>
      </c>
      <c r="O249" s="64">
        <f t="shared" si="72"/>
        <v>98.880316853759041</v>
      </c>
      <c r="P249" s="64">
        <f t="shared" si="73"/>
        <v>-8.8803168537590409</v>
      </c>
      <c r="Q249" s="65">
        <f t="shared" si="61"/>
        <v>55.069831416475232</v>
      </c>
      <c r="R249" s="64">
        <f t="shared" si="74"/>
        <v>112.16888807065835</v>
      </c>
      <c r="S249" s="59">
        <f t="shared" si="75"/>
        <v>-22.168888070658355</v>
      </c>
      <c r="T249" s="58">
        <f t="shared" si="62"/>
        <v>72.310216039866731</v>
      </c>
      <c r="U249" s="68"/>
    </row>
    <row r="250" spans="1:39" x14ac:dyDescent="0.2">
      <c r="A250" s="67">
        <v>119</v>
      </c>
      <c r="B250" s="66">
        <f t="shared" si="63"/>
        <v>2.0769418098732522</v>
      </c>
      <c r="C250" s="64">
        <f t="shared" si="64"/>
        <v>126.01984070262074</v>
      </c>
      <c r="D250" s="64">
        <f t="shared" si="65"/>
        <v>-36.019840702620741</v>
      </c>
      <c r="E250" s="65">
        <f t="shared" si="57"/>
        <v>97.229790533880589</v>
      </c>
      <c r="F250" s="64">
        <f t="shared" si="66"/>
        <v>120.68050929868389</v>
      </c>
      <c r="G250" s="64">
        <f t="shared" si="67"/>
        <v>-30.680509298683887</v>
      </c>
      <c r="H250" s="65">
        <f t="shared" si="58"/>
        <v>84.715219081143374</v>
      </c>
      <c r="I250" s="64">
        <f t="shared" si="68"/>
        <v>114.27658583722004</v>
      </c>
      <c r="J250" s="64">
        <f t="shared" si="69"/>
        <v>-24.27658583722004</v>
      </c>
      <c r="K250" s="65">
        <f t="shared" si="59"/>
        <v>73.630426933317295</v>
      </c>
      <c r="L250" s="64">
        <f t="shared" si="70"/>
        <v>107.15008903055039</v>
      </c>
      <c r="M250" s="64">
        <f t="shared" si="71"/>
        <v>-17.15008903055039</v>
      </c>
      <c r="N250" s="65">
        <f t="shared" si="60"/>
        <v>63.665565781619662</v>
      </c>
      <c r="O250" s="64">
        <f t="shared" si="72"/>
        <v>99.572999281176081</v>
      </c>
      <c r="P250" s="64">
        <f t="shared" si="73"/>
        <v>-9.5729992811760809</v>
      </c>
      <c r="Q250" s="65">
        <f t="shared" si="61"/>
        <v>54.46042419618486</v>
      </c>
      <c r="R250" s="64">
        <f t="shared" si="74"/>
        <v>112.9753863436959</v>
      </c>
      <c r="S250" s="59">
        <f t="shared" si="75"/>
        <v>-22.975386343695902</v>
      </c>
      <c r="T250" s="58">
        <f t="shared" si="62"/>
        <v>71.67129530231837</v>
      </c>
    </row>
    <row r="251" spans="1:39" s="54" customFormat="1" x14ac:dyDescent="0.2">
      <c r="A251" s="63">
        <v>120</v>
      </c>
      <c r="B251" s="62">
        <f t="shared" si="63"/>
        <v>2.0943951023931953</v>
      </c>
      <c r="C251" s="60">
        <f t="shared" si="64"/>
        <v>126.86155958283571</v>
      </c>
      <c r="D251" s="60">
        <f t="shared" si="65"/>
        <v>-36.86155958283571</v>
      </c>
      <c r="E251" s="61">
        <f t="shared" si="57"/>
        <v>96.776205599881848</v>
      </c>
      <c r="F251" s="60">
        <f t="shared" si="66"/>
        <v>121.52454382631834</v>
      </c>
      <c r="G251" s="60">
        <f t="shared" si="67"/>
        <v>-31.524543826318336</v>
      </c>
      <c r="H251" s="61">
        <f t="shared" si="58"/>
        <v>84.135589200421549</v>
      </c>
      <c r="I251" s="60">
        <f t="shared" si="68"/>
        <v>115.08890446247739</v>
      </c>
      <c r="J251" s="60">
        <f t="shared" si="69"/>
        <v>-25.088904462477387</v>
      </c>
      <c r="K251" s="61">
        <f t="shared" si="59"/>
        <v>72.988559664796682</v>
      </c>
      <c r="L251" s="60">
        <f t="shared" si="70"/>
        <v>107.90798064123079</v>
      </c>
      <c r="M251" s="60">
        <f t="shared" si="71"/>
        <v>-17.907980641230793</v>
      </c>
      <c r="N251" s="61">
        <f t="shared" si="60"/>
        <v>63.015449191497034</v>
      </c>
      <c r="O251" s="60">
        <f t="shared" si="72"/>
        <v>100.26040702050959</v>
      </c>
      <c r="P251" s="60">
        <f t="shared" si="73"/>
        <v>-10.260407020509589</v>
      </c>
      <c r="Q251" s="61">
        <f t="shared" si="61"/>
        <v>53.84366586119085</v>
      </c>
      <c r="R251" s="60">
        <f t="shared" si="74"/>
        <v>113.77889139715815</v>
      </c>
      <c r="S251" s="59">
        <f t="shared" si="75"/>
        <v>-23.778891397158148</v>
      </c>
      <c r="T251" s="58">
        <f t="shared" si="62"/>
        <v>71.024122997774867</v>
      </c>
      <c r="U251" s="57"/>
      <c r="V251" s="56">
        <f>E251</f>
        <v>96.776205599881848</v>
      </c>
      <c r="W251" s="55"/>
      <c r="AM251" s="55">
        <f>D251</f>
        <v>-36.86155958283571</v>
      </c>
    </row>
    <row r="252" spans="1:39" x14ac:dyDescent="0.2">
      <c r="V252" s="53">
        <f>H251</f>
        <v>84.135589200421549</v>
      </c>
      <c r="AM252" s="50">
        <f>G251</f>
        <v>-31.524543826318336</v>
      </c>
    </row>
    <row r="253" spans="1:39" x14ac:dyDescent="0.2">
      <c r="V253" s="53">
        <f>K251</f>
        <v>72.988559664796682</v>
      </c>
      <c r="AM253" s="50">
        <f>J251</f>
        <v>-25.088904462477387</v>
      </c>
    </row>
    <row r="254" spans="1:39" x14ac:dyDescent="0.2">
      <c r="V254" s="53">
        <f>N251</f>
        <v>63.015449191497034</v>
      </c>
      <c r="AM254" s="50">
        <f>M251</f>
        <v>-17.907980641230793</v>
      </c>
    </row>
    <row r="255" spans="1:39" x14ac:dyDescent="0.2">
      <c r="V255" s="53">
        <f>Q251</f>
        <v>53.84366586119085</v>
      </c>
      <c r="AM255" s="50">
        <f>P251</f>
        <v>-10.260407020509589</v>
      </c>
    </row>
  </sheetData>
  <pageMargins left="0.75" right="0.75" top="1" bottom="1" header="0" footer="0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Ej-1a_PosicSol_Madrid</vt:lpstr>
      <vt:lpstr>Ej-1b_Munich</vt:lpstr>
      <vt:lpstr>Ej-1c_CMexico</vt:lpstr>
      <vt:lpstr>Ej-2a_TraySol_Mad</vt:lpstr>
      <vt:lpstr>Ej-2b_Munich</vt:lpstr>
      <vt:lpstr>Ej-2c_CMex</vt:lpstr>
      <vt:lpstr>Ej.Lat -32</vt:lpstr>
      <vt:lpstr>'Ej.Lat -32'!decli1</vt:lpstr>
      <vt:lpstr>'Ej-2a_TraySol_Mad'!decli1</vt:lpstr>
      <vt:lpstr>'Ej-2b_Munich'!decli1</vt:lpstr>
      <vt:lpstr>'Ej-2c_CMex'!decli1</vt:lpstr>
    </vt:vector>
  </TitlesOfParts>
  <Company>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Estefanía Caamaño Martín</cp:lastModifiedBy>
  <dcterms:created xsi:type="dcterms:W3CDTF">2009-11-03T17:25:49Z</dcterms:created>
  <dcterms:modified xsi:type="dcterms:W3CDTF">2023-10-24T15:22:14Z</dcterms:modified>
</cp:coreProperties>
</file>