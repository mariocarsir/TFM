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berdrola-my.sharepoint.com/personal/lfcastresana_iberdrola_es/Documents/Master ERMA/2025/"/>
    </mc:Choice>
  </mc:AlternateContent>
  <xr:revisionPtr revIDLastSave="326" documentId="13_ncr:1_{91105518-A01C-4C17-8A8D-1192DF43ADD7}" xr6:coauthVersionLast="47" xr6:coauthVersionMax="47" xr10:uidLastSave="{A6E2EBB5-E64A-48CD-A592-9F2113FF5E16}"/>
  <bookViews>
    <workbookView xWindow="-5130" yWindow="-16320" windowWidth="29040" windowHeight="15840" xr2:uid="{00000000-000D-0000-FFFF-FFFF00000000}"/>
  </bookViews>
  <sheets>
    <sheet name="Hipótesis" sheetId="3" r:id="rId1"/>
    <sheet name="FC" sheetId="8" r:id="rId2"/>
    <sheet name="P&amp;L" sheetId="1" r:id="rId3"/>
    <sheet name="Senda de precios mercado" sheetId="9" r:id="rId4"/>
  </sheets>
  <definedNames>
    <definedName name="_xlnm._FilterDatabase" localSheetId="0" hidden="1">Hipótesis!$B$5:$F$28</definedName>
    <definedName name="solver_adj" localSheetId="1" hidden="1">FC!$E$38</definedName>
    <definedName name="solver_cvg" localSheetId="1" hidden="1">0.0001</definedName>
    <definedName name="solver_drv" localSheetId="1" hidden="1">1</definedName>
    <definedName name="solver_est" localSheetId="1" hidden="1">1</definedName>
    <definedName name="solver_itr" localSheetId="1" hidden="1">100</definedName>
    <definedName name="solver_lin" localSheetId="1" hidden="1">2</definedName>
    <definedName name="solver_neg" localSheetId="1" hidden="1">2</definedName>
    <definedName name="solver_num" localSheetId="1" hidden="1">0</definedName>
    <definedName name="solver_nwt" localSheetId="1" hidden="1">1</definedName>
    <definedName name="solver_opt" localSheetId="1" hidden="1">FC!$C$43</definedName>
    <definedName name="solver_pre" localSheetId="1" hidden="1">0.000001</definedName>
    <definedName name="solver_scl" localSheetId="1" hidden="1">2</definedName>
    <definedName name="solver_sho" localSheetId="1" hidden="1">2</definedName>
    <definedName name="solver_tim" localSheetId="1" hidden="1">100</definedName>
    <definedName name="solver_tol" localSheetId="1" hidden="1">0.05</definedName>
    <definedName name="solver_typ" localSheetId="1" hidden="1">3</definedName>
    <definedName name="solver_val" localSheetId="1" hidden="1">0.1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3" l="1"/>
  <c r="E10" i="3"/>
  <c r="E18" i="3"/>
  <c r="E12" i="3"/>
  <c r="E9" i="3"/>
  <c r="E8" i="3"/>
  <c r="B2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8" i="9"/>
  <c r="A6" i="9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J28" i="3"/>
  <c r="G86" i="8"/>
  <c r="H86" i="8"/>
  <c r="I86" i="8" s="1"/>
  <c r="J86" i="8" s="1"/>
  <c r="K86" i="8" s="1"/>
  <c r="L86" i="8" s="1"/>
  <c r="M86" i="8" s="1"/>
  <c r="N86" i="8" s="1"/>
  <c r="O86" i="8" s="1"/>
  <c r="P86" i="8" s="1"/>
  <c r="Q86" i="8" s="1"/>
  <c r="R86" i="8" s="1"/>
  <c r="S86" i="8" s="1"/>
  <c r="T86" i="8" s="1"/>
  <c r="U86" i="8" s="1"/>
  <c r="V86" i="8" s="1"/>
  <c r="W86" i="8" s="1"/>
  <c r="X86" i="8" s="1"/>
  <c r="Y86" i="8" s="1"/>
  <c r="Z86" i="8" s="1"/>
  <c r="AA86" i="8" s="1"/>
  <c r="AB86" i="8" s="1"/>
  <c r="AC86" i="8" s="1"/>
  <c r="AD86" i="8" s="1"/>
  <c r="AE86" i="8" s="1"/>
  <c r="AF86" i="8" s="1"/>
  <c r="AG86" i="8" s="1"/>
  <c r="AH86" i="8" s="1"/>
  <c r="AI86" i="8" s="1"/>
  <c r="F86" i="8"/>
  <c r="G88" i="8"/>
  <c r="G5" i="9" l="1"/>
  <c r="C5" i="9" s="1"/>
  <c r="B5" i="9" s="1"/>
  <c r="J34" i="3"/>
  <c r="J33" i="3"/>
  <c r="E14" i="3"/>
  <c r="E4" i="3"/>
  <c r="D5" i="9" l="1"/>
  <c r="G6" i="9"/>
  <c r="G7" i="9" s="1"/>
  <c r="G8" i="9" s="1"/>
  <c r="G9" i="9" s="1"/>
  <c r="G10" i="9" s="1"/>
  <c r="G11" i="9" s="1"/>
  <c r="J35" i="3"/>
  <c r="E26" i="3" s="1"/>
  <c r="C93" i="8" s="1"/>
  <c r="F2" i="8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AG2" i="8" s="1"/>
  <c r="AH2" i="8" s="1"/>
  <c r="C6" i="9" l="1"/>
  <c r="B6" i="9" s="1"/>
  <c r="B2" i="8"/>
  <c r="C64" i="8"/>
  <c r="E38" i="8"/>
  <c r="F9" i="3"/>
  <c r="AG21" i="8"/>
  <c r="AH21" i="8"/>
  <c r="AI21" i="8"/>
  <c r="AJ21" i="8"/>
  <c r="AG55" i="8"/>
  <c r="AH55" i="8"/>
  <c r="AI55" i="8"/>
  <c r="AJ55" i="8"/>
  <c r="E8" i="8"/>
  <c r="D6" i="9" l="1"/>
  <c r="C7" i="9"/>
  <c r="C8" i="9" s="1"/>
  <c r="C44" i="8"/>
  <c r="Z21" i="8"/>
  <c r="AA21" i="8"/>
  <c r="AB21" i="8"/>
  <c r="AC21" i="8"/>
  <c r="AD21" i="8"/>
  <c r="AE21" i="8"/>
  <c r="AF21" i="8"/>
  <c r="Z55" i="8"/>
  <c r="AA55" i="8"/>
  <c r="AB55" i="8"/>
  <c r="AC55" i="8"/>
  <c r="AD55" i="8"/>
  <c r="AE55" i="8"/>
  <c r="AF55" i="8"/>
  <c r="B7" i="9" l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G38" i="9" s="1"/>
  <c r="G39" i="9" s="1"/>
  <c r="G40" i="9" s="1"/>
  <c r="G41" i="9" s="1"/>
  <c r="G42" i="9" s="1"/>
  <c r="D7" i="9"/>
  <c r="C9" i="9"/>
  <c r="C10" i="9" s="1"/>
  <c r="C11" i="9" s="1"/>
  <c r="D8" i="9"/>
  <c r="B8" i="9"/>
  <c r="C12" i="9" l="1"/>
  <c r="C13" i="9" s="1"/>
  <c r="C14" i="9" s="1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s="1"/>
  <c r="C39" i="9" s="1"/>
  <c r="C40" i="9" s="1"/>
  <c r="C41" i="9" s="1"/>
  <c r="C42" i="9" s="1"/>
  <c r="B11" i="9"/>
  <c r="B10" i="9"/>
  <c r="D10" i="9"/>
  <c r="B9" i="9"/>
  <c r="D9" i="9"/>
  <c r="D11" i="9"/>
  <c r="B12" i="9" l="1"/>
  <c r="D12" i="9"/>
  <c r="D13" i="9"/>
  <c r="B13" i="9"/>
  <c r="Q21" i="8"/>
  <c r="R21" i="8"/>
  <c r="S21" i="8"/>
  <c r="T21" i="8"/>
  <c r="U21" i="8"/>
  <c r="V21" i="8"/>
  <c r="W21" i="8"/>
  <c r="X21" i="8"/>
  <c r="Y21" i="8"/>
  <c r="E79" i="8"/>
  <c r="I80" i="8" l="1"/>
  <c r="D14" i="9"/>
  <c r="B14" i="9"/>
  <c r="P80" i="8"/>
  <c r="L80" i="8"/>
  <c r="H80" i="8"/>
  <c r="O80" i="8"/>
  <c r="K80" i="8"/>
  <c r="G80" i="8"/>
  <c r="N80" i="8"/>
  <c r="J80" i="8"/>
  <c r="F80" i="8"/>
  <c r="E80" i="8"/>
  <c r="E81" i="8" s="1"/>
  <c r="E82" i="8" s="1"/>
  <c r="M80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D3" i="8"/>
  <c r="D13" i="8" s="1"/>
  <c r="D29" i="8" s="1"/>
  <c r="D49" i="8" s="1"/>
  <c r="D78" i="8" s="1"/>
  <c r="E58" i="8"/>
  <c r="Y55" i="8"/>
  <c r="E55" i="8"/>
  <c r="E83" i="8" l="1"/>
  <c r="E21" i="8" s="1"/>
  <c r="D13" i="1" s="1"/>
  <c r="D15" i="9"/>
  <c r="B15" i="9"/>
  <c r="F79" i="8"/>
  <c r="F81" i="8" s="1"/>
  <c r="F82" i="8" s="1"/>
  <c r="F83" i="8" s="1"/>
  <c r="F21" i="8" s="1"/>
  <c r="E13" i="1" s="1"/>
  <c r="E3" i="8"/>
  <c r="D55" i="8"/>
  <c r="D54" i="8"/>
  <c r="D52" i="8"/>
  <c r="F9" i="8"/>
  <c r="D9" i="8"/>
  <c r="E9" i="8"/>
  <c r="E4" i="8" l="1"/>
  <c r="E92" i="8" s="1"/>
  <c r="D16" i="9"/>
  <c r="B16" i="9"/>
  <c r="D5" i="1"/>
  <c r="H5" i="1" s="1"/>
  <c r="G79" i="8"/>
  <c r="G81" i="8" s="1"/>
  <c r="G82" i="8" s="1"/>
  <c r="G83" i="8" s="1"/>
  <c r="G21" i="8" s="1"/>
  <c r="F13" i="1" s="1"/>
  <c r="F3" i="8"/>
  <c r="F4" i="8" s="1"/>
  <c r="F92" i="8" s="1"/>
  <c r="E13" i="8"/>
  <c r="E29" i="8" s="1"/>
  <c r="E49" i="8" s="1"/>
  <c r="D31" i="8"/>
  <c r="E6" i="8" l="1"/>
  <c r="F6" i="8" s="1"/>
  <c r="E5" i="8"/>
  <c r="H79" i="8"/>
  <c r="H81" i="8" s="1"/>
  <c r="I79" i="8" s="1"/>
  <c r="E78" i="8"/>
  <c r="E87" i="8" s="1"/>
  <c r="E59" i="8"/>
  <c r="D17" i="9"/>
  <c r="B17" i="9"/>
  <c r="E19" i="8"/>
  <c r="D11" i="1" s="1"/>
  <c r="E15" i="8"/>
  <c r="E17" i="8"/>
  <c r="E5" i="1"/>
  <c r="I5" i="1" s="1"/>
  <c r="F13" i="8"/>
  <c r="F29" i="8" s="1"/>
  <c r="F49" i="8" s="1"/>
  <c r="G3" i="8"/>
  <c r="G4" i="8" s="1"/>
  <c r="G92" i="8" s="1"/>
  <c r="D17" i="8"/>
  <c r="D33" i="8" s="1"/>
  <c r="D14" i="8"/>
  <c r="E37" i="8"/>
  <c r="F37" i="8"/>
  <c r="F88" i="8" s="1"/>
  <c r="D37" i="8"/>
  <c r="G6" i="8" l="1"/>
  <c r="E68" i="8"/>
  <c r="E88" i="8"/>
  <c r="H82" i="8"/>
  <c r="H83" i="8" s="1"/>
  <c r="H21" i="8" s="1"/>
  <c r="F78" i="8"/>
  <c r="F87" i="8" s="1"/>
  <c r="F59" i="8"/>
  <c r="E7" i="8"/>
  <c r="E14" i="8" s="1"/>
  <c r="D18" i="9"/>
  <c r="B18" i="9"/>
  <c r="F19" i="8"/>
  <c r="E11" i="1" s="1"/>
  <c r="F15" i="8"/>
  <c r="F8" i="8"/>
  <c r="G5" i="8"/>
  <c r="F5" i="8"/>
  <c r="D7" i="1"/>
  <c r="E31" i="8"/>
  <c r="E51" i="8" s="1"/>
  <c r="F5" i="1"/>
  <c r="J5" i="1" s="1"/>
  <c r="F57" i="8"/>
  <c r="F68" i="8"/>
  <c r="G13" i="8"/>
  <c r="G29" i="8" s="1"/>
  <c r="G49" i="8" s="1"/>
  <c r="H3" i="8"/>
  <c r="H4" i="8" s="1"/>
  <c r="H92" i="8" s="1"/>
  <c r="D40" i="8"/>
  <c r="D57" i="8"/>
  <c r="D60" i="8" s="1"/>
  <c r="D53" i="8"/>
  <c r="E57" i="8"/>
  <c r="E33" i="8"/>
  <c r="D16" i="8"/>
  <c r="D30" i="8"/>
  <c r="E89" i="8" l="1"/>
  <c r="H6" i="8"/>
  <c r="G78" i="8"/>
  <c r="G87" i="8" s="1"/>
  <c r="G59" i="8"/>
  <c r="F7" i="8"/>
  <c r="F14" i="8" s="1"/>
  <c r="E6" i="1" s="1"/>
  <c r="D19" i="9"/>
  <c r="B19" i="9"/>
  <c r="G8" i="8"/>
  <c r="F17" i="8"/>
  <c r="F33" i="8" s="1"/>
  <c r="G19" i="8"/>
  <c r="F11" i="1" s="1"/>
  <c r="G15" i="8"/>
  <c r="E7" i="1"/>
  <c r="F31" i="8"/>
  <c r="F51" i="8" s="1"/>
  <c r="G7" i="8"/>
  <c r="H5" i="8"/>
  <c r="E53" i="8"/>
  <c r="D9" i="1"/>
  <c r="D6" i="1"/>
  <c r="D8" i="1" s="1"/>
  <c r="E16" i="8"/>
  <c r="I81" i="8"/>
  <c r="J79" i="8" s="1"/>
  <c r="I3" i="8"/>
  <c r="I4" i="8" s="1"/>
  <c r="I92" i="8" s="1"/>
  <c r="H13" i="8"/>
  <c r="H29" i="8" s="1"/>
  <c r="E30" i="8"/>
  <c r="E50" i="8" s="1"/>
  <c r="D18" i="8"/>
  <c r="D32" i="8"/>
  <c r="F89" i="8" l="1"/>
  <c r="I6" i="8"/>
  <c r="H49" i="8"/>
  <c r="H39" i="8"/>
  <c r="H88" i="8" s="1"/>
  <c r="E8" i="1"/>
  <c r="I8" i="1" s="1"/>
  <c r="D20" i="9"/>
  <c r="B20" i="9"/>
  <c r="I7" i="1"/>
  <c r="I11" i="1"/>
  <c r="I13" i="1"/>
  <c r="F30" i="8"/>
  <c r="F50" i="8" s="1"/>
  <c r="F16" i="8"/>
  <c r="F32" i="8" s="1"/>
  <c r="F52" i="8" s="1"/>
  <c r="I6" i="1"/>
  <c r="H7" i="8"/>
  <c r="G14" i="8"/>
  <c r="F6" i="1" s="1"/>
  <c r="H19" i="8"/>
  <c r="H15" i="8"/>
  <c r="H31" i="8" s="1"/>
  <c r="H51" i="8" s="1"/>
  <c r="I5" i="8"/>
  <c r="G31" i="8"/>
  <c r="G51" i="8" s="1"/>
  <c r="F7" i="1"/>
  <c r="H8" i="8"/>
  <c r="G17" i="8"/>
  <c r="G33" i="8" s="1"/>
  <c r="D10" i="1"/>
  <c r="D12" i="1" s="1"/>
  <c r="D14" i="1" s="1"/>
  <c r="H6" i="1"/>
  <c r="H9" i="1"/>
  <c r="H7" i="1"/>
  <c r="F53" i="8"/>
  <c r="E9" i="1"/>
  <c r="H13" i="1"/>
  <c r="H11" i="1"/>
  <c r="I82" i="8"/>
  <c r="H8" i="1"/>
  <c r="J3" i="8"/>
  <c r="J4" i="8" s="1"/>
  <c r="J92" i="8" s="1"/>
  <c r="I13" i="8"/>
  <c r="I29" i="8" s="1"/>
  <c r="D20" i="8"/>
  <c r="D22" i="8" s="1"/>
  <c r="D34" i="8"/>
  <c r="D50" i="8" s="1"/>
  <c r="E18" i="8"/>
  <c r="E34" i="8" s="1"/>
  <c r="E54" i="8" s="1"/>
  <c r="E32" i="8"/>
  <c r="E52" i="8" s="1"/>
  <c r="G89" i="8" l="1"/>
  <c r="J6" i="8"/>
  <c r="H78" i="8"/>
  <c r="H87" i="8" s="1"/>
  <c r="H59" i="8"/>
  <c r="I49" i="8"/>
  <c r="I39" i="8"/>
  <c r="I88" i="8" s="1"/>
  <c r="F8" i="1"/>
  <c r="J8" i="1" s="1"/>
  <c r="D21" i="9"/>
  <c r="B21" i="9"/>
  <c r="F18" i="8"/>
  <c r="F34" i="8" s="1"/>
  <c r="F54" i="8" s="1"/>
  <c r="F69" i="8" s="1"/>
  <c r="F70" i="8" s="1"/>
  <c r="J11" i="1"/>
  <c r="J7" i="1"/>
  <c r="I8" i="8"/>
  <c r="H17" i="8"/>
  <c r="J6" i="1"/>
  <c r="I19" i="8"/>
  <c r="I15" i="8"/>
  <c r="I31" i="8" s="1"/>
  <c r="I51" i="8" s="1"/>
  <c r="I7" i="8"/>
  <c r="H14" i="8"/>
  <c r="H30" i="8" s="1"/>
  <c r="H50" i="8" s="1"/>
  <c r="G30" i="8"/>
  <c r="G50" i="8" s="1"/>
  <c r="J13" i="1"/>
  <c r="G16" i="8"/>
  <c r="G32" i="8" s="1"/>
  <c r="G52" i="8" s="1"/>
  <c r="J5" i="8"/>
  <c r="E10" i="1"/>
  <c r="E12" i="1" s="1"/>
  <c r="E14" i="1" s="1"/>
  <c r="I9" i="1"/>
  <c r="G53" i="8"/>
  <c r="F9" i="1"/>
  <c r="I83" i="8"/>
  <c r="I21" i="8" s="1"/>
  <c r="H10" i="1"/>
  <c r="K3" i="8"/>
  <c r="K4" i="8" s="1"/>
  <c r="K92" i="8" s="1"/>
  <c r="J13" i="8"/>
  <c r="J29" i="8" s="1"/>
  <c r="E56" i="8"/>
  <c r="E60" i="8" s="1"/>
  <c r="E69" i="8"/>
  <c r="E70" i="8" s="1"/>
  <c r="E71" i="8" s="1"/>
  <c r="E20" i="8"/>
  <c r="D23" i="8"/>
  <c r="K6" i="8" l="1"/>
  <c r="I78" i="8"/>
  <c r="I87" i="8" s="1"/>
  <c r="I59" i="8"/>
  <c r="J49" i="8"/>
  <c r="J39" i="8"/>
  <c r="J88" i="8" s="1"/>
  <c r="H16" i="8"/>
  <c r="H32" i="8" s="1"/>
  <c r="H52" i="8" s="1"/>
  <c r="F20" i="8"/>
  <c r="F22" i="8" s="1"/>
  <c r="F23" i="8" s="1"/>
  <c r="E15" i="1" s="1"/>
  <c r="E16" i="1" s="1"/>
  <c r="D22" i="9"/>
  <c r="B22" i="9"/>
  <c r="G18" i="8"/>
  <c r="G34" i="8" s="1"/>
  <c r="G54" i="8" s="1"/>
  <c r="G69" i="8" s="1"/>
  <c r="G70" i="8" s="1"/>
  <c r="G71" i="8" s="1"/>
  <c r="J19" i="8"/>
  <c r="J15" i="8"/>
  <c r="J31" i="8" s="1"/>
  <c r="J51" i="8" s="1"/>
  <c r="J7" i="8"/>
  <c r="I14" i="8"/>
  <c r="I16" i="8" s="1"/>
  <c r="I32" i="8" s="1"/>
  <c r="I52" i="8" s="1"/>
  <c r="K5" i="8"/>
  <c r="J8" i="8"/>
  <c r="I17" i="8"/>
  <c r="I10" i="1"/>
  <c r="J9" i="1"/>
  <c r="F10" i="1"/>
  <c r="F12" i="1" s="1"/>
  <c r="F14" i="1" s="1"/>
  <c r="E22" i="8"/>
  <c r="E23" i="8" s="1"/>
  <c r="D15" i="1" s="1"/>
  <c r="D16" i="1" s="1"/>
  <c r="E35" i="8"/>
  <c r="E90" i="8" s="1"/>
  <c r="E91" i="8" s="1"/>
  <c r="J81" i="8"/>
  <c r="K79" i="8" s="1"/>
  <c r="H12" i="1"/>
  <c r="I12" i="1"/>
  <c r="L3" i="8"/>
  <c r="L4" i="8" s="1"/>
  <c r="L92" i="8" s="1"/>
  <c r="K13" i="8"/>
  <c r="K29" i="8" s="1"/>
  <c r="F71" i="8"/>
  <c r="F72" i="8" s="1"/>
  <c r="F55" i="8" s="1"/>
  <c r="F56" i="8" s="1"/>
  <c r="F60" i="8" s="1"/>
  <c r="D24" i="8"/>
  <c r="D35" i="8"/>
  <c r="D51" i="8" s="1"/>
  <c r="H33" i="8"/>
  <c r="L6" i="8" l="1"/>
  <c r="H53" i="8"/>
  <c r="H89" i="8"/>
  <c r="F35" i="8"/>
  <c r="J78" i="8"/>
  <c r="J87" i="8" s="1"/>
  <c r="J59" i="8"/>
  <c r="K49" i="8"/>
  <c r="K39" i="8"/>
  <c r="K88" i="8" s="1"/>
  <c r="H18" i="8"/>
  <c r="H20" i="8" s="1"/>
  <c r="F24" i="8"/>
  <c r="G20" i="8"/>
  <c r="G22" i="8" s="1"/>
  <c r="G23" i="8" s="1"/>
  <c r="F15" i="1" s="1"/>
  <c r="F16" i="1" s="1"/>
  <c r="D23" i="9"/>
  <c r="B23" i="9"/>
  <c r="K8" i="8"/>
  <c r="J17" i="8"/>
  <c r="L5" i="8"/>
  <c r="K19" i="8"/>
  <c r="K15" i="8"/>
  <c r="K31" i="8" s="1"/>
  <c r="K51" i="8" s="1"/>
  <c r="K7" i="8"/>
  <c r="J14" i="8"/>
  <c r="J16" i="8" s="1"/>
  <c r="J32" i="8" s="1"/>
  <c r="J52" i="8" s="1"/>
  <c r="J10" i="1"/>
  <c r="I30" i="8"/>
  <c r="I50" i="8" s="1"/>
  <c r="E24" i="8"/>
  <c r="J82" i="8"/>
  <c r="J12" i="1"/>
  <c r="I15" i="1"/>
  <c r="I14" i="1"/>
  <c r="H14" i="1"/>
  <c r="M3" i="8"/>
  <c r="M4" i="8" s="1"/>
  <c r="M92" i="8" s="1"/>
  <c r="L13" i="8"/>
  <c r="L29" i="8" s="1"/>
  <c r="G72" i="8"/>
  <c r="G55" i="8" s="1"/>
  <c r="G56" i="8" s="1"/>
  <c r="G60" i="8" s="1"/>
  <c r="E36" i="8"/>
  <c r="E40" i="8" s="1"/>
  <c r="I18" i="8"/>
  <c r="I33" i="8"/>
  <c r="M6" i="8" l="1"/>
  <c r="I53" i="8"/>
  <c r="I89" i="8"/>
  <c r="F36" i="8"/>
  <c r="F40" i="8" s="1"/>
  <c r="F90" i="8"/>
  <c r="F91" i="8" s="1"/>
  <c r="H34" i="8"/>
  <c r="H54" i="8" s="1"/>
  <c r="H69" i="8" s="1"/>
  <c r="H70" i="8" s="1"/>
  <c r="H71" i="8" s="1"/>
  <c r="H72" i="8" s="1"/>
  <c r="H55" i="8" s="1"/>
  <c r="H56" i="8" s="1"/>
  <c r="H60" i="8" s="1"/>
  <c r="K78" i="8"/>
  <c r="K87" i="8" s="1"/>
  <c r="K59" i="8"/>
  <c r="L49" i="8"/>
  <c r="L39" i="8"/>
  <c r="L88" i="8" s="1"/>
  <c r="G35" i="8"/>
  <c r="D24" i="9"/>
  <c r="B24" i="9"/>
  <c r="J30" i="8"/>
  <c r="J50" i="8" s="1"/>
  <c r="M5" i="8"/>
  <c r="L7" i="8"/>
  <c r="K14" i="8"/>
  <c r="K16" i="8" s="1"/>
  <c r="K32" i="8" s="1"/>
  <c r="K52" i="8" s="1"/>
  <c r="L8" i="8"/>
  <c r="K17" i="8"/>
  <c r="L19" i="8"/>
  <c r="L15" i="8"/>
  <c r="L31" i="8" s="1"/>
  <c r="L51" i="8" s="1"/>
  <c r="G24" i="8"/>
  <c r="H22" i="8"/>
  <c r="H23" i="8" s="1"/>
  <c r="H35" i="8"/>
  <c r="H90" i="8" s="1"/>
  <c r="H91" i="8" s="1"/>
  <c r="J83" i="8"/>
  <c r="J21" i="8" s="1"/>
  <c r="H15" i="1"/>
  <c r="J14" i="1"/>
  <c r="N3" i="8"/>
  <c r="N4" i="8" s="1"/>
  <c r="N92" i="8" s="1"/>
  <c r="M13" i="8"/>
  <c r="M29" i="8" s="1"/>
  <c r="I20" i="8"/>
  <c r="I34" i="8"/>
  <c r="I54" i="8" s="1"/>
  <c r="J18" i="8"/>
  <c r="J33" i="8"/>
  <c r="N6" i="8" l="1"/>
  <c r="J53" i="8"/>
  <c r="J89" i="8"/>
  <c r="G36" i="8"/>
  <c r="G40" i="8" s="1"/>
  <c r="G90" i="8"/>
  <c r="G91" i="8" s="1"/>
  <c r="L78" i="8"/>
  <c r="L87" i="8" s="1"/>
  <c r="L59" i="8"/>
  <c r="M49" i="8"/>
  <c r="M39" i="8"/>
  <c r="M88" i="8" s="1"/>
  <c r="D25" i="9"/>
  <c r="B25" i="9"/>
  <c r="K30" i="8"/>
  <c r="K50" i="8" s="1"/>
  <c r="M19" i="8"/>
  <c r="M15" i="8"/>
  <c r="M31" i="8" s="1"/>
  <c r="M51" i="8" s="1"/>
  <c r="M8" i="8"/>
  <c r="L17" i="8"/>
  <c r="N5" i="8"/>
  <c r="M7" i="8"/>
  <c r="L14" i="8"/>
  <c r="L16" i="8" s="1"/>
  <c r="L32" i="8" s="1"/>
  <c r="L52" i="8" s="1"/>
  <c r="I22" i="8"/>
  <c r="I23" i="8" s="1"/>
  <c r="I35" i="8"/>
  <c r="I90" i="8" s="1"/>
  <c r="I91" i="8" s="1"/>
  <c r="K81" i="8"/>
  <c r="L79" i="8" s="1"/>
  <c r="J15" i="1"/>
  <c r="H16" i="1"/>
  <c r="I16" i="1"/>
  <c r="O3" i="8"/>
  <c r="O4" i="8" s="1"/>
  <c r="O92" i="8" s="1"/>
  <c r="N13" i="8"/>
  <c r="N29" i="8" s="1"/>
  <c r="I69" i="8"/>
  <c r="I70" i="8" s="1"/>
  <c r="I71" i="8" s="1"/>
  <c r="I72" i="8" s="1"/>
  <c r="I55" i="8" s="1"/>
  <c r="I56" i="8" s="1"/>
  <c r="I60" i="8" s="1"/>
  <c r="H24" i="8"/>
  <c r="K18" i="8"/>
  <c r="K33" i="8"/>
  <c r="J20" i="8"/>
  <c r="J34" i="8"/>
  <c r="J54" i="8" s="1"/>
  <c r="O6" i="8" l="1"/>
  <c r="K53" i="8"/>
  <c r="K89" i="8"/>
  <c r="M78" i="8"/>
  <c r="M87" i="8" s="1"/>
  <c r="M59" i="8"/>
  <c r="N49" i="8"/>
  <c r="N39" i="8"/>
  <c r="N88" i="8" s="1"/>
  <c r="B26" i="9"/>
  <c r="D26" i="9"/>
  <c r="L30" i="8"/>
  <c r="L50" i="8" s="1"/>
  <c r="N7" i="8"/>
  <c r="M14" i="8"/>
  <c r="M30" i="8" s="1"/>
  <c r="M50" i="8" s="1"/>
  <c r="N8" i="8"/>
  <c r="M17" i="8"/>
  <c r="N19" i="8"/>
  <c r="N15" i="8"/>
  <c r="N31" i="8" s="1"/>
  <c r="N51" i="8" s="1"/>
  <c r="J22" i="8"/>
  <c r="J23" i="8" s="1"/>
  <c r="J35" i="8"/>
  <c r="J90" i="8" s="1"/>
  <c r="J91" i="8" s="1"/>
  <c r="K82" i="8"/>
  <c r="J16" i="1"/>
  <c r="P3" i="8"/>
  <c r="P4" i="8" s="1"/>
  <c r="P92" i="8" s="1"/>
  <c r="O13" i="8"/>
  <c r="O29" i="8" s="1"/>
  <c r="J69" i="8"/>
  <c r="J70" i="8" s="1"/>
  <c r="J71" i="8" s="1"/>
  <c r="J72" i="8" s="1"/>
  <c r="J55" i="8" s="1"/>
  <c r="J56" i="8" s="1"/>
  <c r="J60" i="8" s="1"/>
  <c r="H36" i="8"/>
  <c r="H40" i="8" s="1"/>
  <c r="I24" i="8"/>
  <c r="L18" i="8"/>
  <c r="L33" i="8"/>
  <c r="K20" i="8"/>
  <c r="K34" i="8"/>
  <c r="K54" i="8" s="1"/>
  <c r="P6" i="8" l="1"/>
  <c r="L53" i="8"/>
  <c r="L89" i="8"/>
  <c r="N78" i="8"/>
  <c r="N87" i="8" s="1"/>
  <c r="N59" i="8"/>
  <c r="O49" i="8"/>
  <c r="O39" i="8"/>
  <c r="O88" i="8" s="1"/>
  <c r="B27" i="9"/>
  <c r="D27" i="9"/>
  <c r="M16" i="8"/>
  <c r="M32" i="8" s="1"/>
  <c r="M52" i="8" s="1"/>
  <c r="P5" i="8"/>
  <c r="N14" i="8"/>
  <c r="N30" i="8" s="1"/>
  <c r="N50" i="8" s="1"/>
  <c r="O19" i="8"/>
  <c r="O15" i="8"/>
  <c r="O31" i="8" s="1"/>
  <c r="O51" i="8" s="1"/>
  <c r="O8" i="8"/>
  <c r="N17" i="8"/>
  <c r="O5" i="8"/>
  <c r="K35" i="8"/>
  <c r="K90" i="8" s="1"/>
  <c r="K91" i="8" s="1"/>
  <c r="K83" i="8"/>
  <c r="K21" i="8" s="1"/>
  <c r="K22" i="8" s="1"/>
  <c r="K23" i="8" s="1"/>
  <c r="Q3" i="8"/>
  <c r="Q4" i="8" s="1"/>
  <c r="Q92" i="8" s="1"/>
  <c r="P13" i="8"/>
  <c r="P29" i="8" s="1"/>
  <c r="K69" i="8"/>
  <c r="K70" i="8" s="1"/>
  <c r="K71" i="8" s="1"/>
  <c r="K72" i="8" s="1"/>
  <c r="K55" i="8" s="1"/>
  <c r="K56" i="8" s="1"/>
  <c r="K60" i="8" s="1"/>
  <c r="I36" i="8"/>
  <c r="I40" i="8" s="1"/>
  <c r="J24" i="8"/>
  <c r="M33" i="8"/>
  <c r="L20" i="8"/>
  <c r="L34" i="8"/>
  <c r="L54" i="8" s="1"/>
  <c r="M53" i="8" l="1"/>
  <c r="M89" i="8"/>
  <c r="O78" i="8"/>
  <c r="O87" i="8" s="1"/>
  <c r="O59" i="8"/>
  <c r="P49" i="8"/>
  <c r="P39" i="8"/>
  <c r="P88" i="8" s="1"/>
  <c r="O7" i="8"/>
  <c r="O14" i="8" s="1"/>
  <c r="O30" i="8" s="1"/>
  <c r="O50" i="8" s="1"/>
  <c r="M18" i="8"/>
  <c r="M34" i="8" s="1"/>
  <c r="M54" i="8" s="1"/>
  <c r="B28" i="9"/>
  <c r="D28" i="9"/>
  <c r="N16" i="8"/>
  <c r="N32" i="8" s="1"/>
  <c r="N52" i="8" s="1"/>
  <c r="P8" i="8"/>
  <c r="O17" i="8"/>
  <c r="Q5" i="8"/>
  <c r="Q6" i="8" s="1"/>
  <c r="P7" i="8"/>
  <c r="P19" i="8"/>
  <c r="P15" i="8"/>
  <c r="P31" i="8" s="1"/>
  <c r="P51" i="8" s="1"/>
  <c r="L35" i="8"/>
  <c r="L90" i="8" s="1"/>
  <c r="L91" i="8" s="1"/>
  <c r="L81" i="8"/>
  <c r="M79" i="8" s="1"/>
  <c r="R3" i="8"/>
  <c r="R4" i="8" s="1"/>
  <c r="R92" i="8" s="1"/>
  <c r="Q13" i="8"/>
  <c r="Q29" i="8" s="1"/>
  <c r="L69" i="8"/>
  <c r="L70" i="8" s="1"/>
  <c r="L71" i="8" s="1"/>
  <c r="L72" i="8" s="1"/>
  <c r="L55" i="8" s="1"/>
  <c r="L56" i="8" s="1"/>
  <c r="L60" i="8" s="1"/>
  <c r="J36" i="8"/>
  <c r="J40" i="8" s="1"/>
  <c r="K24" i="8"/>
  <c r="N33" i="8"/>
  <c r="N53" i="8" l="1"/>
  <c r="N89" i="8"/>
  <c r="P78" i="8"/>
  <c r="P87" i="8" s="1"/>
  <c r="P59" i="8"/>
  <c r="M20" i="8"/>
  <c r="M35" i="8" s="1"/>
  <c r="M90" i="8" s="1"/>
  <c r="M91" i="8" s="1"/>
  <c r="N18" i="8"/>
  <c r="N34" i="8" s="1"/>
  <c r="N54" i="8" s="1"/>
  <c r="Q49" i="8"/>
  <c r="Q39" i="8"/>
  <c r="Q88" i="8" s="1"/>
  <c r="B29" i="9"/>
  <c r="D29" i="9"/>
  <c r="O16" i="8"/>
  <c r="O32" i="8" s="1"/>
  <c r="O52" i="8" s="1"/>
  <c r="Q19" i="8"/>
  <c r="Q15" i="8"/>
  <c r="Q31" i="8" s="1"/>
  <c r="Q51" i="8" s="1"/>
  <c r="Q7" i="8"/>
  <c r="P14" i="8"/>
  <c r="P30" i="8" s="1"/>
  <c r="P50" i="8" s="1"/>
  <c r="Q8" i="8"/>
  <c r="P17" i="8"/>
  <c r="L82" i="8"/>
  <c r="S3" i="8"/>
  <c r="S4" i="8" s="1"/>
  <c r="S92" i="8" s="1"/>
  <c r="R13" i="8"/>
  <c r="R29" i="8" s="1"/>
  <c r="M69" i="8"/>
  <c r="M70" i="8" s="1"/>
  <c r="M71" i="8" s="1"/>
  <c r="M72" i="8" s="1"/>
  <c r="M55" i="8" s="1"/>
  <c r="M56" i="8" s="1"/>
  <c r="M60" i="8" s="1"/>
  <c r="K36" i="8"/>
  <c r="K40" i="8" s="1"/>
  <c r="O33" i="8"/>
  <c r="O53" i="8" l="1"/>
  <c r="O89" i="8"/>
  <c r="Q78" i="8"/>
  <c r="Q87" i="8" s="1"/>
  <c r="Q59" i="8"/>
  <c r="N20" i="8"/>
  <c r="N35" i="8" s="1"/>
  <c r="N90" i="8" s="1"/>
  <c r="N91" i="8" s="1"/>
  <c r="R49" i="8"/>
  <c r="R39" i="8"/>
  <c r="R88" i="8" s="1"/>
  <c r="D30" i="9"/>
  <c r="B30" i="9"/>
  <c r="P16" i="8"/>
  <c r="P32" i="8" s="1"/>
  <c r="P52" i="8" s="1"/>
  <c r="O18" i="8"/>
  <c r="O20" i="8" s="1"/>
  <c r="R19" i="8"/>
  <c r="R15" i="8"/>
  <c r="R31" i="8" s="1"/>
  <c r="R51" i="8" s="1"/>
  <c r="R8" i="8"/>
  <c r="Q17" i="8"/>
  <c r="R5" i="8"/>
  <c r="R6" i="8" s="1"/>
  <c r="S5" i="8"/>
  <c r="Q14" i="8"/>
  <c r="Q16" i="8" s="1"/>
  <c r="Q32" i="8" s="1"/>
  <c r="Q52" i="8" s="1"/>
  <c r="L83" i="8"/>
  <c r="L21" i="8" s="1"/>
  <c r="L22" i="8" s="1"/>
  <c r="T3" i="8"/>
  <c r="T4" i="8" s="1"/>
  <c r="T92" i="8" s="1"/>
  <c r="S13" i="8"/>
  <c r="S29" i="8" s="1"/>
  <c r="N69" i="8"/>
  <c r="N70" i="8" s="1"/>
  <c r="N71" i="8" s="1"/>
  <c r="N72" i="8" s="1"/>
  <c r="N55" i="8" s="1"/>
  <c r="N56" i="8" s="1"/>
  <c r="N60" i="8" s="1"/>
  <c r="L36" i="8"/>
  <c r="L40" i="8" s="1"/>
  <c r="P33" i="8"/>
  <c r="S6" i="8" l="1"/>
  <c r="S7" i="8" s="1"/>
  <c r="P53" i="8"/>
  <c r="P89" i="8"/>
  <c r="O34" i="8"/>
  <c r="O54" i="8" s="1"/>
  <c r="O69" i="8" s="1"/>
  <c r="O70" i="8" s="1"/>
  <c r="O71" i="8" s="1"/>
  <c r="O72" i="8" s="1"/>
  <c r="O55" i="8" s="1"/>
  <c r="O56" i="8" s="1"/>
  <c r="O60" i="8" s="1"/>
  <c r="R78" i="8"/>
  <c r="R87" i="8" s="1"/>
  <c r="R59" i="8"/>
  <c r="S49" i="8"/>
  <c r="S39" i="8"/>
  <c r="S88" i="8" s="1"/>
  <c r="R7" i="8"/>
  <c r="R14" i="8" s="1"/>
  <c r="R30" i="8" s="1"/>
  <c r="R50" i="8" s="1"/>
  <c r="D31" i="9"/>
  <c r="B31" i="9"/>
  <c r="P18" i="8"/>
  <c r="P20" i="8" s="1"/>
  <c r="Q30" i="8"/>
  <c r="Q50" i="8" s="1"/>
  <c r="S19" i="8"/>
  <c r="S15" i="8"/>
  <c r="S31" i="8" s="1"/>
  <c r="S51" i="8" s="1"/>
  <c r="S8" i="8"/>
  <c r="R17" i="8"/>
  <c r="T5" i="8"/>
  <c r="T6" i="8" s="1"/>
  <c r="L23" i="8"/>
  <c r="L24" i="8" s="1"/>
  <c r="O35" i="8"/>
  <c r="O90" i="8" s="1"/>
  <c r="O91" i="8" s="1"/>
  <c r="M81" i="8"/>
  <c r="N79" i="8" s="1"/>
  <c r="U3" i="8"/>
  <c r="U4" i="8" s="1"/>
  <c r="U92" i="8" s="1"/>
  <c r="T13" i="8"/>
  <c r="T29" i="8" s="1"/>
  <c r="M36" i="8"/>
  <c r="M40" i="8" s="1"/>
  <c r="Q18" i="8"/>
  <c r="Q33" i="8"/>
  <c r="Q53" i="8" l="1"/>
  <c r="Q89" i="8"/>
  <c r="S78" i="8"/>
  <c r="S87" i="8" s="1"/>
  <c r="S59" i="8"/>
  <c r="T49" i="8"/>
  <c r="T39" i="8"/>
  <c r="T88" i="8" s="1"/>
  <c r="P34" i="8"/>
  <c r="P54" i="8" s="1"/>
  <c r="P69" i="8" s="1"/>
  <c r="P70" i="8" s="1"/>
  <c r="P71" i="8" s="1"/>
  <c r="P72" i="8" s="1"/>
  <c r="P55" i="8" s="1"/>
  <c r="P56" i="8" s="1"/>
  <c r="P60" i="8" s="1"/>
  <c r="B32" i="9"/>
  <c r="D32" i="9"/>
  <c r="R16" i="8"/>
  <c r="R32" i="8" s="1"/>
  <c r="R52" i="8" s="1"/>
  <c r="U5" i="8"/>
  <c r="U6" i="8" s="1"/>
  <c r="T19" i="8"/>
  <c r="T15" i="8"/>
  <c r="T31" i="8" s="1"/>
  <c r="T51" i="8" s="1"/>
  <c r="T7" i="8"/>
  <c r="S14" i="8"/>
  <c r="S30" i="8" s="1"/>
  <c r="S50" i="8" s="1"/>
  <c r="T8" i="8"/>
  <c r="S17" i="8"/>
  <c r="P35" i="8"/>
  <c r="P90" i="8" s="1"/>
  <c r="P91" i="8" s="1"/>
  <c r="M82" i="8"/>
  <c r="V3" i="8"/>
  <c r="V4" i="8" s="1"/>
  <c r="V92" i="8" s="1"/>
  <c r="U13" i="8"/>
  <c r="U29" i="8" s="1"/>
  <c r="N36" i="8"/>
  <c r="N40" i="8" s="1"/>
  <c r="R33" i="8"/>
  <c r="Q20" i="8"/>
  <c r="Q34" i="8"/>
  <c r="Q54" i="8" s="1"/>
  <c r="R53" i="8" l="1"/>
  <c r="R89" i="8"/>
  <c r="T78" i="8"/>
  <c r="T87" i="8" s="1"/>
  <c r="T59" i="8"/>
  <c r="U49" i="8"/>
  <c r="U39" i="8"/>
  <c r="U88" i="8" s="1"/>
  <c r="B33" i="9"/>
  <c r="D33" i="9"/>
  <c r="R18" i="8"/>
  <c r="R20" i="8" s="1"/>
  <c r="S16" i="8"/>
  <c r="S32" i="8" s="1"/>
  <c r="S52" i="8" s="1"/>
  <c r="U8" i="8"/>
  <c r="T17" i="8"/>
  <c r="U7" i="8"/>
  <c r="T14" i="8"/>
  <c r="T16" i="8" s="1"/>
  <c r="T32" i="8" s="1"/>
  <c r="T52" i="8" s="1"/>
  <c r="U15" i="8"/>
  <c r="U31" i="8" s="1"/>
  <c r="U51" i="8" s="1"/>
  <c r="U19" i="8"/>
  <c r="Q22" i="8"/>
  <c r="Q23" i="8" s="1"/>
  <c r="Q35" i="8"/>
  <c r="Q90" i="8" s="1"/>
  <c r="Q91" i="8" s="1"/>
  <c r="M83" i="8"/>
  <c r="M21" i="8" s="1"/>
  <c r="M22" i="8" s="1"/>
  <c r="W3" i="8"/>
  <c r="W4" i="8" s="1"/>
  <c r="W92" i="8" s="1"/>
  <c r="V13" i="8"/>
  <c r="V29" i="8" s="1"/>
  <c r="Q69" i="8"/>
  <c r="Q70" i="8" s="1"/>
  <c r="Q71" i="8" s="1"/>
  <c r="Q72" i="8" s="1"/>
  <c r="Q55" i="8" s="1"/>
  <c r="Q56" i="8" s="1"/>
  <c r="Q60" i="8" s="1"/>
  <c r="O36" i="8"/>
  <c r="O40" i="8" s="1"/>
  <c r="S33" i="8"/>
  <c r="S53" i="8" l="1"/>
  <c r="S89" i="8"/>
  <c r="U78" i="8"/>
  <c r="U87" i="8" s="1"/>
  <c r="U59" i="8"/>
  <c r="V49" i="8"/>
  <c r="V39" i="8"/>
  <c r="V88" i="8" s="1"/>
  <c r="R34" i="8"/>
  <c r="R54" i="8" s="1"/>
  <c r="R69" i="8" s="1"/>
  <c r="R70" i="8" s="1"/>
  <c r="R71" i="8" s="1"/>
  <c r="R72" i="8" s="1"/>
  <c r="R55" i="8" s="1"/>
  <c r="R56" i="8" s="1"/>
  <c r="R60" i="8" s="1"/>
  <c r="B34" i="9"/>
  <c r="D34" i="9"/>
  <c r="T30" i="8"/>
  <c r="T50" i="8" s="1"/>
  <c r="S18" i="8"/>
  <c r="S34" i="8" s="1"/>
  <c r="S54" i="8" s="1"/>
  <c r="V19" i="8"/>
  <c r="V15" i="8"/>
  <c r="V31" i="8" s="1"/>
  <c r="V51" i="8" s="1"/>
  <c r="W5" i="8"/>
  <c r="W6" i="8" s="1"/>
  <c r="V5" i="8"/>
  <c r="V6" i="8" s="1"/>
  <c r="U14" i="8"/>
  <c r="U16" i="8" s="1"/>
  <c r="U32" i="8" s="1"/>
  <c r="U52" i="8" s="1"/>
  <c r="V8" i="8"/>
  <c r="U17" i="8"/>
  <c r="M23" i="8"/>
  <c r="M24" i="8" s="1"/>
  <c r="R22" i="8"/>
  <c r="R23" i="8" s="1"/>
  <c r="R35" i="8"/>
  <c r="R90" i="8" s="1"/>
  <c r="R91" i="8" s="1"/>
  <c r="N81" i="8"/>
  <c r="O79" i="8" s="1"/>
  <c r="X3" i="8"/>
  <c r="X4" i="8" s="1"/>
  <c r="X92" i="8" s="1"/>
  <c r="W13" i="8"/>
  <c r="W29" i="8" s="1"/>
  <c r="P36" i="8"/>
  <c r="P40" i="8" s="1"/>
  <c r="Q24" i="8"/>
  <c r="T18" i="8"/>
  <c r="T33" i="8"/>
  <c r="T53" i="8" l="1"/>
  <c r="T89" i="8"/>
  <c r="V78" i="8"/>
  <c r="V87" i="8" s="1"/>
  <c r="V59" i="8"/>
  <c r="W49" i="8"/>
  <c r="W39" i="8"/>
  <c r="W88" i="8" s="1"/>
  <c r="S20" i="8"/>
  <c r="S22" i="8" s="1"/>
  <c r="S23" i="8" s="1"/>
  <c r="V7" i="8"/>
  <c r="V14" i="8" s="1"/>
  <c r="V16" i="8" s="1"/>
  <c r="V32" i="8" s="1"/>
  <c r="V52" i="8" s="1"/>
  <c r="B35" i="9"/>
  <c r="D35" i="9"/>
  <c r="U30" i="8"/>
  <c r="U50" i="8" s="1"/>
  <c r="W8" i="8"/>
  <c r="V17" i="8"/>
  <c r="W7" i="8"/>
  <c r="W19" i="8"/>
  <c r="W15" i="8"/>
  <c r="W31" i="8" s="1"/>
  <c r="W51" i="8" s="1"/>
  <c r="X5" i="8"/>
  <c r="X6" i="8" s="1"/>
  <c r="N82" i="8"/>
  <c r="Y3" i="8"/>
  <c r="Y4" i="8" s="1"/>
  <c r="Y92" i="8" s="1"/>
  <c r="X13" i="8"/>
  <c r="X29" i="8" s="1"/>
  <c r="S69" i="8"/>
  <c r="S70" i="8" s="1"/>
  <c r="S71" i="8" s="1"/>
  <c r="S72" i="8" s="1"/>
  <c r="S55" i="8" s="1"/>
  <c r="S56" i="8" s="1"/>
  <c r="S60" i="8" s="1"/>
  <c r="Q36" i="8"/>
  <c r="Q40" i="8" s="1"/>
  <c r="R24" i="8"/>
  <c r="U18" i="8"/>
  <c r="U33" i="8"/>
  <c r="T20" i="8"/>
  <c r="T34" i="8"/>
  <c r="T54" i="8" s="1"/>
  <c r="U53" i="8" l="1"/>
  <c r="U89" i="8"/>
  <c r="S35" i="8"/>
  <c r="S90" i="8" s="1"/>
  <c r="S91" i="8" s="1"/>
  <c r="W78" i="8"/>
  <c r="W87" i="8" s="1"/>
  <c r="W59" i="8"/>
  <c r="X49" i="8"/>
  <c r="X39" i="8"/>
  <c r="X88" i="8" s="1"/>
  <c r="B36" i="9"/>
  <c r="D36" i="9"/>
  <c r="X7" i="8"/>
  <c r="W14" i="8"/>
  <c r="W16" i="8" s="1"/>
  <c r="W32" i="8" s="1"/>
  <c r="W52" i="8" s="1"/>
  <c r="V30" i="8"/>
  <c r="V50" i="8" s="1"/>
  <c r="Z3" i="8"/>
  <c r="Z4" i="8" s="1"/>
  <c r="Z92" i="8" s="1"/>
  <c r="Y5" i="8"/>
  <c r="Y6" i="8" s="1"/>
  <c r="X19" i="8"/>
  <c r="X15" i="8"/>
  <c r="X31" i="8" s="1"/>
  <c r="X51" i="8" s="1"/>
  <c r="X8" i="8"/>
  <c r="W17" i="8"/>
  <c r="Y13" i="8"/>
  <c r="Y29" i="8" s="1"/>
  <c r="Y39" i="8" s="1"/>
  <c r="Y88" i="8" s="1"/>
  <c r="T22" i="8"/>
  <c r="T23" i="8" s="1"/>
  <c r="T35" i="8"/>
  <c r="T90" i="8" s="1"/>
  <c r="T91" i="8" s="1"/>
  <c r="N83" i="8"/>
  <c r="N21" i="8" s="1"/>
  <c r="N22" i="8" s="1"/>
  <c r="T69" i="8"/>
  <c r="T70" i="8" s="1"/>
  <c r="T71" i="8" s="1"/>
  <c r="T72" i="8" s="1"/>
  <c r="T55" i="8" s="1"/>
  <c r="T56" i="8" s="1"/>
  <c r="T60" i="8" s="1"/>
  <c r="R36" i="8"/>
  <c r="R40" i="8" s="1"/>
  <c r="S24" i="8"/>
  <c r="V18" i="8"/>
  <c r="V33" i="8"/>
  <c r="U20" i="8"/>
  <c r="U34" i="8"/>
  <c r="U54" i="8" s="1"/>
  <c r="V53" i="8" l="1"/>
  <c r="V89" i="8"/>
  <c r="X78" i="8"/>
  <c r="X87" i="8" s="1"/>
  <c r="X59" i="8"/>
  <c r="W30" i="8"/>
  <c r="W50" i="8" s="1"/>
  <c r="D37" i="9"/>
  <c r="B37" i="9"/>
  <c r="Y49" i="8"/>
  <c r="Y59" i="8" s="1"/>
  <c r="Z5" i="8"/>
  <c r="Z6" i="8" s="1"/>
  <c r="Z13" i="8"/>
  <c r="Z29" i="8" s="1"/>
  <c r="Z39" i="8" s="1"/>
  <c r="Z88" i="8" s="1"/>
  <c r="AA3" i="8"/>
  <c r="AA4" i="8" s="1"/>
  <c r="AA92" i="8" s="1"/>
  <c r="Y8" i="8"/>
  <c r="X17" i="8"/>
  <c r="Y19" i="8"/>
  <c r="Y15" i="8"/>
  <c r="Y31" i="8" s="1"/>
  <c r="Y51" i="8" s="1"/>
  <c r="Y7" i="8"/>
  <c r="X14" i="8"/>
  <c r="X30" i="8" s="1"/>
  <c r="X50" i="8" s="1"/>
  <c r="N23" i="8"/>
  <c r="N24" i="8" s="1"/>
  <c r="U22" i="8"/>
  <c r="U23" i="8" s="1"/>
  <c r="U35" i="8"/>
  <c r="U90" i="8" s="1"/>
  <c r="U91" i="8" s="1"/>
  <c r="O81" i="8"/>
  <c r="P79" i="8" s="1"/>
  <c r="U69" i="8"/>
  <c r="U70" i="8" s="1"/>
  <c r="U71" i="8" s="1"/>
  <c r="U72" i="8" s="1"/>
  <c r="U55" i="8" s="1"/>
  <c r="U56" i="8" s="1"/>
  <c r="U60" i="8" s="1"/>
  <c r="S36" i="8"/>
  <c r="S40" i="8" s="1"/>
  <c r="T24" i="8"/>
  <c r="W18" i="8"/>
  <c r="W33" i="8"/>
  <c r="V20" i="8"/>
  <c r="V34" i="8"/>
  <c r="V54" i="8" s="1"/>
  <c r="W53" i="8" l="1"/>
  <c r="W89" i="8"/>
  <c r="AB3" i="8"/>
  <c r="AB4" i="8" s="1"/>
  <c r="AB92" i="8" s="1"/>
  <c r="AA13" i="8"/>
  <c r="AA29" i="8" s="1"/>
  <c r="AA39" i="8" s="1"/>
  <c r="AA88" i="8" s="1"/>
  <c r="B38" i="9"/>
  <c r="D38" i="9"/>
  <c r="X16" i="8"/>
  <c r="X32" i="8" s="1"/>
  <c r="X52" i="8" s="1"/>
  <c r="Z7" i="8"/>
  <c r="Y14" i="8"/>
  <c r="Z8" i="8"/>
  <c r="Y17" i="8"/>
  <c r="Y33" i="8" s="1"/>
  <c r="Z19" i="8"/>
  <c r="Z15" i="8"/>
  <c r="Z31" i="8" s="1"/>
  <c r="Z51" i="8" s="1"/>
  <c r="AB5" i="8"/>
  <c r="AB6" i="8" s="1"/>
  <c r="AA5" i="8"/>
  <c r="AA6" i="8" s="1"/>
  <c r="Z49" i="8"/>
  <c r="Z59" i="8" s="1"/>
  <c r="Y78" i="8"/>
  <c r="Y87" i="8" s="1"/>
  <c r="AB13" i="8"/>
  <c r="AB29" i="8" s="1"/>
  <c r="AB39" i="8" s="1"/>
  <c r="AB88" i="8" s="1"/>
  <c r="AC3" i="8"/>
  <c r="AC4" i="8" s="1"/>
  <c r="AC92" i="8" s="1"/>
  <c r="V22" i="8"/>
  <c r="V23" i="8" s="1"/>
  <c r="V35" i="8"/>
  <c r="V90" i="8" s="1"/>
  <c r="V91" i="8" s="1"/>
  <c r="O82" i="8"/>
  <c r="V69" i="8"/>
  <c r="V70" i="8" s="1"/>
  <c r="V71" i="8" s="1"/>
  <c r="V72" i="8" s="1"/>
  <c r="V55" i="8" s="1"/>
  <c r="V56" i="8" s="1"/>
  <c r="V60" i="8" s="1"/>
  <c r="T36" i="8"/>
  <c r="T40" i="8" s="1"/>
  <c r="U24" i="8"/>
  <c r="X33" i="8"/>
  <c r="W20" i="8"/>
  <c r="W34" i="8"/>
  <c r="W54" i="8" s="1"/>
  <c r="Y53" i="8" l="1"/>
  <c r="Y89" i="8"/>
  <c r="X53" i="8"/>
  <c r="X89" i="8"/>
  <c r="AA49" i="8"/>
  <c r="AA59" i="8" s="1"/>
  <c r="B39" i="9"/>
  <c r="D39" i="9"/>
  <c r="X18" i="8"/>
  <c r="X34" i="8" s="1"/>
  <c r="X54" i="8" s="1"/>
  <c r="Y30" i="8"/>
  <c r="Y50" i="8" s="1"/>
  <c r="Y16" i="8"/>
  <c r="AA7" i="8"/>
  <c r="Z14" i="8"/>
  <c r="AA19" i="8"/>
  <c r="AA15" i="8"/>
  <c r="AA31" i="8" s="1"/>
  <c r="AA51" i="8" s="1"/>
  <c r="AB49" i="8"/>
  <c r="AB59" i="8" s="1"/>
  <c r="Z78" i="8"/>
  <c r="Z87" i="8" s="1"/>
  <c r="AB19" i="8"/>
  <c r="AB15" i="8"/>
  <c r="AB31" i="8" s="1"/>
  <c r="AB51" i="8" s="1"/>
  <c r="AA8" i="8"/>
  <c r="Z17" i="8"/>
  <c r="Z33" i="8" s="1"/>
  <c r="AA78" i="8"/>
  <c r="AA87" i="8" s="1"/>
  <c r="AD3" i="8"/>
  <c r="AD4" i="8" s="1"/>
  <c r="AD92" i="8" s="1"/>
  <c r="AC13" i="8"/>
  <c r="AC29" i="8" s="1"/>
  <c r="W22" i="8"/>
  <c r="W23" i="8" s="1"/>
  <c r="W35" i="8"/>
  <c r="W90" i="8" s="1"/>
  <c r="W91" i="8" s="1"/>
  <c r="O83" i="8"/>
  <c r="O21" i="8" s="1"/>
  <c r="O22" i="8" s="1"/>
  <c r="W69" i="8"/>
  <c r="W70" i="8" s="1"/>
  <c r="W71" i="8" s="1"/>
  <c r="W72" i="8" s="1"/>
  <c r="W55" i="8" s="1"/>
  <c r="W56" i="8" s="1"/>
  <c r="W60" i="8" s="1"/>
  <c r="U36" i="8"/>
  <c r="U40" i="8" s="1"/>
  <c r="V24" i="8"/>
  <c r="Z53" i="8" l="1"/>
  <c r="Z89" i="8"/>
  <c r="X20" i="8"/>
  <c r="X35" i="8" s="1"/>
  <c r="X90" i="8" s="1"/>
  <c r="X91" i="8" s="1"/>
  <c r="D40" i="9"/>
  <c r="B40" i="9"/>
  <c r="Z16" i="8"/>
  <c r="Z30" i="8"/>
  <c r="Z50" i="8" s="1"/>
  <c r="AB7" i="8"/>
  <c r="AA14" i="8"/>
  <c r="AC15" i="8"/>
  <c r="AC31" i="8" s="1"/>
  <c r="AC51" i="8" s="1"/>
  <c r="AC19" i="8"/>
  <c r="AC49" i="8"/>
  <c r="AC59" i="8" s="1"/>
  <c r="AC39" i="8"/>
  <c r="AC88" i="8" s="1"/>
  <c r="AD5" i="8"/>
  <c r="AD6" i="8" s="1"/>
  <c r="AB78" i="8"/>
  <c r="AB87" i="8" s="1"/>
  <c r="Y32" i="8"/>
  <c r="Y52" i="8" s="1"/>
  <c r="Y18" i="8"/>
  <c r="AB8" i="8"/>
  <c r="AA17" i="8"/>
  <c r="AA33" i="8" s="1"/>
  <c r="AC5" i="8"/>
  <c r="AC6" i="8" s="1"/>
  <c r="AD13" i="8"/>
  <c r="AD29" i="8" s="1"/>
  <c r="AD39" i="8" s="1"/>
  <c r="AD88" i="8" s="1"/>
  <c r="AE3" i="8"/>
  <c r="AE4" i="8" s="1"/>
  <c r="AE92" i="8" s="1"/>
  <c r="O23" i="8"/>
  <c r="O24" i="8" s="1"/>
  <c r="P81" i="8"/>
  <c r="X69" i="8"/>
  <c r="X70" i="8" s="1"/>
  <c r="X71" i="8" s="1"/>
  <c r="X72" i="8" s="1"/>
  <c r="X55" i="8" s="1"/>
  <c r="X56" i="8" s="1"/>
  <c r="X60" i="8" s="1"/>
  <c r="V36" i="8"/>
  <c r="V40" i="8" s="1"/>
  <c r="W24" i="8"/>
  <c r="AA53" i="8" l="1"/>
  <c r="AA89" i="8"/>
  <c r="X22" i="8"/>
  <c r="X23" i="8" s="1"/>
  <c r="B41" i="9"/>
  <c r="D41" i="9"/>
  <c r="Y34" i="8"/>
  <c r="Y54" i="8" s="1"/>
  <c r="Y56" i="8" s="1"/>
  <c r="Y60" i="8" s="1"/>
  <c r="Y20" i="8"/>
  <c r="AD19" i="8"/>
  <c r="AD15" i="8"/>
  <c r="AD31" i="8" s="1"/>
  <c r="AD51" i="8" s="1"/>
  <c r="AD49" i="8"/>
  <c r="AD59" i="8" s="1"/>
  <c r="AC8" i="8"/>
  <c r="AB17" i="8"/>
  <c r="AB33" i="8" s="1"/>
  <c r="AC78" i="8"/>
  <c r="AC87" i="8" s="1"/>
  <c r="AC7" i="8"/>
  <c r="AB14" i="8"/>
  <c r="AE5" i="8"/>
  <c r="AE6" i="8" s="1"/>
  <c r="AE7" i="8" s="1"/>
  <c r="AA16" i="8"/>
  <c r="AA30" i="8"/>
  <c r="AA50" i="8" s="1"/>
  <c r="Z32" i="8"/>
  <c r="Z52" i="8" s="1"/>
  <c r="Z18" i="8"/>
  <c r="AE13" i="8"/>
  <c r="AE29" i="8" s="1"/>
  <c r="AE39" i="8" s="1"/>
  <c r="AE88" i="8" s="1"/>
  <c r="AF3" i="8"/>
  <c r="AF4" i="8" s="1"/>
  <c r="AF92" i="8" s="1"/>
  <c r="P82" i="8"/>
  <c r="W36" i="8"/>
  <c r="W40" i="8" s="1"/>
  <c r="AB53" i="8" l="1"/>
  <c r="AB89" i="8"/>
  <c r="X24" i="8"/>
  <c r="B42" i="9"/>
  <c r="D42" i="9"/>
  <c r="AB16" i="8"/>
  <c r="AB30" i="8"/>
  <c r="AB50" i="8" s="1"/>
  <c r="AG3" i="8"/>
  <c r="AG4" i="8" s="1"/>
  <c r="AG92" i="8" s="1"/>
  <c r="Z34" i="8"/>
  <c r="Z54" i="8" s="1"/>
  <c r="Z56" i="8" s="1"/>
  <c r="Z60" i="8" s="1"/>
  <c r="Z20" i="8"/>
  <c r="AD7" i="8"/>
  <c r="AC14" i="8"/>
  <c r="AD8" i="8"/>
  <c r="AE8" i="8" s="1"/>
  <c r="AC17" i="8"/>
  <c r="AC33" i="8" s="1"/>
  <c r="AE49" i="8"/>
  <c r="AE59" i="8" s="1"/>
  <c r="Y35" i="8"/>
  <c r="Y22" i="8"/>
  <c r="AA32" i="8"/>
  <c r="AA52" i="8" s="1"/>
  <c r="AA18" i="8"/>
  <c r="AE19" i="8"/>
  <c r="AE15" i="8"/>
  <c r="AE31" i="8" s="1"/>
  <c r="AE51" i="8" s="1"/>
  <c r="AD78" i="8"/>
  <c r="AD87" i="8" s="1"/>
  <c r="AF13" i="8"/>
  <c r="AF29" i="8" s="1"/>
  <c r="AF39" i="8" s="1"/>
  <c r="AF88" i="8" s="1"/>
  <c r="P83" i="8"/>
  <c r="P21" i="8" s="1"/>
  <c r="P22" i="8" s="1"/>
  <c r="X36" i="8"/>
  <c r="X40" i="8" s="1"/>
  <c r="AC53" i="8" l="1"/>
  <c r="AC89" i="8"/>
  <c r="Y36" i="8"/>
  <c r="Y40" i="8" s="1"/>
  <c r="Y90" i="8"/>
  <c r="Y91" i="8" s="1"/>
  <c r="AD17" i="8"/>
  <c r="AD33" i="8" s="1"/>
  <c r="AF49" i="8"/>
  <c r="AF59" i="8" s="1"/>
  <c r="AE78" i="8"/>
  <c r="AE87" i="8" s="1"/>
  <c r="AF19" i="8"/>
  <c r="AF15" i="8"/>
  <c r="AF31" i="8" s="1"/>
  <c r="AF51" i="8" s="1"/>
  <c r="Z35" i="8"/>
  <c r="Z22" i="8"/>
  <c r="Z23" i="8" s="1"/>
  <c r="Z24" i="8" s="1"/>
  <c r="AF8" i="8"/>
  <c r="AG8" i="8" s="1"/>
  <c r="AD14" i="8"/>
  <c r="Y23" i="8"/>
  <c r="Y24" i="8" s="1"/>
  <c r="AG13" i="8"/>
  <c r="AG29" i="8" s="1"/>
  <c r="AG39" i="8" s="1"/>
  <c r="AG88" i="8" s="1"/>
  <c r="AH3" i="8"/>
  <c r="AH4" i="8" s="1"/>
  <c r="AH92" i="8" s="1"/>
  <c r="AG5" i="8"/>
  <c r="AG6" i="8" s="1"/>
  <c r="AA34" i="8"/>
  <c r="AA54" i="8" s="1"/>
  <c r="AA56" i="8" s="1"/>
  <c r="AA60" i="8" s="1"/>
  <c r="AA20" i="8"/>
  <c r="AC30" i="8"/>
  <c r="AC50" i="8" s="1"/>
  <c r="AC16" i="8"/>
  <c r="AF5" i="8"/>
  <c r="AF6" i="8" s="1"/>
  <c r="AB32" i="8"/>
  <c r="AB52" i="8" s="1"/>
  <c r="AB18" i="8"/>
  <c r="AE17" i="8"/>
  <c r="AE33" i="8" s="1"/>
  <c r="P23" i="8"/>
  <c r="P24" i="8" s="1"/>
  <c r="AE53" i="8" l="1"/>
  <c r="AE89" i="8"/>
  <c r="AD53" i="8"/>
  <c r="AD89" i="8"/>
  <c r="Z36" i="8"/>
  <c r="Z40" i="8" s="1"/>
  <c r="Z90" i="8"/>
  <c r="Z91" i="8" s="1"/>
  <c r="AG49" i="8"/>
  <c r="AG59" i="8" s="1"/>
  <c r="AF7" i="8"/>
  <c r="AE14" i="8"/>
  <c r="AC32" i="8"/>
  <c r="AC52" i="8" s="1"/>
  <c r="AC18" i="8"/>
  <c r="AG17" i="8"/>
  <c r="AG33" i="8" s="1"/>
  <c r="AB20" i="8"/>
  <c r="AB34" i="8"/>
  <c r="AB54" i="8" s="1"/>
  <c r="AB56" i="8" s="1"/>
  <c r="AB60" i="8" s="1"/>
  <c r="AG15" i="8"/>
  <c r="AG31" i="8" s="1"/>
  <c r="AG51" i="8" s="1"/>
  <c r="AG19" i="8"/>
  <c r="AF78" i="8"/>
  <c r="AF87" i="8" s="1"/>
  <c r="AA22" i="8"/>
  <c r="AA23" i="8" s="1"/>
  <c r="AA24" i="8" s="1"/>
  <c r="AA35" i="8"/>
  <c r="AI3" i="8"/>
  <c r="AI4" i="8" s="1"/>
  <c r="AI92" i="8" s="1"/>
  <c r="AH8" i="8"/>
  <c r="AH17" i="8" s="1"/>
  <c r="AH33" i="8" s="1"/>
  <c r="AH13" i="8"/>
  <c r="AH29" i="8" s="1"/>
  <c r="AH39" i="8" s="1"/>
  <c r="AH88" i="8" s="1"/>
  <c r="AH5" i="8"/>
  <c r="AH6" i="8" s="1"/>
  <c r="AD16" i="8"/>
  <c r="AD30" i="8"/>
  <c r="AD50" i="8" s="1"/>
  <c r="AG53" i="8" l="1"/>
  <c r="AG89" i="8"/>
  <c r="AH53" i="8"/>
  <c r="AA36" i="8"/>
  <c r="AA40" i="8" s="1"/>
  <c r="AA90" i="8"/>
  <c r="AA91" i="8" s="1"/>
  <c r="AH49" i="8"/>
  <c r="AH59" i="8" s="1"/>
  <c r="AG7" i="8"/>
  <c r="AF14" i="8"/>
  <c r="AE30" i="8"/>
  <c r="AE50" i="8" s="1"/>
  <c r="AE16" i="8"/>
  <c r="AH19" i="8"/>
  <c r="AH15" i="8"/>
  <c r="AH31" i="8" s="1"/>
  <c r="AH51" i="8" s="1"/>
  <c r="AC20" i="8"/>
  <c r="AC34" i="8"/>
  <c r="AC54" i="8" s="1"/>
  <c r="AC56" i="8" s="1"/>
  <c r="AC60" i="8" s="1"/>
  <c r="AG78" i="8"/>
  <c r="AG87" i="8" s="1"/>
  <c r="AD32" i="8"/>
  <c r="AD52" i="8" s="1"/>
  <c r="AD18" i="8"/>
  <c r="AJ3" i="8"/>
  <c r="AJ4" i="8" s="1"/>
  <c r="AJ92" i="8" s="1"/>
  <c r="D92" i="8" s="1"/>
  <c r="AI13" i="8"/>
  <c r="AI29" i="8" s="1"/>
  <c r="AI39" i="8" s="1"/>
  <c r="AI88" i="8" s="1"/>
  <c r="AI5" i="8"/>
  <c r="AB35" i="8"/>
  <c r="AB22" i="8"/>
  <c r="AB23" i="8" s="1"/>
  <c r="AB24" i="8" s="1"/>
  <c r="AF17" i="8"/>
  <c r="AF33" i="8" s="1"/>
  <c r="AH89" i="8" l="1"/>
  <c r="AF53" i="8"/>
  <c r="AF89" i="8"/>
  <c r="AB36" i="8"/>
  <c r="AB40" i="8" s="1"/>
  <c r="AB90" i="8"/>
  <c r="AB91" i="8" s="1"/>
  <c r="AD20" i="8"/>
  <c r="AD34" i="8"/>
  <c r="AD54" i="8" s="1"/>
  <c r="AD56" i="8" s="1"/>
  <c r="AD60" i="8" s="1"/>
  <c r="AH7" i="8"/>
  <c r="AG14" i="8"/>
  <c r="AI49" i="8"/>
  <c r="AI59" i="8" s="1"/>
  <c r="AC35" i="8"/>
  <c r="AC22" i="8"/>
  <c r="AC23" i="8" s="1"/>
  <c r="AC24" i="8" s="1"/>
  <c r="AE32" i="8"/>
  <c r="AE52" i="8" s="1"/>
  <c r="AE18" i="8"/>
  <c r="AH78" i="8"/>
  <c r="AH87" i="8" s="1"/>
  <c r="AJ13" i="8"/>
  <c r="AJ29" i="8" s="1"/>
  <c r="AJ5" i="8"/>
  <c r="AF16" i="8"/>
  <c r="AF32" i="8" s="1"/>
  <c r="AF52" i="8" s="1"/>
  <c r="AF30" i="8"/>
  <c r="AF50" i="8" s="1"/>
  <c r="AI8" i="8"/>
  <c r="AI17" i="8" s="1"/>
  <c r="AI33" i="8" s="1"/>
  <c r="AI15" i="8"/>
  <c r="AI31" i="8" s="1"/>
  <c r="AI51" i="8" s="1"/>
  <c r="AI19" i="8"/>
  <c r="AI53" i="8" l="1"/>
  <c r="AI89" i="8"/>
  <c r="AC36" i="8"/>
  <c r="AC40" i="8" s="1"/>
  <c r="AC90" i="8"/>
  <c r="AC91" i="8" s="1"/>
  <c r="AF18" i="8"/>
  <c r="AF34" i="8" s="1"/>
  <c r="AH14" i="8"/>
  <c r="AI6" i="8"/>
  <c r="AI7" i="8" s="1"/>
  <c r="AE20" i="8"/>
  <c r="AE34" i="8"/>
  <c r="AE54" i="8" s="1"/>
  <c r="AE56" i="8" s="1"/>
  <c r="AE60" i="8" s="1"/>
  <c r="AG30" i="8"/>
  <c r="AG50" i="8" s="1"/>
  <c r="AG16" i="8"/>
  <c r="AJ39" i="8"/>
  <c r="AJ88" i="8" s="1"/>
  <c r="AJ49" i="8"/>
  <c r="AJ59" i="8" s="1"/>
  <c r="AI78" i="8"/>
  <c r="AI87" i="8" s="1"/>
  <c r="AJ8" i="8"/>
  <c r="AJ17" i="8" s="1"/>
  <c r="AJ33" i="8" s="1"/>
  <c r="AJ15" i="8"/>
  <c r="AJ31" i="8" s="1"/>
  <c r="AJ51" i="8" s="1"/>
  <c r="AJ19" i="8"/>
  <c r="AD35" i="8"/>
  <c r="AD22" i="8"/>
  <c r="AD23" i="8" s="1"/>
  <c r="AD24" i="8" s="1"/>
  <c r="AJ53" i="8" l="1"/>
  <c r="AJ89" i="8"/>
  <c r="AD36" i="8"/>
  <c r="AD40" i="8" s="1"/>
  <c r="AD90" i="8"/>
  <c r="AD91" i="8" s="1"/>
  <c r="AF20" i="8"/>
  <c r="AF35" i="8" s="1"/>
  <c r="AI14" i="8"/>
  <c r="AJ6" i="8"/>
  <c r="AH16" i="8"/>
  <c r="AH30" i="8"/>
  <c r="AH50" i="8" s="1"/>
  <c r="AE22" i="8"/>
  <c r="AE23" i="8" s="1"/>
  <c r="AE24" i="8" s="1"/>
  <c r="AE35" i="8"/>
  <c r="AG18" i="8"/>
  <c r="AG32" i="8"/>
  <c r="AG52" i="8" s="1"/>
  <c r="AJ78" i="8"/>
  <c r="AJ87" i="8" s="1"/>
  <c r="AF54" i="8"/>
  <c r="AF56" i="8" s="1"/>
  <c r="AF60" i="8" s="1"/>
  <c r="AF36" i="8" l="1"/>
  <c r="AF40" i="8" s="1"/>
  <c r="AF90" i="8"/>
  <c r="AF91" i="8" s="1"/>
  <c r="AE36" i="8"/>
  <c r="AE40" i="8" s="1"/>
  <c r="AE90" i="8"/>
  <c r="AE91" i="8" s="1"/>
  <c r="AF22" i="8"/>
  <c r="AF23" i="8" s="1"/>
  <c r="AF24" i="8" s="1"/>
  <c r="AJ7" i="8"/>
  <c r="AJ14" i="8" s="1"/>
  <c r="AG34" i="8"/>
  <c r="AG54" i="8" s="1"/>
  <c r="AG56" i="8" s="1"/>
  <c r="AG60" i="8" s="1"/>
  <c r="AG20" i="8"/>
  <c r="AH18" i="8"/>
  <c r="AH32" i="8"/>
  <c r="AH52" i="8" s="1"/>
  <c r="AI30" i="8"/>
  <c r="AI50" i="8" s="1"/>
  <c r="AI16" i="8"/>
  <c r="AJ30" i="8" l="1"/>
  <c r="AJ50" i="8" s="1"/>
  <c r="AJ16" i="8"/>
  <c r="AJ18" i="8" s="1"/>
  <c r="AH34" i="8"/>
  <c r="AH54" i="8" s="1"/>
  <c r="AH56" i="8" s="1"/>
  <c r="AH60" i="8" s="1"/>
  <c r="AH20" i="8"/>
  <c r="AI32" i="8"/>
  <c r="AI52" i="8" s="1"/>
  <c r="AI18" i="8"/>
  <c r="AG22" i="8"/>
  <c r="AG23" i="8" s="1"/>
  <c r="AG24" i="8" s="1"/>
  <c r="AG35" i="8"/>
  <c r="AG36" i="8" l="1"/>
  <c r="AG40" i="8" s="1"/>
  <c r="AG90" i="8"/>
  <c r="AG91" i="8" s="1"/>
  <c r="AJ32" i="8"/>
  <c r="AJ52" i="8" s="1"/>
  <c r="AJ20" i="8"/>
  <c r="AJ34" i="8"/>
  <c r="AJ54" i="8" s="1"/>
  <c r="AJ56" i="8" s="1"/>
  <c r="AJ60" i="8" s="1"/>
  <c r="AI34" i="8"/>
  <c r="AI54" i="8" s="1"/>
  <c r="AI56" i="8" s="1"/>
  <c r="AI60" i="8" s="1"/>
  <c r="AI20" i="8"/>
  <c r="AH35" i="8"/>
  <c r="AH22" i="8"/>
  <c r="AH23" i="8" s="1"/>
  <c r="AH24" i="8" s="1"/>
  <c r="AH36" i="8" l="1"/>
  <c r="AH40" i="8" s="1"/>
  <c r="AH90" i="8"/>
  <c r="AH91" i="8" s="1"/>
  <c r="C63" i="8"/>
  <c r="AI35" i="8"/>
  <c r="AI22" i="8"/>
  <c r="AI23" i="8" s="1"/>
  <c r="AI24" i="8" s="1"/>
  <c r="AJ22" i="8"/>
  <c r="AJ23" i="8" s="1"/>
  <c r="AJ24" i="8" s="1"/>
  <c r="AJ35" i="8"/>
  <c r="AI36" i="8" l="1"/>
  <c r="AI40" i="8" s="1"/>
  <c r="AI90" i="8"/>
  <c r="AI91" i="8" s="1"/>
  <c r="D91" i="8" s="1"/>
  <c r="C94" i="8" s="1"/>
  <c r="E31" i="3" s="1"/>
  <c r="AJ36" i="8"/>
  <c r="AJ40" i="8" s="1"/>
  <c r="AJ90" i="8"/>
  <c r="C43" i="8" l="1"/>
  <c r="E27" i="3" s="1"/>
  <c r="E28" i="3" s="1"/>
  <c r="C45" i="8"/>
  <c r="E29" i="3" s="1"/>
  <c r="E30" i="3" s="1"/>
</calcChain>
</file>

<file path=xl/sharedStrings.xml><?xml version="1.0" encoding="utf-8"?>
<sst xmlns="http://schemas.openxmlformats.org/spreadsheetml/2006/main" count="202" uniqueCount="99">
  <si>
    <t>Ventas</t>
  </si>
  <si>
    <t>CMV</t>
  </si>
  <si>
    <t>Margen Bruto</t>
  </si>
  <si>
    <t>EBITDA</t>
  </si>
  <si>
    <t>Amortización</t>
  </si>
  <si>
    <t xml:space="preserve">EBIT </t>
  </si>
  <si>
    <t>Gastos Financieros</t>
  </si>
  <si>
    <t>EBT</t>
  </si>
  <si>
    <t>Impuestos</t>
  </si>
  <si>
    <t>Beneficio Neto</t>
  </si>
  <si>
    <t>1. Cuenta de Resultados</t>
  </si>
  <si>
    <t>--</t>
  </si>
  <si>
    <t>Inversión</t>
  </si>
  <si>
    <t>Principales Hipótesis</t>
  </si>
  <si>
    <t>Coste de Inversión</t>
  </si>
  <si>
    <t>Hora Anuales Equivalentes</t>
  </si>
  <si>
    <t>Costes Operativos</t>
  </si>
  <si>
    <t>Unidad</t>
  </si>
  <si>
    <t>Valor</t>
  </si>
  <si>
    <t>€/KW</t>
  </si>
  <si>
    <t>Horas</t>
  </si>
  <si>
    <t>Comentarios</t>
  </si>
  <si>
    <t>Calendario 10% año PEM-1, 80% año PEM, 10% año PEM +1</t>
  </si>
  <si>
    <t>Puesta en Marcha</t>
  </si>
  <si>
    <t>€/MWh</t>
  </si>
  <si>
    <t>Inflación</t>
  </si>
  <si>
    <t>%</t>
  </si>
  <si>
    <t>Unidades</t>
  </si>
  <si>
    <t>Concepto</t>
  </si>
  <si>
    <t>Ingresos</t>
  </si>
  <si>
    <t>m€</t>
  </si>
  <si>
    <t>Potencia</t>
  </si>
  <si>
    <t>EBIT</t>
  </si>
  <si>
    <t>Intereses</t>
  </si>
  <si>
    <t>Tasa Impositiva</t>
  </si>
  <si>
    <t>2. Flujo de Caja</t>
  </si>
  <si>
    <t>F. Caja Operativo</t>
  </si>
  <si>
    <t>Valor residual</t>
  </si>
  <si>
    <t>FCL</t>
  </si>
  <si>
    <t>TIR</t>
  </si>
  <si>
    <t>Prima</t>
  </si>
  <si>
    <t>MW</t>
  </si>
  <si>
    <t>WACC</t>
  </si>
  <si>
    <t>3. Flujo de Caja Amortización Acelerada</t>
  </si>
  <si>
    <t xml:space="preserve">Amortización </t>
  </si>
  <si>
    <t>Crédito</t>
  </si>
  <si>
    <t>Impuestos Final</t>
  </si>
  <si>
    <t>Coste medio ventas</t>
  </si>
  <si>
    <t>R.Neto</t>
  </si>
  <si>
    <t>Vida deuda</t>
  </si>
  <si>
    <t>años</t>
  </si>
  <si>
    <t>4.- Simulación deuda</t>
  </si>
  <si>
    <t>Deuda Inicial</t>
  </si>
  <si>
    <t>Deuda final</t>
  </si>
  <si>
    <t>Amortización deuda</t>
  </si>
  <si>
    <t>Deuda media</t>
  </si>
  <si>
    <t>Intereses deuda</t>
  </si>
  <si>
    <t>Tipo interés</t>
  </si>
  <si>
    <t>Senda Precios ACTIVA</t>
  </si>
  <si>
    <t>Ingresos a Mercado</t>
  </si>
  <si>
    <t>Ingresos tarifa</t>
  </si>
  <si>
    <t>Senda de mercado activa</t>
  </si>
  <si>
    <t>Senda Pesimista</t>
  </si>
  <si>
    <t>Senda Base</t>
  </si>
  <si>
    <t>Senda optimista</t>
  </si>
  <si>
    <t>TIR de proyecto</t>
  </si>
  <si>
    <t>Margen de creación  de valor</t>
  </si>
  <si>
    <t>Vida útil</t>
  </si>
  <si>
    <t>Valor Terminal</t>
  </si>
  <si>
    <t>% año</t>
  </si>
  <si>
    <t>Base</t>
  </si>
  <si>
    <t>Apalancamiento inicial</t>
  </si>
  <si>
    <t>Años</t>
  </si>
  <si>
    <t>Tarifa/PPA</t>
  </si>
  <si>
    <t>VAN (k.€)</t>
  </si>
  <si>
    <t>Kd</t>
  </si>
  <si>
    <t>Ke</t>
  </si>
  <si>
    <t>D/(D+E)</t>
  </si>
  <si>
    <t>E/(D+E)</t>
  </si>
  <si>
    <t>WCD</t>
  </si>
  <si>
    <t>WCE</t>
  </si>
  <si>
    <t>Actualización Tarifa/PPA</t>
  </si>
  <si>
    <t>5.- LCOE</t>
  </si>
  <si>
    <t>Capex</t>
  </si>
  <si>
    <t>Opex</t>
  </si>
  <si>
    <t>Otros</t>
  </si>
  <si>
    <t>Tasa Descuento</t>
  </si>
  <si>
    <t>Total</t>
  </si>
  <si>
    <t>Costes Totales</t>
  </si>
  <si>
    <t>Producción</t>
  </si>
  <si>
    <t>LCOE</t>
  </si>
  <si>
    <t>VAN / Capex</t>
  </si>
  <si>
    <t>Cálculo del WACC</t>
  </si>
  <si>
    <t>Mercado</t>
  </si>
  <si>
    <t>Tecnología</t>
  </si>
  <si>
    <t>Evol Senda Base</t>
  </si>
  <si>
    <t>Apuntamiento</t>
  </si>
  <si>
    <t>Eólica</t>
  </si>
  <si>
    <t>Valor 2026 Escalado (si aplica indexación)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</si>
</sst>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%"/>
    <numFmt numFmtId="165" formatCode="#,##0.0"/>
    <numFmt numFmtId="166" formatCode="#,##0_ ;[Red]\-#,##0\ "/>
    <numFmt numFmtId="167" formatCode="_-* #,##0_-;\-* #,##0_-;_-* &quot;-&quot;??_-;_-@_-"/>
  </numFmts>
  <fonts count="1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4"/>
      <color theme="0"/>
      <name val="Arial"/>
      <family val="2"/>
    </font>
    <font>
      <sz val="14"/>
      <color theme="1"/>
      <name val="Arial"/>
      <family val="2"/>
    </font>
    <font>
      <sz val="14"/>
      <color theme="0"/>
      <name val="Arial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u/>
      <sz val="10"/>
      <color theme="1"/>
      <name val="Arial"/>
      <family val="2"/>
    </font>
    <font>
      <b/>
      <u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1">
    <xf numFmtId="0" fontId="0" fillId="0" borderId="0" xfId="0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0" xfId="0" applyFont="1" applyBorder="1"/>
    <xf numFmtId="0" fontId="4" fillId="2" borderId="0" xfId="0" applyFont="1" applyFill="1" applyBorder="1"/>
    <xf numFmtId="0" fontId="4" fillId="2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49" fontId="5" fillId="2" borderId="0" xfId="0" applyNumberFormat="1" applyFont="1" applyFill="1" applyBorder="1"/>
    <xf numFmtId="3" fontId="6" fillId="0" borderId="0" xfId="0" applyNumberFormat="1" applyFont="1" applyBorder="1" applyAlignment="1">
      <alignment horizontal="center"/>
    </xf>
    <xf numFmtId="9" fontId="6" fillId="0" borderId="0" xfId="1" applyFont="1" applyBorder="1" applyAlignment="1">
      <alignment horizontal="center"/>
    </xf>
    <xf numFmtId="49" fontId="7" fillId="2" borderId="1" xfId="0" applyNumberFormat="1" applyFont="1" applyFill="1" applyBorder="1"/>
    <xf numFmtId="3" fontId="8" fillId="0" borderId="1" xfId="0" applyNumberFormat="1" applyFont="1" applyBorder="1" applyAlignment="1">
      <alignment horizontal="center"/>
    </xf>
    <xf numFmtId="9" fontId="8" fillId="0" borderId="1" xfId="1" applyFont="1" applyBorder="1" applyAlignment="1">
      <alignment horizontal="center"/>
    </xf>
    <xf numFmtId="49" fontId="7" fillId="2" borderId="0" xfId="0" applyNumberFormat="1" applyFont="1" applyFill="1" applyBorder="1"/>
    <xf numFmtId="9" fontId="8" fillId="0" borderId="0" xfId="1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11" fillId="2" borderId="0" xfId="0" applyFont="1" applyFill="1"/>
    <xf numFmtId="0" fontId="9" fillId="2" borderId="0" xfId="0" applyFont="1" applyFill="1"/>
    <xf numFmtId="0" fontId="10" fillId="0" borderId="0" xfId="0" applyFont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17" fontId="0" fillId="0" borderId="10" xfId="0" applyNumberFormat="1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0" xfId="0" applyBorder="1" applyAlignment="1">
      <alignment horizontal="center"/>
    </xf>
    <xf numFmtId="0" fontId="11" fillId="2" borderId="0" xfId="0" applyFont="1" applyFill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11" fillId="2" borderId="0" xfId="0" applyFont="1" applyFill="1" applyBorder="1" applyAlignment="1">
      <alignment horizontal="left"/>
    </xf>
    <xf numFmtId="3" fontId="0" fillId="4" borderId="10" xfId="0" applyNumberForma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10" fillId="3" borderId="10" xfId="0" applyFont="1" applyFill="1" applyBorder="1" applyAlignment="1">
      <alignment horizontal="center"/>
    </xf>
    <xf numFmtId="3" fontId="10" fillId="3" borderId="10" xfId="0" applyNumberFormat="1" applyFont="1" applyFill="1" applyBorder="1" applyAlignment="1">
      <alignment horizontal="center"/>
    </xf>
    <xf numFmtId="0" fontId="10" fillId="0" borderId="10" xfId="0" applyFont="1" applyBorder="1" applyAlignment="1">
      <alignment horizontal="center"/>
    </xf>
    <xf numFmtId="3" fontId="10" fillId="0" borderId="10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0" fillId="3" borderId="0" xfId="0" applyFill="1"/>
    <xf numFmtId="164" fontId="0" fillId="0" borderId="10" xfId="1" applyNumberFormat="1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1" fontId="0" fillId="3" borderId="14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16" xfId="0" applyNumberForma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17" fontId="0" fillId="0" borderId="0" xfId="0" applyNumberFormat="1" applyAlignment="1">
      <alignment horizontal="center"/>
    </xf>
    <xf numFmtId="9" fontId="0" fillId="0" borderId="10" xfId="1" applyFont="1" applyBorder="1" applyAlignment="1">
      <alignment horizontal="center"/>
    </xf>
    <xf numFmtId="9" fontId="0" fillId="5" borderId="10" xfId="0" applyNumberFormat="1" applyFill="1" applyBorder="1" applyAlignment="1">
      <alignment horizontal="center"/>
    </xf>
    <xf numFmtId="17" fontId="0" fillId="5" borderId="10" xfId="0" applyNumberFormat="1" applyFill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10" xfId="2" applyNumberFormat="1" applyFont="1" applyBorder="1" applyAlignment="1">
      <alignment horizontal="center" vertical="center"/>
    </xf>
    <xf numFmtId="164" fontId="0" fillId="0" borderId="0" xfId="0" applyNumberFormat="1"/>
    <xf numFmtId="167" fontId="0" fillId="0" borderId="0" xfId="2" applyNumberFormat="1" applyFont="1" applyAlignment="1">
      <alignment horizontal="center"/>
    </xf>
    <xf numFmtId="0" fontId="0" fillId="0" borderId="10" xfId="0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0" fontId="0" fillId="0" borderId="0" xfId="0" applyBorder="1"/>
    <xf numFmtId="164" fontId="0" fillId="0" borderId="0" xfId="0" applyNumberFormat="1" applyBorder="1"/>
    <xf numFmtId="10" fontId="0" fillId="0" borderId="10" xfId="0" applyNumberFormat="1" applyBorder="1" applyAlignment="1">
      <alignment horizontal="center"/>
    </xf>
    <xf numFmtId="10" fontId="0" fillId="0" borderId="10" xfId="1" applyNumberFormat="1" applyFont="1" applyBorder="1" applyAlignment="1">
      <alignment horizontal="center"/>
    </xf>
    <xf numFmtId="0" fontId="12" fillId="3" borderId="10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10" fontId="13" fillId="0" borderId="0" xfId="0" applyNumberFormat="1" applyFont="1" applyAlignment="1">
      <alignment horizontal="center"/>
    </xf>
    <xf numFmtId="0" fontId="11" fillId="6" borderId="0" xfId="0" applyFont="1" applyFill="1" applyAlignment="1">
      <alignment horizontal="center"/>
    </xf>
    <xf numFmtId="1" fontId="11" fillId="6" borderId="0" xfId="0" applyNumberFormat="1" applyFont="1" applyFill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18" xfId="0" applyBorder="1"/>
    <xf numFmtId="9" fontId="0" fillId="0" borderId="19" xfId="0" applyNumberFormat="1" applyBorder="1"/>
    <xf numFmtId="0" fontId="0" fillId="0" borderId="17" xfId="0" applyBorder="1"/>
    <xf numFmtId="9" fontId="0" fillId="0" borderId="20" xfId="0" applyNumberFormat="1" applyBorder="1"/>
    <xf numFmtId="164" fontId="0" fillId="0" borderId="22" xfId="1" applyNumberFormat="1" applyFont="1" applyBorder="1"/>
    <xf numFmtId="164" fontId="0" fillId="0" borderId="20" xfId="1" applyNumberFormat="1" applyFont="1" applyBorder="1"/>
    <xf numFmtId="0" fontId="0" fillId="0" borderId="21" xfId="0" applyBorder="1"/>
    <xf numFmtId="164" fontId="14" fillId="0" borderId="21" xfId="1" applyNumberFormat="1" applyFont="1" applyBorder="1"/>
    <xf numFmtId="164" fontId="14" fillId="0" borderId="22" xfId="1" applyNumberFormat="1" applyFont="1" applyBorder="1"/>
    <xf numFmtId="0" fontId="11" fillId="2" borderId="10" xfId="0" applyFont="1" applyFill="1" applyBorder="1" applyAlignment="1">
      <alignment horizontal="center"/>
    </xf>
    <xf numFmtId="9" fontId="0" fillId="0" borderId="20" xfId="1" applyFont="1" applyBorder="1"/>
    <xf numFmtId="9" fontId="0" fillId="3" borderId="0" xfId="1" applyFont="1" applyFill="1" applyAlignment="1">
      <alignment horizontal="center"/>
    </xf>
    <xf numFmtId="9" fontId="0" fillId="3" borderId="0" xfId="0" applyNumberFormat="1" applyFill="1"/>
    <xf numFmtId="9" fontId="0" fillId="7" borderId="0" xfId="1" applyFont="1" applyFill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0" xfId="0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2" borderId="10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2" borderId="0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Sendas de precios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'Senda de precios mercado'!$B$4</c:f>
              <c:strCache>
                <c:ptCount val="1"/>
                <c:pt idx="0">
                  <c:v>Senda Pesimista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'Senda de precios mercado'!$A$5:$A$25</c:f>
              <c:numCache>
                <c:formatCode>General</c:formatCode>
                <c:ptCount val="2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</c:numCache>
            </c:numRef>
          </c:cat>
          <c:val>
            <c:numRef>
              <c:f>'Senda de precios mercado'!$B$5:$B$25</c:f>
              <c:numCache>
                <c:formatCode>0</c:formatCode>
                <c:ptCount val="21"/>
                <c:pt idx="0">
                  <c:v>65</c:v>
                </c:pt>
                <c:pt idx="1">
                  <c:v>52</c:v>
                </c:pt>
                <c:pt idx="2">
                  <c:v>52</c:v>
                </c:pt>
                <c:pt idx="3">
                  <c:v>53.04</c:v>
                </c:pt>
                <c:pt idx="4">
                  <c:v>54.100800000000007</c:v>
                </c:pt>
                <c:pt idx="5">
                  <c:v>55.182816000000003</c:v>
                </c:pt>
                <c:pt idx="6">
                  <c:v>56.286472320000009</c:v>
                </c:pt>
                <c:pt idx="7">
                  <c:v>60.282811854720016</c:v>
                </c:pt>
                <c:pt idx="8">
                  <c:v>61.488468091814411</c:v>
                </c:pt>
                <c:pt idx="9">
                  <c:v>62.718237453650708</c:v>
                </c:pt>
                <c:pt idx="10">
                  <c:v>63.972602202723721</c:v>
                </c:pt>
                <c:pt idx="11">
                  <c:v>65.252054246778187</c:v>
                </c:pt>
                <c:pt idx="12">
                  <c:v>66.557095331713754</c:v>
                </c:pt>
                <c:pt idx="13">
                  <c:v>67.888237238348026</c:v>
                </c:pt>
                <c:pt idx="14">
                  <c:v>69.246001983114994</c:v>
                </c:pt>
                <c:pt idx="15">
                  <c:v>70.630922022777298</c:v>
                </c:pt>
                <c:pt idx="16">
                  <c:v>72.043540463232844</c:v>
                </c:pt>
                <c:pt idx="17">
                  <c:v>73.48441127249751</c:v>
                </c:pt>
                <c:pt idx="18">
                  <c:v>74.954099497947468</c:v>
                </c:pt>
                <c:pt idx="19">
                  <c:v>76.453181487906406</c:v>
                </c:pt>
                <c:pt idx="20">
                  <c:v>77.982245117664547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7E-4F2A-ACC8-087E4FF854DD}"/>
            </c:ext>
          </c:extLst>
        </c:ser>
        <c:ser>
          <c:idx val="1"/>
          <c:order val="1"/>
          <c:tx>
            <c:strRef>
              <c:f>'Senda de precios mercado'!$C$4</c:f>
              <c:strCache>
                <c:ptCount val="1"/>
                <c:pt idx="0">
                  <c:v>Senda Base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'Senda de precios mercado'!$A$5:$A$25</c:f>
              <c:numCache>
                <c:formatCode>General</c:formatCode>
                <c:ptCount val="2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</c:numCache>
            </c:numRef>
          </c:cat>
          <c:val>
            <c:numRef>
              <c:f>'Senda de precios mercado'!$C$5:$C$25</c:f>
              <c:numCache>
                <c:formatCode>0</c:formatCode>
                <c:ptCount val="21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66.3</c:v>
                </c:pt>
                <c:pt idx="4">
                  <c:v>67.626000000000005</c:v>
                </c:pt>
                <c:pt idx="5">
                  <c:v>68.978520000000003</c:v>
                </c:pt>
                <c:pt idx="6">
                  <c:v>70.358090400000009</c:v>
                </c:pt>
                <c:pt idx="7">
                  <c:v>75.353514818400015</c:v>
                </c:pt>
                <c:pt idx="8">
                  <c:v>76.860585114768014</c:v>
                </c:pt>
                <c:pt idx="9">
                  <c:v>78.39779681706338</c:v>
                </c:pt>
                <c:pt idx="10">
                  <c:v>79.965752753404644</c:v>
                </c:pt>
                <c:pt idx="11">
                  <c:v>81.565067808472733</c:v>
                </c:pt>
                <c:pt idx="12">
                  <c:v>83.196369164642192</c:v>
                </c:pt>
                <c:pt idx="13">
                  <c:v>84.860296547935036</c:v>
                </c:pt>
                <c:pt idx="14">
                  <c:v>86.557502478893738</c:v>
                </c:pt>
                <c:pt idx="15">
                  <c:v>88.288652528471616</c:v>
                </c:pt>
                <c:pt idx="16">
                  <c:v>90.054425579041052</c:v>
                </c:pt>
                <c:pt idx="17">
                  <c:v>91.855514090621881</c:v>
                </c:pt>
                <c:pt idx="18">
                  <c:v>93.692624372434324</c:v>
                </c:pt>
                <c:pt idx="19">
                  <c:v>95.566476859883011</c:v>
                </c:pt>
                <c:pt idx="20">
                  <c:v>97.47780639708067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7E-4F2A-ACC8-087E4FF854DD}"/>
            </c:ext>
          </c:extLst>
        </c:ser>
        <c:ser>
          <c:idx val="2"/>
          <c:order val="2"/>
          <c:tx>
            <c:strRef>
              <c:f>'Senda de precios mercado'!$D$4</c:f>
              <c:strCache>
                <c:ptCount val="1"/>
                <c:pt idx="0">
                  <c:v>Senda optimista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'Senda de precios mercado'!$A$5:$A$25</c:f>
              <c:numCache>
                <c:formatCode>General</c:formatCode>
                <c:ptCount val="2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</c:numCache>
            </c:numRef>
          </c:cat>
          <c:val>
            <c:numRef>
              <c:f>'Senda de precios mercado'!$D$5:$D$25</c:f>
              <c:numCache>
                <c:formatCode>0</c:formatCode>
                <c:ptCount val="21"/>
                <c:pt idx="0">
                  <c:v>65</c:v>
                </c:pt>
                <c:pt idx="1">
                  <c:v>78</c:v>
                </c:pt>
                <c:pt idx="2">
                  <c:v>78</c:v>
                </c:pt>
                <c:pt idx="3">
                  <c:v>79.559999999999988</c:v>
                </c:pt>
                <c:pt idx="4">
                  <c:v>81.151200000000003</c:v>
                </c:pt>
                <c:pt idx="5">
                  <c:v>82.774224000000004</c:v>
                </c:pt>
                <c:pt idx="6">
                  <c:v>84.429708480000002</c:v>
                </c:pt>
                <c:pt idx="7">
                  <c:v>90.424217782080021</c:v>
                </c:pt>
                <c:pt idx="8">
                  <c:v>92.232702137721617</c:v>
                </c:pt>
                <c:pt idx="9">
                  <c:v>94.077356180476059</c:v>
                </c:pt>
                <c:pt idx="10">
                  <c:v>95.958903304085567</c:v>
                </c:pt>
                <c:pt idx="11">
                  <c:v>97.87808137016728</c:v>
                </c:pt>
                <c:pt idx="12">
                  <c:v>99.835642997570631</c:v>
                </c:pt>
                <c:pt idx="13">
                  <c:v>101.83235585752205</c:v>
                </c:pt>
                <c:pt idx="14">
                  <c:v>103.86900297467248</c:v>
                </c:pt>
                <c:pt idx="15">
                  <c:v>105.94638303416593</c:v>
                </c:pt>
                <c:pt idx="16">
                  <c:v>108.06531069484926</c:v>
                </c:pt>
                <c:pt idx="17">
                  <c:v>110.22661690874625</c:v>
                </c:pt>
                <c:pt idx="18">
                  <c:v>112.43114924692118</c:v>
                </c:pt>
                <c:pt idx="19">
                  <c:v>114.67977223185962</c:v>
                </c:pt>
                <c:pt idx="20">
                  <c:v>116.97336767649679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7E-4F2A-ACC8-087E4FF85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1346208"/>
        <c:axId val="641342928"/>
      </c:lineChart>
      <c:catAx>
        <c:axId val="64134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1342928"/>
        <c:crosses val="autoZero"/>
        <c:auto val="1"/>
        <c:lblAlgn val="ctr"/>
        <c:lblOffset val="100"/>
        <c:noMultiLvlLbl val="0"/>
      </c:catAx>
      <c:valAx>
        <c:axId val="64134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134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600075</xdr:colOff>
      <xdr:row>13</xdr:row>
      <xdr:rowOff>19050</xdr:rowOff>
    </xdr:from>
    <xdr:to>
      <xdr:col>15</xdr:col>
      <xdr:colOff>600075</xdr:colOff>
      <xdr:row>30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37"/>
  <sheetViews>
    <sheetView showGridLines="0" tabSelected="1" topLeftCell="B7" zoomScale="130" zoomScaleNormal="130" workbookViewId="0">
      <selection activeCell="E38" sqref="E38"/>
    </sheetView>
  </sheetViews>
  <sheetFormatPr defaultColWidth="11.42578125" defaultRowHeight="12.75" x14ac:dyDescent="0.2"/>
  <cols>
    <col min="3" max="4" width="11.42578125" customWidth="1"/>
    <col min="7" max="7" width="2.7109375" customWidth="1"/>
  </cols>
  <sheetData>
    <row r="3" spans="2:12" x14ac:dyDescent="0.2">
      <c r="B3" s="22" t="s">
        <v>13</v>
      </c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2:12" x14ac:dyDescent="0.2">
      <c r="B4" s="23"/>
      <c r="E4" s="88">
        <f>+E7*E8</f>
        <v>62500</v>
      </c>
      <c r="F4" s="24"/>
    </row>
    <row r="5" spans="2:12" x14ac:dyDescent="0.2">
      <c r="B5" s="23"/>
      <c r="E5" s="27" t="s">
        <v>18</v>
      </c>
      <c r="F5" s="27" t="s">
        <v>17</v>
      </c>
      <c r="H5" s="127" t="s">
        <v>21</v>
      </c>
      <c r="I5" s="127"/>
      <c r="J5" s="127"/>
      <c r="K5" s="127"/>
      <c r="L5" s="127"/>
    </row>
    <row r="6" spans="2:12" x14ac:dyDescent="0.2">
      <c r="B6" s="117" t="s">
        <v>94</v>
      </c>
      <c r="C6" s="118"/>
      <c r="D6" s="119"/>
      <c r="E6" s="128" t="s">
        <v>97</v>
      </c>
      <c r="F6" s="129"/>
      <c r="H6" s="112"/>
      <c r="I6" s="112"/>
      <c r="J6" s="112"/>
      <c r="K6" s="112"/>
      <c r="L6" s="112"/>
    </row>
    <row r="7" spans="2:12" x14ac:dyDescent="0.2">
      <c r="B7" s="117" t="s">
        <v>31</v>
      </c>
      <c r="C7" s="118"/>
      <c r="D7" s="119"/>
      <c r="E7" s="25">
        <v>50</v>
      </c>
      <c r="F7" s="37" t="s">
        <v>41</v>
      </c>
      <c r="H7" s="122" t="s">
        <v>11</v>
      </c>
      <c r="I7" s="123"/>
      <c r="J7" s="123"/>
      <c r="K7" s="123"/>
      <c r="L7" s="123"/>
    </row>
    <row r="8" spans="2:12" x14ac:dyDescent="0.2">
      <c r="B8" s="117" t="s">
        <v>14</v>
      </c>
      <c r="C8" s="118"/>
      <c r="D8" s="119"/>
      <c r="E8" s="33">
        <f>+IF(E6="PV",650,1250)</f>
        <v>1250</v>
      </c>
      <c r="F8" s="25" t="s">
        <v>19</v>
      </c>
      <c r="H8" s="123" t="s">
        <v>22</v>
      </c>
      <c r="I8" s="123"/>
      <c r="J8" s="123"/>
      <c r="K8" s="123"/>
      <c r="L8" s="123"/>
    </row>
    <row r="9" spans="2:12" x14ac:dyDescent="0.2">
      <c r="B9" s="60"/>
      <c r="C9" s="61" t="s">
        <v>40</v>
      </c>
      <c r="D9" s="62"/>
      <c r="E9" s="33">
        <f>+IF(E6="PV",20,150)</f>
        <v>150</v>
      </c>
      <c r="F9" s="63" t="str">
        <f>+F8</f>
        <v>€/KW</v>
      </c>
      <c r="H9" s="63"/>
      <c r="I9" s="63"/>
      <c r="J9" s="63"/>
      <c r="K9" s="63"/>
      <c r="L9" s="63"/>
    </row>
    <row r="10" spans="2:12" x14ac:dyDescent="0.2">
      <c r="B10" s="117" t="s">
        <v>15</v>
      </c>
      <c r="C10" s="118"/>
      <c r="D10" s="119"/>
      <c r="E10" s="33">
        <f>+IF(E6="PV",1650,2350)</f>
        <v>2350</v>
      </c>
      <c r="F10" s="25" t="s">
        <v>20</v>
      </c>
      <c r="H10" s="123"/>
      <c r="I10" s="123"/>
      <c r="J10" s="123"/>
      <c r="K10" s="123"/>
      <c r="L10" s="123"/>
    </row>
    <row r="11" spans="2:12" x14ac:dyDescent="0.2">
      <c r="B11" s="41"/>
      <c r="C11" s="42" t="s">
        <v>47</v>
      </c>
      <c r="D11" s="43"/>
      <c r="E11" s="84">
        <v>1</v>
      </c>
      <c r="F11" s="45" t="s">
        <v>24</v>
      </c>
      <c r="H11" s="45"/>
      <c r="I11" s="45"/>
      <c r="J11" s="45"/>
      <c r="K11" s="45"/>
      <c r="L11" s="45"/>
    </row>
    <row r="12" spans="2:12" x14ac:dyDescent="0.2">
      <c r="B12" s="117" t="s">
        <v>16</v>
      </c>
      <c r="C12" s="118"/>
      <c r="D12" s="119"/>
      <c r="E12" s="25">
        <f>+IF(E6="PV",30,50)</f>
        <v>50</v>
      </c>
      <c r="F12" s="25" t="s">
        <v>19</v>
      </c>
      <c r="H12" s="123"/>
      <c r="I12" s="123"/>
      <c r="J12" s="123"/>
      <c r="K12" s="123"/>
      <c r="L12" s="123"/>
    </row>
    <row r="13" spans="2:12" x14ac:dyDescent="0.2">
      <c r="B13" s="117" t="s">
        <v>67</v>
      </c>
      <c r="C13" s="118"/>
      <c r="D13" s="119"/>
      <c r="E13" s="63">
        <v>30</v>
      </c>
      <c r="F13" s="63" t="s">
        <v>50</v>
      </c>
      <c r="H13" s="63"/>
      <c r="I13" s="63"/>
      <c r="J13" s="63"/>
      <c r="K13" s="63"/>
      <c r="L13" s="63"/>
    </row>
    <row r="14" spans="2:12" x14ac:dyDescent="0.2">
      <c r="B14" s="117" t="s">
        <v>68</v>
      </c>
      <c r="C14" s="118"/>
      <c r="D14" s="119"/>
      <c r="E14" s="82">
        <f>IF(E13=25,10%,5%)</f>
        <v>0.05</v>
      </c>
      <c r="F14" s="63"/>
      <c r="H14" s="63"/>
      <c r="I14" s="63"/>
      <c r="J14" s="63"/>
      <c r="K14" s="63"/>
      <c r="L14" s="63"/>
    </row>
    <row r="15" spans="2:12" x14ac:dyDescent="0.2">
      <c r="B15" s="117" t="s">
        <v>23</v>
      </c>
      <c r="C15" s="118"/>
      <c r="D15" s="119"/>
      <c r="E15" s="83">
        <v>46023</v>
      </c>
      <c r="F15" s="30" t="s">
        <v>11</v>
      </c>
      <c r="H15" s="122" t="s">
        <v>11</v>
      </c>
      <c r="I15" s="123"/>
      <c r="J15" s="123"/>
      <c r="K15" s="123"/>
      <c r="L15" s="123"/>
    </row>
    <row r="16" spans="2:12" x14ac:dyDescent="0.2">
      <c r="B16" s="124" t="s">
        <v>29</v>
      </c>
      <c r="C16" s="125"/>
      <c r="D16" s="126"/>
      <c r="E16" s="29" t="s">
        <v>93</v>
      </c>
      <c r="F16" s="54"/>
      <c r="H16" s="54"/>
      <c r="I16" s="53"/>
      <c r="J16" s="53"/>
      <c r="K16" s="53"/>
      <c r="L16" s="53"/>
    </row>
    <row r="17" spans="2:12" x14ac:dyDescent="0.2">
      <c r="B17" s="49"/>
      <c r="C17" s="50" t="s">
        <v>61</v>
      </c>
      <c r="D17" s="51"/>
      <c r="E17" s="29" t="s">
        <v>70</v>
      </c>
      <c r="F17" s="54"/>
      <c r="H17" s="54"/>
      <c r="I17" s="53"/>
      <c r="J17" s="53"/>
      <c r="K17" s="53"/>
      <c r="L17" s="53"/>
    </row>
    <row r="18" spans="2:12" x14ac:dyDescent="0.2">
      <c r="B18" s="117" t="s">
        <v>73</v>
      </c>
      <c r="C18" s="118"/>
      <c r="D18" s="119"/>
      <c r="E18" s="79">
        <f>+IF(E6="PV",37,48)</f>
        <v>48</v>
      </c>
      <c r="F18" s="25" t="s">
        <v>24</v>
      </c>
      <c r="H18" s="123" t="s">
        <v>98</v>
      </c>
      <c r="I18" s="123"/>
      <c r="J18" s="123"/>
      <c r="K18" s="123"/>
      <c r="L18" s="123"/>
    </row>
    <row r="19" spans="2:12" x14ac:dyDescent="0.2">
      <c r="B19" s="67"/>
      <c r="C19" s="68" t="s">
        <v>72</v>
      </c>
      <c r="D19" s="69"/>
      <c r="E19" s="70">
        <v>12</v>
      </c>
      <c r="F19" s="70"/>
      <c r="H19" s="70"/>
      <c r="I19" s="70"/>
      <c r="J19" s="70"/>
      <c r="K19" s="70"/>
      <c r="L19" s="70"/>
    </row>
    <row r="20" spans="2:12" x14ac:dyDescent="0.2">
      <c r="B20" s="67"/>
      <c r="C20" s="68" t="s">
        <v>81</v>
      </c>
      <c r="D20" s="69"/>
      <c r="E20" s="70">
        <v>0</v>
      </c>
      <c r="F20" s="70" t="s">
        <v>26</v>
      </c>
      <c r="H20" s="70"/>
      <c r="I20" s="70"/>
      <c r="J20" s="70"/>
      <c r="K20" s="70"/>
      <c r="L20" s="70"/>
    </row>
    <row r="21" spans="2:12" x14ac:dyDescent="0.2">
      <c r="B21" s="117" t="s">
        <v>25</v>
      </c>
      <c r="C21" s="118"/>
      <c r="D21" s="119"/>
      <c r="E21" s="25">
        <v>2</v>
      </c>
      <c r="F21" s="25" t="s">
        <v>26</v>
      </c>
      <c r="H21" s="122" t="s">
        <v>11</v>
      </c>
      <c r="I21" s="123"/>
      <c r="J21" s="123"/>
      <c r="K21" s="123"/>
      <c r="L21" s="123"/>
    </row>
    <row r="22" spans="2:12" x14ac:dyDescent="0.2">
      <c r="B22" s="117" t="s">
        <v>34</v>
      </c>
      <c r="C22" s="118"/>
      <c r="D22" s="119"/>
      <c r="E22" s="25">
        <v>25</v>
      </c>
      <c r="F22" s="25" t="s">
        <v>26</v>
      </c>
      <c r="H22" s="122" t="s">
        <v>11</v>
      </c>
      <c r="I22" s="123"/>
      <c r="J22" s="123"/>
      <c r="K22" s="123"/>
      <c r="L22" s="123"/>
    </row>
    <row r="23" spans="2:12" x14ac:dyDescent="0.2">
      <c r="B23" s="117" t="s">
        <v>71</v>
      </c>
      <c r="C23" s="118"/>
      <c r="D23" s="119"/>
      <c r="E23" s="46">
        <v>70</v>
      </c>
      <c r="F23" s="46" t="s">
        <v>26</v>
      </c>
      <c r="H23" s="122" t="s">
        <v>11</v>
      </c>
      <c r="I23" s="123"/>
      <c r="J23" s="123"/>
      <c r="K23" s="123"/>
      <c r="L23" s="123"/>
    </row>
    <row r="24" spans="2:12" x14ac:dyDescent="0.2">
      <c r="B24" s="117" t="s">
        <v>49</v>
      </c>
      <c r="C24" s="118"/>
      <c r="D24" s="119"/>
      <c r="E24" s="46">
        <v>12</v>
      </c>
      <c r="F24" s="46" t="s">
        <v>50</v>
      </c>
      <c r="H24" s="122" t="s">
        <v>11</v>
      </c>
      <c r="I24" s="123"/>
      <c r="J24" s="123"/>
      <c r="K24" s="123"/>
      <c r="L24" s="123"/>
    </row>
    <row r="25" spans="2:12" x14ac:dyDescent="0.2">
      <c r="B25" s="117" t="s">
        <v>57</v>
      </c>
      <c r="C25" s="118"/>
      <c r="D25" s="119"/>
      <c r="E25" s="46">
        <v>3</v>
      </c>
      <c r="F25" s="46" t="s">
        <v>26</v>
      </c>
      <c r="H25" s="122" t="s">
        <v>11</v>
      </c>
      <c r="I25" s="123"/>
      <c r="J25" s="123"/>
      <c r="K25" s="123"/>
      <c r="L25" s="123"/>
    </row>
    <row r="26" spans="2:12" x14ac:dyDescent="0.2">
      <c r="B26" s="117" t="s">
        <v>42</v>
      </c>
      <c r="C26" s="118"/>
      <c r="D26" s="119"/>
      <c r="E26" s="94">
        <f>+J35</f>
        <v>6.3750000000000001E-2</v>
      </c>
      <c r="F26" s="46" t="s">
        <v>26</v>
      </c>
    </row>
    <row r="27" spans="2:12" x14ac:dyDescent="0.2">
      <c r="B27" s="117" t="s">
        <v>39</v>
      </c>
      <c r="C27" s="118" t="s">
        <v>65</v>
      </c>
      <c r="D27" s="119"/>
      <c r="E27" s="95">
        <f>IFERROR(+FC!C43,"n/a")</f>
        <v>8.9742008833866072E-2</v>
      </c>
      <c r="F27" s="53" t="s">
        <v>26</v>
      </c>
      <c r="I27" s="120" t="s">
        <v>92</v>
      </c>
      <c r="J27" s="121"/>
    </row>
    <row r="28" spans="2:12" x14ac:dyDescent="0.2">
      <c r="B28" s="117" t="s">
        <v>66</v>
      </c>
      <c r="C28" s="118"/>
      <c r="D28" s="119"/>
      <c r="E28" s="66">
        <f>+E27-E26</f>
        <v>2.599200883386607E-2</v>
      </c>
      <c r="F28" s="53" t="s">
        <v>26</v>
      </c>
      <c r="I28" s="103" t="s">
        <v>75</v>
      </c>
      <c r="J28" s="104">
        <f>+IF(E16="mercado",5%,3.5%)</f>
        <v>0.05</v>
      </c>
    </row>
    <row r="29" spans="2:12" x14ac:dyDescent="0.2">
      <c r="B29" s="117" t="s">
        <v>74</v>
      </c>
      <c r="C29" s="118" t="s">
        <v>74</v>
      </c>
      <c r="D29" s="119"/>
      <c r="E29" s="86">
        <f>+FC!C45</f>
        <v>19471.613522584525</v>
      </c>
      <c r="I29" s="105" t="s">
        <v>76</v>
      </c>
      <c r="J29" s="106">
        <f>+IF(E16="mercado",9%,7%)</f>
        <v>0.09</v>
      </c>
    </row>
    <row r="30" spans="2:12" x14ac:dyDescent="0.2">
      <c r="B30" s="117" t="s">
        <v>91</v>
      </c>
      <c r="C30" s="118" t="s">
        <v>74</v>
      </c>
      <c r="D30" s="119"/>
      <c r="E30" s="66">
        <f>+E29/((E8+E9)*E7)</f>
        <v>0.27816590746549319</v>
      </c>
      <c r="I30" s="105" t="s">
        <v>8</v>
      </c>
      <c r="J30" s="113">
        <v>0.25</v>
      </c>
    </row>
    <row r="31" spans="2:12" x14ac:dyDescent="0.2">
      <c r="B31" s="117" t="s">
        <v>90</v>
      </c>
      <c r="C31" s="118"/>
      <c r="D31" s="119"/>
      <c r="E31" s="101">
        <f>+FC!C94</f>
        <v>68.479603085346199</v>
      </c>
      <c r="F31" s="102" t="s">
        <v>24</v>
      </c>
      <c r="I31" s="105" t="s">
        <v>77</v>
      </c>
      <c r="J31" s="106">
        <v>0.5</v>
      </c>
    </row>
    <row r="32" spans="2:12" x14ac:dyDescent="0.2">
      <c r="E32" s="91"/>
      <c r="I32" s="105" t="s">
        <v>78</v>
      </c>
      <c r="J32" s="106">
        <v>0.5</v>
      </c>
    </row>
    <row r="33" spans="5:10" x14ac:dyDescent="0.2">
      <c r="E33" s="91"/>
      <c r="I33" s="105" t="s">
        <v>79</v>
      </c>
      <c r="J33" s="108">
        <f>+(J31*J28*(1-J30))</f>
        <v>1.8750000000000003E-2</v>
      </c>
    </row>
    <row r="34" spans="5:10" x14ac:dyDescent="0.2">
      <c r="E34" s="92"/>
      <c r="I34" s="109" t="s">
        <v>80</v>
      </c>
      <c r="J34" s="107">
        <f>+J32*J29</f>
        <v>4.4999999999999998E-2</v>
      </c>
    </row>
    <row r="35" spans="5:10" x14ac:dyDescent="0.2">
      <c r="E35" s="93"/>
      <c r="I35" s="110" t="s">
        <v>42</v>
      </c>
      <c r="J35" s="111">
        <f>+J33+J34</f>
        <v>6.3750000000000001E-2</v>
      </c>
    </row>
    <row r="36" spans="5:10" x14ac:dyDescent="0.2">
      <c r="E36" s="93"/>
    </row>
    <row r="37" spans="5:10" x14ac:dyDescent="0.2">
      <c r="E37" s="87"/>
    </row>
  </sheetData>
  <mergeCells count="35">
    <mergeCell ref="B13:D13"/>
    <mergeCell ref="B14:D14"/>
    <mergeCell ref="H5:L5"/>
    <mergeCell ref="H8:L8"/>
    <mergeCell ref="H10:L10"/>
    <mergeCell ref="H12:L12"/>
    <mergeCell ref="B7:D7"/>
    <mergeCell ref="H7:L7"/>
    <mergeCell ref="B8:D8"/>
    <mergeCell ref="B10:D10"/>
    <mergeCell ref="B12:D12"/>
    <mergeCell ref="B6:D6"/>
    <mergeCell ref="E6:F6"/>
    <mergeCell ref="H22:L22"/>
    <mergeCell ref="B15:D15"/>
    <mergeCell ref="H15:L15"/>
    <mergeCell ref="B18:D18"/>
    <mergeCell ref="H18:L18"/>
    <mergeCell ref="B21:D21"/>
    <mergeCell ref="H21:L21"/>
    <mergeCell ref="B16:D16"/>
    <mergeCell ref="B22:D22"/>
    <mergeCell ref="B30:D30"/>
    <mergeCell ref="B31:D31"/>
    <mergeCell ref="I27:J27"/>
    <mergeCell ref="B29:D29"/>
    <mergeCell ref="H23:L23"/>
    <mergeCell ref="B24:D24"/>
    <mergeCell ref="H24:L24"/>
    <mergeCell ref="B25:D25"/>
    <mergeCell ref="H25:L25"/>
    <mergeCell ref="B27:D27"/>
    <mergeCell ref="B28:D28"/>
    <mergeCell ref="B26:D26"/>
    <mergeCell ref="B23:D23"/>
  </mergeCells>
  <dataValidations count="3">
    <dataValidation type="list" allowBlank="1" showInputMessage="1" showErrorMessage="1" sqref="E16" xr:uid="{00000000-0002-0000-0000-000000000000}">
      <formula1>"Mercado,Tarifa/PPA"</formula1>
    </dataValidation>
    <dataValidation type="list" allowBlank="1" showInputMessage="1" showErrorMessage="1" sqref="E17" xr:uid="{00000000-0002-0000-0000-000001000000}">
      <formula1>"Pesimista,Optimista,Base"</formula1>
    </dataValidation>
    <dataValidation type="list" allowBlank="1" showInputMessage="1" showErrorMessage="1" sqref="E6:F6" xr:uid="{6CCA121A-5666-47ED-91D9-2D17B5B97361}">
      <formula1>"PV,Eólica"</formula1>
    </dataValidation>
  </dataValidations>
  <pageMargins left="0.7" right="0.7" top="0.75" bottom="0.75" header="0.3" footer="0.3"/>
  <pageSetup paperSize="9" orientation="portrait" r:id="rId1"/>
  <headerFooter>
    <oddFooter>&amp;C&amp;1#&amp;"Calibri"&amp;12&amp;K008000Internal Use</oddFooter>
  </headerFooter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J94"/>
  <sheetViews>
    <sheetView showGridLines="0" topLeftCell="A22" zoomScale="120" zoomScaleNormal="120" workbookViewId="0">
      <selection activeCell="C43" sqref="C43"/>
    </sheetView>
  </sheetViews>
  <sheetFormatPr defaultColWidth="11.42578125" defaultRowHeight="12.75" x14ac:dyDescent="0.2"/>
  <cols>
    <col min="2" max="2" width="34.85546875" style="24" bestFit="1" customWidth="1"/>
    <col min="3" max="3" width="11.140625" style="24" bestFit="1" customWidth="1"/>
    <col min="4" max="4" width="9.5703125" style="24" bestFit="1" customWidth="1"/>
    <col min="5" max="5" width="10.140625" style="24" bestFit="1" customWidth="1"/>
    <col min="6" max="25" width="8.7109375" style="24" customWidth="1"/>
  </cols>
  <sheetData>
    <row r="1" spans="2:36" x14ac:dyDescent="0.2">
      <c r="E1" s="24">
        <v>45</v>
      </c>
      <c r="F1" s="24">
        <v>45.9</v>
      </c>
      <c r="G1" s="24">
        <v>46.817999999999998</v>
      </c>
      <c r="H1" s="24">
        <v>47.754359999999998</v>
      </c>
      <c r="I1" s="24">
        <v>48.7094472</v>
      </c>
      <c r="J1" s="24">
        <v>49.683636143999998</v>
      </c>
      <c r="K1" s="24">
        <v>50.180472505440001</v>
      </c>
      <c r="L1" s="24">
        <v>50.180472505440001</v>
      </c>
      <c r="M1" s="24">
        <v>50.180472505440001</v>
      </c>
      <c r="N1" s="24">
        <v>50.180472505440001</v>
      </c>
      <c r="O1" s="24">
        <v>50.180472505440001</v>
      </c>
      <c r="P1" s="24">
        <v>50.180472505440001</v>
      </c>
      <c r="Q1" s="24">
        <v>50.180472505440001</v>
      </c>
      <c r="R1" s="24">
        <v>49.176863055331197</v>
      </c>
      <c r="S1" s="24">
        <v>48.19332579422457</v>
      </c>
      <c r="T1" s="24">
        <v>47.22945927834008</v>
      </c>
      <c r="U1" s="24">
        <v>46.284870092773275</v>
      </c>
      <c r="V1" s="24">
        <v>45.359172690917809</v>
      </c>
      <c r="W1" s="24">
        <v>44.451989237099454</v>
      </c>
      <c r="X1" s="24">
        <v>43.562949452357465</v>
      </c>
      <c r="Y1" s="24">
        <v>42.691690463310316</v>
      </c>
      <c r="Z1">
        <v>42.691690463310316</v>
      </c>
      <c r="AA1">
        <v>42.691690463310316</v>
      </c>
      <c r="AB1">
        <v>42.691690463310316</v>
      </c>
      <c r="AC1">
        <v>42.691690463310316</v>
      </c>
    </row>
    <row r="2" spans="2:36" x14ac:dyDescent="0.2">
      <c r="B2" s="80" t="str">
        <f>+Hipótesis!E16</f>
        <v>Mercado</v>
      </c>
      <c r="E2" s="24">
        <v>1</v>
      </c>
      <c r="F2" s="24">
        <f>+E2+1</f>
        <v>2</v>
      </c>
      <c r="G2" s="24">
        <f t="shared" ref="G2:AH2" si="0">+F2+1</f>
        <v>3</v>
      </c>
      <c r="H2" s="24">
        <f t="shared" si="0"/>
        <v>4</v>
      </c>
      <c r="I2" s="24">
        <f t="shared" si="0"/>
        <v>5</v>
      </c>
      <c r="J2" s="24">
        <f t="shared" si="0"/>
        <v>6</v>
      </c>
      <c r="K2" s="24">
        <f t="shared" si="0"/>
        <v>7</v>
      </c>
      <c r="L2" s="24">
        <f t="shared" si="0"/>
        <v>8</v>
      </c>
      <c r="M2" s="24">
        <f t="shared" si="0"/>
        <v>9</v>
      </c>
      <c r="N2" s="24">
        <f t="shared" si="0"/>
        <v>10</v>
      </c>
      <c r="O2" s="24">
        <f t="shared" si="0"/>
        <v>11</v>
      </c>
      <c r="P2" s="24">
        <f t="shared" si="0"/>
        <v>12</v>
      </c>
      <c r="Q2" s="24">
        <f t="shared" si="0"/>
        <v>13</v>
      </c>
      <c r="R2" s="24">
        <f t="shared" si="0"/>
        <v>14</v>
      </c>
      <c r="S2" s="24">
        <f t="shared" si="0"/>
        <v>15</v>
      </c>
      <c r="T2" s="24">
        <f t="shared" si="0"/>
        <v>16</v>
      </c>
      <c r="U2" s="24">
        <f t="shared" si="0"/>
        <v>17</v>
      </c>
      <c r="V2" s="24">
        <f t="shared" si="0"/>
        <v>18</v>
      </c>
      <c r="W2" s="24">
        <f t="shared" si="0"/>
        <v>19</v>
      </c>
      <c r="X2" s="24">
        <f t="shared" si="0"/>
        <v>20</v>
      </c>
      <c r="Y2" s="24">
        <f t="shared" si="0"/>
        <v>21</v>
      </c>
      <c r="Z2" s="24">
        <f t="shared" si="0"/>
        <v>22</v>
      </c>
      <c r="AA2" s="24">
        <f t="shared" si="0"/>
        <v>23</v>
      </c>
      <c r="AB2" s="24">
        <f t="shared" si="0"/>
        <v>24</v>
      </c>
      <c r="AC2" s="24">
        <f t="shared" si="0"/>
        <v>25</v>
      </c>
      <c r="AD2" s="24">
        <f t="shared" si="0"/>
        <v>26</v>
      </c>
      <c r="AE2" s="24">
        <f t="shared" si="0"/>
        <v>27</v>
      </c>
      <c r="AF2" s="24">
        <f t="shared" si="0"/>
        <v>28</v>
      </c>
      <c r="AG2" s="24">
        <f t="shared" si="0"/>
        <v>29</v>
      </c>
      <c r="AH2" s="24">
        <f t="shared" si="0"/>
        <v>30</v>
      </c>
    </row>
    <row r="3" spans="2:36" x14ac:dyDescent="0.2">
      <c r="B3" s="27" t="s">
        <v>28</v>
      </c>
      <c r="C3" s="27" t="s">
        <v>27</v>
      </c>
      <c r="D3" s="27">
        <f>+YEAR(Hipótesis!E15)-1</f>
        <v>2025</v>
      </c>
      <c r="E3" s="27">
        <f>+D3+1</f>
        <v>2026</v>
      </c>
      <c r="F3" s="44">
        <f t="shared" ref="F3:Y3" si="1">+E3+1</f>
        <v>2027</v>
      </c>
      <c r="G3" s="44">
        <f t="shared" si="1"/>
        <v>2028</v>
      </c>
      <c r="H3" s="44">
        <f t="shared" si="1"/>
        <v>2029</v>
      </c>
      <c r="I3" s="44">
        <f t="shared" si="1"/>
        <v>2030</v>
      </c>
      <c r="J3" s="44">
        <f t="shared" si="1"/>
        <v>2031</v>
      </c>
      <c r="K3" s="44">
        <f t="shared" si="1"/>
        <v>2032</v>
      </c>
      <c r="L3" s="44">
        <f t="shared" si="1"/>
        <v>2033</v>
      </c>
      <c r="M3" s="44">
        <f t="shared" si="1"/>
        <v>2034</v>
      </c>
      <c r="N3" s="44">
        <f t="shared" si="1"/>
        <v>2035</v>
      </c>
      <c r="O3" s="44">
        <f t="shared" si="1"/>
        <v>2036</v>
      </c>
      <c r="P3" s="44">
        <f t="shared" si="1"/>
        <v>2037</v>
      </c>
      <c r="Q3" s="44">
        <f t="shared" si="1"/>
        <v>2038</v>
      </c>
      <c r="R3" s="44">
        <f t="shared" si="1"/>
        <v>2039</v>
      </c>
      <c r="S3" s="44">
        <f t="shared" si="1"/>
        <v>2040</v>
      </c>
      <c r="T3" s="44">
        <f t="shared" si="1"/>
        <v>2041</v>
      </c>
      <c r="U3" s="44">
        <f t="shared" si="1"/>
        <v>2042</v>
      </c>
      <c r="V3" s="44">
        <f t="shared" si="1"/>
        <v>2043</v>
      </c>
      <c r="W3" s="44">
        <f t="shared" si="1"/>
        <v>2044</v>
      </c>
      <c r="X3" s="44">
        <f t="shared" si="1"/>
        <v>2045</v>
      </c>
      <c r="Y3" s="44">
        <f t="shared" si="1"/>
        <v>2046</v>
      </c>
      <c r="Z3" s="64">
        <f t="shared" ref="Z3" si="2">+Y3+1</f>
        <v>2047</v>
      </c>
      <c r="AA3" s="64">
        <f t="shared" ref="AA3" si="3">+Z3+1</f>
        <v>2048</v>
      </c>
      <c r="AB3" s="64">
        <f t="shared" ref="AB3" si="4">+AA3+1</f>
        <v>2049</v>
      </c>
      <c r="AC3" s="64">
        <f t="shared" ref="AC3" si="5">+AB3+1</f>
        <v>2050</v>
      </c>
      <c r="AD3" s="64">
        <f t="shared" ref="AD3" si="6">+AC3+1</f>
        <v>2051</v>
      </c>
      <c r="AE3" s="64">
        <f t="shared" ref="AE3" si="7">+AD3+1</f>
        <v>2052</v>
      </c>
      <c r="AF3" s="64">
        <f t="shared" ref="AF3" si="8">+AE3+1</f>
        <v>2053</v>
      </c>
      <c r="AG3" s="64">
        <f t="shared" ref="AG3" si="9">+AF3+1</f>
        <v>2054</v>
      </c>
      <c r="AH3" s="64">
        <f t="shared" ref="AH3" si="10">+AG3+1</f>
        <v>2055</v>
      </c>
      <c r="AI3" s="64">
        <f t="shared" ref="AI3" si="11">+AH3+1</f>
        <v>2056</v>
      </c>
      <c r="AJ3" s="64">
        <f t="shared" ref="AJ3" si="12">+AI3+1</f>
        <v>2057</v>
      </c>
    </row>
    <row r="4" spans="2:36" x14ac:dyDescent="0.2">
      <c r="B4" s="52" t="s">
        <v>69</v>
      </c>
      <c r="C4" s="53"/>
      <c r="D4" s="33"/>
      <c r="E4" s="81">
        <f>+IF(E3&gt;=YEAR(Hipótesis!$E$15)+Hipótesis!$E$13,0,IF(E3&gt;=YEAR(Hipótesis!$E$15),1,0))</f>
        <v>1</v>
      </c>
      <c r="F4" s="81">
        <f>+IF(F3&gt;=YEAR(Hipótesis!$E$15)+Hipótesis!$E$13,0,IF(F3&gt;=YEAR(Hipótesis!$E$15),1,0))</f>
        <v>1</v>
      </c>
      <c r="G4" s="81">
        <f>+IF(G3&gt;=YEAR(Hipótesis!$E$15)+Hipótesis!$E$13,0,IF(G3&gt;=YEAR(Hipótesis!$E$15),1,0))</f>
        <v>1</v>
      </c>
      <c r="H4" s="81">
        <f>+IF(H3&gt;=YEAR(Hipótesis!$E$15)+Hipótesis!$E$13,0,IF(H3&gt;=YEAR(Hipótesis!$E$15),1,0))</f>
        <v>1</v>
      </c>
      <c r="I4" s="81">
        <f>+IF(I3&gt;=YEAR(Hipótesis!$E$15)+Hipótesis!$E$13,0,IF(I3&gt;=YEAR(Hipótesis!$E$15),1,0))</f>
        <v>1</v>
      </c>
      <c r="J4" s="81">
        <f>+IF(J3&gt;=YEAR(Hipótesis!$E$15)+Hipótesis!$E$13,0,IF(J3&gt;=YEAR(Hipótesis!$E$15),1,0))</f>
        <v>1</v>
      </c>
      <c r="K4" s="81">
        <f>+IF(K3&gt;=YEAR(Hipótesis!$E$15)+Hipótesis!$E$13,0,IF(K3&gt;=YEAR(Hipótesis!$E$15),1,0))</f>
        <v>1</v>
      </c>
      <c r="L4" s="81">
        <f>+IF(L3&gt;=YEAR(Hipótesis!$E$15)+Hipótesis!$E$13,0,IF(L3&gt;=YEAR(Hipótesis!$E$15),1,0))</f>
        <v>1</v>
      </c>
      <c r="M4" s="81">
        <f>+IF(M3&gt;=YEAR(Hipótesis!$E$15)+Hipótesis!$E$13,0,IF(M3&gt;=YEAR(Hipótesis!$E$15),1,0))</f>
        <v>1</v>
      </c>
      <c r="N4" s="81">
        <f>+IF(N3&gt;=YEAR(Hipótesis!$E$15)+Hipótesis!$E$13,0,IF(N3&gt;=YEAR(Hipótesis!$E$15),1,0))</f>
        <v>1</v>
      </c>
      <c r="O4" s="81">
        <f>+IF(O3&gt;=YEAR(Hipótesis!$E$15)+Hipótesis!$E$13,0,IF(O3&gt;=YEAR(Hipótesis!$E$15),1,0))</f>
        <v>1</v>
      </c>
      <c r="P4" s="81">
        <f>+IF(P3&gt;=YEAR(Hipótesis!$E$15)+Hipótesis!$E$13,0,IF(P3&gt;=YEAR(Hipótesis!$E$15),1,0))</f>
        <v>1</v>
      </c>
      <c r="Q4" s="81">
        <f>+IF(Q3&gt;=YEAR(Hipótesis!$E$15)+Hipótesis!$E$13,0,IF(Q3&gt;=YEAR(Hipótesis!$E$15),1,0))</f>
        <v>1</v>
      </c>
      <c r="R4" s="81">
        <f>+IF(R3&gt;=YEAR(Hipótesis!$E$15)+Hipótesis!$E$13,0,IF(R3&gt;=YEAR(Hipótesis!$E$15),1,0))</f>
        <v>1</v>
      </c>
      <c r="S4" s="81">
        <f>+IF(S3&gt;=YEAR(Hipótesis!$E$15)+Hipótesis!$E$13,0,IF(S3&gt;=YEAR(Hipótesis!$E$15),1,0))</f>
        <v>1</v>
      </c>
      <c r="T4" s="81">
        <f>+IF(T3&gt;=YEAR(Hipótesis!$E$15)+Hipótesis!$E$13,0,IF(T3&gt;=YEAR(Hipótesis!$E$15),1,0))</f>
        <v>1</v>
      </c>
      <c r="U4" s="81">
        <f>+IF(U3&gt;=YEAR(Hipótesis!$E$15)+Hipótesis!$E$13,0,IF(U3&gt;=YEAR(Hipótesis!$E$15),1,0))</f>
        <v>1</v>
      </c>
      <c r="V4" s="81">
        <f>+IF(V3&gt;=YEAR(Hipótesis!$E$15)+Hipótesis!$E$13,0,IF(V3&gt;=YEAR(Hipótesis!$E$15),1,0))</f>
        <v>1</v>
      </c>
      <c r="W4" s="81">
        <f>+IF(W3&gt;=YEAR(Hipótesis!$E$15)+Hipótesis!$E$13,0,IF(W3&gt;=YEAR(Hipótesis!$E$15),1,0))</f>
        <v>1</v>
      </c>
      <c r="X4" s="81">
        <f>+IF(X3&gt;=YEAR(Hipótesis!$E$15)+Hipótesis!$E$13,0,IF(X3&gt;=YEAR(Hipótesis!$E$15),1,0))</f>
        <v>1</v>
      </c>
      <c r="Y4" s="81">
        <f>+IF(Y3&gt;=YEAR(Hipótesis!$E$15)+Hipótesis!$E$13,0,IF(Y3&gt;=YEAR(Hipótesis!$E$15),1,0))</f>
        <v>1</v>
      </c>
      <c r="Z4" s="81">
        <f>+IF(Z3&gt;=YEAR(Hipótesis!$E$15)+Hipótesis!$E$13,0,IF(Z3&gt;=YEAR(Hipótesis!$E$15),1,0))</f>
        <v>1</v>
      </c>
      <c r="AA4" s="81">
        <f>+IF(AA3&gt;=YEAR(Hipótesis!$E$15)+Hipótesis!$E$13,0,IF(AA3&gt;=YEAR(Hipótesis!$E$15),1,0))</f>
        <v>1</v>
      </c>
      <c r="AB4" s="81">
        <f>+IF(AB3&gt;=YEAR(Hipótesis!$E$15)+Hipótesis!$E$13,0,IF(AB3&gt;=YEAR(Hipótesis!$E$15),1,0))</f>
        <v>1</v>
      </c>
      <c r="AC4" s="81">
        <f>+IF(AC3&gt;=YEAR(Hipótesis!$E$15)+Hipótesis!$E$13,0,IF(AC3&gt;=YEAR(Hipótesis!$E$15),1,0))</f>
        <v>1</v>
      </c>
      <c r="AD4" s="81">
        <f>+IF(AD3&gt;=YEAR(Hipótesis!$E$15)+Hipótesis!$E$13,0,IF(AD3&gt;=YEAR(Hipótesis!$E$15),1,0))</f>
        <v>1</v>
      </c>
      <c r="AE4" s="81">
        <f>+IF(AE3&gt;=YEAR(Hipótesis!$E$15)+Hipótesis!$E$13,0,IF(AE3&gt;=YEAR(Hipótesis!$E$15),1,0))</f>
        <v>1</v>
      </c>
      <c r="AF4" s="81">
        <f>+IF(AF3&gt;=YEAR(Hipótesis!$E$15)+Hipótesis!$E$13,0,IF(AF3&gt;=YEAR(Hipótesis!$E$15),1,0))</f>
        <v>1</v>
      </c>
      <c r="AG4" s="81">
        <f>+IF(AG3&gt;=YEAR(Hipótesis!$E$15)+Hipótesis!$E$13,0,IF(AG3&gt;=YEAR(Hipótesis!$E$15),1,0))</f>
        <v>1</v>
      </c>
      <c r="AH4" s="81">
        <f>+IF(AH3&gt;=YEAR(Hipótesis!$E$15)+Hipótesis!$E$13,0,IF(AH3&gt;=YEAR(Hipótesis!$E$15),1,0))</f>
        <v>1</v>
      </c>
      <c r="AI4" s="33">
        <f>+IF(AI3&gt;=YEAR(Hipótesis!$E$15)+Hipótesis!$E$13,0,IF(AI3&gt;=YEAR(Hipótesis!$E$15),1,0))</f>
        <v>0</v>
      </c>
      <c r="AJ4" s="33">
        <f>+IF(AJ3&gt;=YEAR(Hipótesis!$E$15)+Hipótesis!$E$13,0,IF(AJ3&gt;=YEAR(Hipótesis!$E$15),1,0))</f>
        <v>0</v>
      </c>
    </row>
    <row r="5" spans="2:36" x14ac:dyDescent="0.2">
      <c r="B5" s="52" t="s">
        <v>59</v>
      </c>
      <c r="C5" s="53" t="s">
        <v>24</v>
      </c>
      <c r="D5" s="33"/>
      <c r="E5" s="33">
        <f>+(IF(Hipótesis!$E$17="Base",VLOOKUP(FC!E$3,'Senda de precios mercado'!$A$5:$D$60,3,0),IF(Hipótesis!$E$17="Pesimista",VLOOKUP(FC!E$3,'Senda de precios mercado'!$A$5:$D$60,2,0),VLOOKUP(E$3,'Senda de precios mercado'!$A$5:$D$60,4,0))))*E$4</f>
        <v>65</v>
      </c>
      <c r="F5" s="33">
        <f>+(IF(Hipótesis!$E$17="Base",VLOOKUP(FC!F$3,'Senda de precios mercado'!$A$5:$D$60,3,0),IF(Hipótesis!$E$17="Pesimista",VLOOKUP(FC!F$3,'Senda de precios mercado'!$A$5:$D$60,2,0),VLOOKUP(F$3,'Senda de precios mercado'!$A$5:$D$60,4,0))))*F$4</f>
        <v>65</v>
      </c>
      <c r="G5" s="33">
        <f>+(IF(Hipótesis!$E$17="Base",VLOOKUP(FC!G$3,'Senda de precios mercado'!$A$5:$D$60,3,0),IF(Hipótesis!$E$17="Pesimista",VLOOKUP(FC!G$3,'Senda de precios mercado'!$A$5:$D$60,2,0),VLOOKUP(G$3,'Senda de precios mercado'!$A$5:$D$60,4,0))))*G$4</f>
        <v>65</v>
      </c>
      <c r="H5" s="33">
        <f>+(IF(Hipótesis!$E$17="Base",VLOOKUP(FC!H$3,'Senda de precios mercado'!$A$5:$D$60,3,0),IF(Hipótesis!$E$17="Pesimista",VLOOKUP(FC!H$3,'Senda de precios mercado'!$A$5:$D$60,2,0),VLOOKUP(H$3,'Senda de precios mercado'!$A$5:$D$60,4,0))))*H$4</f>
        <v>66.3</v>
      </c>
      <c r="I5" s="33">
        <f>+(IF(Hipótesis!$E$17="Base",VLOOKUP(FC!I$3,'Senda de precios mercado'!$A$5:$D$60,3,0),IF(Hipótesis!$E$17="Pesimista",VLOOKUP(FC!I$3,'Senda de precios mercado'!$A$5:$D$60,2,0),VLOOKUP(I$3,'Senda de precios mercado'!$A$5:$D$60,4,0))))*I$4</f>
        <v>67.626000000000005</v>
      </c>
      <c r="J5" s="33">
        <f>+(IF(Hipótesis!$E$17="Base",VLOOKUP(FC!J$3,'Senda de precios mercado'!$A$5:$D$60,3,0),IF(Hipótesis!$E$17="Pesimista",VLOOKUP(FC!J$3,'Senda de precios mercado'!$A$5:$D$60,2,0),VLOOKUP(J$3,'Senda de precios mercado'!$A$5:$D$60,4,0))))*J$4</f>
        <v>68.978520000000003</v>
      </c>
      <c r="K5" s="33">
        <f>+(IF(Hipótesis!$E$17="Base",VLOOKUP(FC!K$3,'Senda de precios mercado'!$A$5:$D$60,3,0),IF(Hipótesis!$E$17="Pesimista",VLOOKUP(FC!K$3,'Senda de precios mercado'!$A$5:$D$60,2,0),VLOOKUP(K$3,'Senda de precios mercado'!$A$5:$D$60,4,0))))*K$4</f>
        <v>70.358090400000009</v>
      </c>
      <c r="L5" s="33">
        <f>+(IF(Hipótesis!$E$17="Base",VLOOKUP(FC!L$3,'Senda de precios mercado'!$A$5:$D$60,3,0),IF(Hipótesis!$E$17="Pesimista",VLOOKUP(FC!L$3,'Senda de precios mercado'!$A$5:$D$60,2,0),VLOOKUP(L$3,'Senda de precios mercado'!$A$5:$D$60,4,0))))*L$4</f>
        <v>75.353514818400015</v>
      </c>
      <c r="M5" s="33">
        <f>+(IF(Hipótesis!$E$17="Base",VLOOKUP(FC!M$3,'Senda de precios mercado'!$A$5:$D$60,3,0),IF(Hipótesis!$E$17="Pesimista",VLOOKUP(FC!M$3,'Senda de precios mercado'!$A$5:$D$60,2,0),VLOOKUP(M$3,'Senda de precios mercado'!$A$5:$D$60,4,0))))*M$4</f>
        <v>76.860585114768014</v>
      </c>
      <c r="N5" s="33">
        <f>+(IF(Hipótesis!$E$17="Base",VLOOKUP(FC!N$3,'Senda de precios mercado'!$A$5:$D$60,3,0),IF(Hipótesis!$E$17="Pesimista",VLOOKUP(FC!N$3,'Senda de precios mercado'!$A$5:$D$60,2,0),VLOOKUP(N$3,'Senda de precios mercado'!$A$5:$D$60,4,0))))*N$4</f>
        <v>78.39779681706338</v>
      </c>
      <c r="O5" s="33">
        <f>+(IF(Hipótesis!$E$17="Base",VLOOKUP(FC!O$3,'Senda de precios mercado'!$A$5:$D$60,3,0),IF(Hipótesis!$E$17="Pesimista",VLOOKUP(FC!O$3,'Senda de precios mercado'!$A$5:$D$60,2,0),VLOOKUP(O$3,'Senda de precios mercado'!$A$5:$D$60,4,0))))*O$4</f>
        <v>79.965752753404644</v>
      </c>
      <c r="P5" s="33">
        <f>+(IF(Hipótesis!$E$17="Base",VLOOKUP(FC!P$3,'Senda de precios mercado'!$A$5:$D$60,3,0),IF(Hipótesis!$E$17="Pesimista",VLOOKUP(FC!P$3,'Senda de precios mercado'!$A$5:$D$60,2,0),VLOOKUP(P$3,'Senda de precios mercado'!$A$5:$D$60,4,0))))*P$4</f>
        <v>81.565067808472733</v>
      </c>
      <c r="Q5" s="33">
        <f>+(IF(Hipótesis!$E$17="Base",VLOOKUP(FC!Q$3,'Senda de precios mercado'!$A$5:$D$60,3,0),IF(Hipótesis!$E$17="Pesimista",VLOOKUP(FC!Q$3,'Senda de precios mercado'!$A$5:$D$60,2,0),VLOOKUP(Q$3,'Senda de precios mercado'!$A$5:$D$60,4,0))))*Q$4</f>
        <v>83.196369164642192</v>
      </c>
      <c r="R5" s="33">
        <f>+(IF(Hipótesis!$E$17="Base",VLOOKUP(FC!R$3,'Senda de precios mercado'!$A$5:$D$60,3,0),IF(Hipótesis!$E$17="Pesimista",VLOOKUP(FC!R$3,'Senda de precios mercado'!$A$5:$D$60,2,0),VLOOKUP(R$3,'Senda de precios mercado'!$A$5:$D$60,4,0))))*R$4</f>
        <v>84.860296547935036</v>
      </c>
      <c r="S5" s="33">
        <f>+(IF(Hipótesis!$E$17="Base",VLOOKUP(FC!S$3,'Senda de precios mercado'!$A$5:$D$60,3,0),IF(Hipótesis!$E$17="Pesimista",VLOOKUP(FC!S$3,'Senda de precios mercado'!$A$5:$D$60,2,0),VLOOKUP(S$3,'Senda de precios mercado'!$A$5:$D$60,4,0))))*S$4</f>
        <v>86.557502478893738</v>
      </c>
      <c r="T5" s="84">
        <f>+(IF(Hipótesis!$E$17="Base",VLOOKUP(FC!T$3,'Senda de precios mercado'!$A$5:$D$60,3,0),IF(Hipótesis!$E$17="Pesimista",VLOOKUP(FC!T$3,'Senda de precios mercado'!$A$5:$D$60,2,0),VLOOKUP(T$3,'Senda de precios mercado'!$A$5:$D$60,4,0))))*T$4</f>
        <v>88.288652528471616</v>
      </c>
      <c r="U5" s="33">
        <f>+(IF(Hipótesis!$E$17="Base",VLOOKUP(FC!U$3,'Senda de precios mercado'!$A$5:$D$60,3,0),IF(Hipótesis!$E$17="Pesimista",VLOOKUP(FC!U$3,'Senda de precios mercado'!$A$5:$D$60,2,0),VLOOKUP(U$3,'Senda de precios mercado'!$A$5:$D$60,4,0))))*U$4</f>
        <v>90.054425579041052</v>
      </c>
      <c r="V5" s="33">
        <f>+(IF(Hipótesis!$E$17="Base",VLOOKUP(FC!V$3,'Senda de precios mercado'!$A$5:$D$60,3,0),IF(Hipótesis!$E$17="Pesimista",VLOOKUP(FC!V$3,'Senda de precios mercado'!$A$5:$D$60,2,0),VLOOKUP(V$3,'Senda de precios mercado'!$A$5:$D$60,4,0))))*V$4</f>
        <v>91.855514090621881</v>
      </c>
      <c r="W5" s="33">
        <f>+(IF(Hipótesis!$E$17="Base",VLOOKUP(FC!W$3,'Senda de precios mercado'!$A$5:$D$60,3,0),IF(Hipótesis!$E$17="Pesimista",VLOOKUP(FC!W$3,'Senda de precios mercado'!$A$5:$D$60,2,0),VLOOKUP(W$3,'Senda de precios mercado'!$A$5:$D$60,4,0))))*W$4</f>
        <v>93.692624372434324</v>
      </c>
      <c r="X5" s="33">
        <f>+(IF(Hipótesis!$E$17="Base",VLOOKUP(FC!X$3,'Senda de precios mercado'!$A$5:$D$60,3,0),IF(Hipótesis!$E$17="Pesimista",VLOOKUP(FC!X$3,'Senda de precios mercado'!$A$5:$D$60,2,0),VLOOKUP(X$3,'Senda de precios mercado'!$A$5:$D$60,4,0))))*X$4</f>
        <v>95.566476859883011</v>
      </c>
      <c r="Y5" s="33">
        <f>+(IF(Hipótesis!$E$17="Base",VLOOKUP(FC!Y$3,'Senda de precios mercado'!$A$5:$D$60,3,0),IF(Hipótesis!$E$17="Pesimista",VLOOKUP(FC!Y$3,'Senda de precios mercado'!$A$5:$D$60,2,0),VLOOKUP(Y$3,'Senda de precios mercado'!$A$5:$D$60,4,0))))*Y$4</f>
        <v>97.47780639708067</v>
      </c>
      <c r="Z5" s="33">
        <f>+(IF(Hipótesis!$E$17="Base",VLOOKUP(FC!Z$3,'Senda de precios mercado'!$A$5:$D$60,3,0),IF(Hipótesis!$E$17="Pesimista",VLOOKUP(FC!Z$3,'Senda de precios mercado'!$A$5:$D$60,2,0),VLOOKUP(Z$3,'Senda de precios mercado'!$A$5:$D$60,4,0))))*Z$4</f>
        <v>99.427362525022289</v>
      </c>
      <c r="AA5" s="33">
        <f>+(IF(Hipótesis!$E$17="Base",VLOOKUP(FC!AA$3,'Senda de precios mercado'!$A$5:$D$60,3,0),IF(Hipótesis!$E$17="Pesimista",VLOOKUP(FC!AA$3,'Senda de precios mercado'!$A$5:$D$60,2,0),VLOOKUP(AA$3,'Senda de precios mercado'!$A$5:$D$60,4,0))))*AA$4</f>
        <v>101.41590977552274</v>
      </c>
      <c r="AB5" s="33">
        <f>+(IF(Hipótesis!$E$17="Base",VLOOKUP(FC!AB$3,'Senda de precios mercado'!$A$5:$D$60,3,0),IF(Hipótesis!$E$17="Pesimista",VLOOKUP(FC!AB$3,'Senda de precios mercado'!$A$5:$D$60,2,0),VLOOKUP(AB$3,'Senda de precios mercado'!$A$5:$D$60,4,0))))*AB$4</f>
        <v>103.44422797103319</v>
      </c>
      <c r="AC5" s="33">
        <f>+(IF(Hipótesis!$E$17="Base",VLOOKUP(FC!AC$3,'Senda de precios mercado'!$A$5:$D$60,3,0),IF(Hipótesis!$E$17="Pesimista",VLOOKUP(FC!AC$3,'Senda de precios mercado'!$A$5:$D$60,2,0),VLOOKUP(AC$3,'Senda de precios mercado'!$A$5:$D$60,4,0))))*AC$4</f>
        <v>105.51311253045385</v>
      </c>
      <c r="AD5" s="33">
        <f>+(IF(Hipótesis!$E$17="Base",VLOOKUP(FC!AD$3,'Senda de precios mercado'!$A$5:$D$60,3,0),IF(Hipótesis!$E$17="Pesimista",VLOOKUP(FC!AD$3,'Senda de precios mercado'!$A$5:$D$60,2,0),VLOOKUP(AD$3,'Senda de precios mercado'!$A$5:$D$60,4,0))))*AD$4</f>
        <v>107.62337478106294</v>
      </c>
      <c r="AE5" s="33">
        <f>+(IF(Hipótesis!$E$17="Base",VLOOKUP(FC!AE$3,'Senda de precios mercado'!$A$5:$D$60,3,0),IF(Hipótesis!$E$17="Pesimista",VLOOKUP(FC!AE$3,'Senda de precios mercado'!$A$5:$D$60,2,0),VLOOKUP(AE$3,'Senda de precios mercado'!$A$5:$D$60,4,0))))*AE$4</f>
        <v>109.7758422766842</v>
      </c>
      <c r="AF5" s="33">
        <f>+(IF(Hipótesis!$E$17="Base",VLOOKUP(FC!AF$3,'Senda de precios mercado'!$A$5:$D$60,3,0),IF(Hipótesis!$E$17="Pesimista",VLOOKUP(FC!AF$3,'Senda de precios mercado'!$A$5:$D$60,2,0),VLOOKUP(AF$3,'Senda de precios mercado'!$A$5:$D$60,4,0))))*AF$4</f>
        <v>111.97135912221789</v>
      </c>
      <c r="AG5" s="33">
        <f>+(IF(Hipótesis!$E$17="Base",VLOOKUP(FC!AG$3,'Senda de precios mercado'!$A$5:$D$60,3,0),IF(Hipótesis!$E$17="Pesimista",VLOOKUP(FC!AG$3,'Senda de precios mercado'!$A$5:$D$60,2,0),VLOOKUP(AG$3,'Senda de precios mercado'!$A$5:$D$60,4,0))))*AG$4</f>
        <v>114.21078630466225</v>
      </c>
      <c r="AH5" s="33">
        <f>+(IF(Hipótesis!$E$17="Base",VLOOKUP(FC!AH$3,'Senda de precios mercado'!$A$5:$D$60,3,0),IF(Hipótesis!$E$17="Pesimista",VLOOKUP(FC!AH$3,'Senda de precios mercado'!$A$5:$D$60,2,0),VLOOKUP(AH$3,'Senda de precios mercado'!$A$5:$D$60,4,0))))*AH$4</f>
        <v>116.4950020307555</v>
      </c>
      <c r="AI5" s="33">
        <f>+(IF(Hipótesis!$E$17="Base",VLOOKUP(FC!AI$3,'Senda de precios mercado'!$A$5:$D$60,3,0),IF(Hipótesis!$E$17="Pesimista",VLOOKUP(FC!AI$3,'Senda de precios mercado'!$A$5:$D$60,2,0),VLOOKUP(AI$3,'Senda de precios mercado'!$A$5:$D$60,4,0))))*AI$4</f>
        <v>0</v>
      </c>
      <c r="AJ5" s="33">
        <f>+(IF(Hipótesis!$E$17="Base",VLOOKUP(FC!AJ$3,'Senda de precios mercado'!$A$5:$D$60,3,0),IF(Hipótesis!$E$17="Pesimista",VLOOKUP(FC!AJ$3,'Senda de precios mercado'!$A$5:$D$60,2,0),VLOOKUP(AJ$3,'Senda de precios mercado'!$A$5:$D$60,4,0))))*AJ$4</f>
        <v>0</v>
      </c>
    </row>
    <row r="6" spans="2:36" x14ac:dyDescent="0.2">
      <c r="B6" s="52" t="s">
        <v>60</v>
      </c>
      <c r="C6" s="53" t="s">
        <v>24</v>
      </c>
      <c r="D6" s="33"/>
      <c r="E6" s="84">
        <f>+IF(YEAR(Hipótesis!$E$15)+Hipótesis!$E$19&lt;FC!E3+1,FC!E5,Hipótesis!$E$18*E4)</f>
        <v>48</v>
      </c>
      <c r="F6" s="84">
        <f>+IF(YEAR(Hipótesis!$E$15)+Hipótesis!$E$19&lt;FC!F3+1,FC!F5,E6*F4*(1+Hipótesis!$E$20/100))</f>
        <v>48</v>
      </c>
      <c r="G6" s="84">
        <f>+IF(YEAR(Hipótesis!$E$15)+Hipótesis!$E$19&lt;FC!G3+1,FC!G5,F6*G4*(1+Hipótesis!$E$20/100))</f>
        <v>48</v>
      </c>
      <c r="H6" s="84">
        <f>+IF(YEAR(Hipótesis!$E$15)+Hipótesis!$E$19&lt;FC!H3+1,FC!H5,G6*H4*(1+Hipótesis!$E$20/100))</f>
        <v>48</v>
      </c>
      <c r="I6" s="84">
        <f>+IF(YEAR(Hipótesis!$E$15)+Hipótesis!$E$19&lt;FC!I3+1,FC!I5,H6*I4*(1+Hipótesis!$E$20/100))</f>
        <v>48</v>
      </c>
      <c r="J6" s="84">
        <f>+IF(YEAR(Hipótesis!$E$15)+Hipótesis!$E$19&lt;FC!J3+1,FC!J5,I6*J4*(1+Hipótesis!$E$20/100))</f>
        <v>48</v>
      </c>
      <c r="K6" s="84">
        <f>+IF(YEAR(Hipótesis!$E$15)+Hipótesis!$E$19&lt;FC!K3+1,FC!K5,J6*K4*(1+Hipótesis!$E$20/100))</f>
        <v>48</v>
      </c>
      <c r="L6" s="84">
        <f>+IF(YEAR(Hipótesis!$E$15)+Hipótesis!$E$19&lt;FC!L3+1,FC!L5,K6*L4*(1+Hipótesis!$E$20/100))</f>
        <v>48</v>
      </c>
      <c r="M6" s="84">
        <f>+IF(YEAR(Hipótesis!$E$15)+Hipótesis!$E$19&lt;FC!M3+1,FC!M5,L6*M4*(1+Hipótesis!$E$20/100))</f>
        <v>48</v>
      </c>
      <c r="N6" s="84">
        <f>+IF(YEAR(Hipótesis!$E$15)+Hipótesis!$E$19&lt;FC!N3+1,FC!N5,M6*N4*(1+Hipótesis!$E$20/100))</f>
        <v>48</v>
      </c>
      <c r="O6" s="84">
        <f>+IF(YEAR(Hipótesis!$E$15)+Hipótesis!$E$19&lt;FC!O3+1,FC!O5,N6*O4*(1+Hipótesis!$E$20/100))</f>
        <v>48</v>
      </c>
      <c r="P6" s="84">
        <f>+IF(YEAR(Hipótesis!$E$15)+Hipótesis!$E$19&lt;FC!P3+1,FC!P5,O6*P4*(1+Hipótesis!$E$20/100))</f>
        <v>48</v>
      </c>
      <c r="Q6" s="84">
        <f>+IF(YEAR(Hipótesis!$E$15)+Hipótesis!$E$19&lt;FC!Q3+1,FC!Q5,P6*Q4*(1+Hipótesis!$E$20/100))</f>
        <v>83.196369164642192</v>
      </c>
      <c r="R6" s="84">
        <f>+IF(YEAR(Hipótesis!$E$15)+Hipótesis!$E$19&lt;FC!R3+1,FC!R5,Q6*R4*(1+Hipótesis!$E$20/100))</f>
        <v>84.860296547935036</v>
      </c>
      <c r="S6" s="84">
        <f>+IF(YEAR(Hipótesis!$E$15)+Hipótesis!$E$19&lt;FC!S3+1,FC!S5,R6*S4*(1+Hipótesis!$E$20/100))</f>
        <v>86.557502478893738</v>
      </c>
      <c r="T6" s="84">
        <f>+IF(YEAR(Hipótesis!$E$15)+Hipótesis!$E$19&lt;FC!T3+1,FC!T5,S6*T4*(1+Hipótesis!$E$20/100))</f>
        <v>88.288652528471616</v>
      </c>
      <c r="U6" s="84">
        <f>+IF(YEAR(Hipótesis!$E$15)+Hipótesis!$E$19&lt;FC!U3+1,FC!U5,T6*U4*(1+Hipótesis!$E$20/100))</f>
        <v>90.054425579041052</v>
      </c>
      <c r="V6" s="84">
        <f>+IF(YEAR(Hipótesis!$E$15)+Hipótesis!$E$19&lt;FC!V3+1,FC!V5,U6*V4*(1+Hipótesis!$E$20/100))</f>
        <v>91.855514090621881</v>
      </c>
      <c r="W6" s="84">
        <f>+IF(YEAR(Hipótesis!$E$15)+Hipótesis!$E$19&lt;FC!W3+1,FC!W5,V6*W4*(1+Hipótesis!$E$20/100))</f>
        <v>93.692624372434324</v>
      </c>
      <c r="X6" s="84">
        <f>+IF(YEAR(Hipótesis!$E$15)+Hipótesis!$E$19&lt;FC!X3+1,FC!X5,W6*X4*(1+Hipótesis!$E$20/100))</f>
        <v>95.566476859883011</v>
      </c>
      <c r="Y6" s="84">
        <f>+IF(YEAR(Hipótesis!$E$15)+Hipótesis!$E$19&lt;FC!Y3+1,FC!Y5,X6*Y4*(1+Hipótesis!$E$20/100))</f>
        <v>97.47780639708067</v>
      </c>
      <c r="Z6" s="84">
        <f>+IF(YEAR(Hipótesis!$E$15)+Hipótesis!$E$19&lt;FC!Z3+1,FC!Z5,Y6*Z4*(1+Hipótesis!$E$20/100))</f>
        <v>99.427362525022289</v>
      </c>
      <c r="AA6" s="84">
        <f>+IF(YEAR(Hipótesis!$E$15)+Hipótesis!$E$19&lt;FC!AA3+1,FC!AA5,Z6*AA4*(1+Hipótesis!$E$20/100))</f>
        <v>101.41590977552274</v>
      </c>
      <c r="AB6" s="84">
        <f>+IF(YEAR(Hipótesis!$E$15)+Hipótesis!$E$19&lt;FC!AB3+1,FC!AB5,AA6*AB4*(1+Hipótesis!$E$20/100))</f>
        <v>103.44422797103319</v>
      </c>
      <c r="AC6" s="84">
        <f>+IF(YEAR(Hipótesis!$E$15)+Hipótesis!$E$19&lt;FC!AC3+1,FC!AC5,AB6*AC4*(1+Hipótesis!$E$20/100))</f>
        <v>105.51311253045385</v>
      </c>
      <c r="AD6" s="84">
        <f>+IF(YEAR(Hipótesis!$E$15)+Hipótesis!$E$19&lt;FC!AD3+1,FC!AD5,AC6*AD4*(1+Hipótesis!$E$20/100))</f>
        <v>107.62337478106294</v>
      </c>
      <c r="AE6" s="84">
        <f>+IF(YEAR(Hipótesis!$E$15)+Hipótesis!$E$19&lt;FC!AE3+1,FC!AE5,AD6*AE4*(1+Hipótesis!$E$20/100))</f>
        <v>109.7758422766842</v>
      </c>
      <c r="AF6" s="84">
        <f>+IF(YEAR(Hipótesis!$E$15)+Hipótesis!$E$19&lt;FC!AF3+1,FC!AF5,AE6*AF4*(1+Hipótesis!$E$20/100))</f>
        <v>111.97135912221789</v>
      </c>
      <c r="AG6" s="84">
        <f>+IF(YEAR(Hipótesis!$E$15)+Hipótesis!$E$19&lt;FC!AG3+1,FC!AG5,AF6*AG4*(1+Hipótesis!$E$20/100))</f>
        <v>114.21078630466225</v>
      </c>
      <c r="AH6" s="84">
        <f>+IF(YEAR(Hipótesis!$E$15)+Hipótesis!$E$19&lt;FC!AH3+1,FC!AH5,AG6*AH4*(1+Hipótesis!$E$20/100))</f>
        <v>116.4950020307555</v>
      </c>
      <c r="AI6" s="33">
        <f>+AH6*(1+Hipótesis!$E$21%)*AI4</f>
        <v>0</v>
      </c>
      <c r="AJ6" s="33">
        <f>+AI6*(1+Hipótesis!$E$21%)*AJ4</f>
        <v>0</v>
      </c>
    </row>
    <row r="7" spans="2:36" x14ac:dyDescent="0.2">
      <c r="B7" s="27" t="s">
        <v>58</v>
      </c>
      <c r="C7" s="25" t="s">
        <v>24</v>
      </c>
      <c r="D7" s="33"/>
      <c r="E7" s="33">
        <f>+IF(Hipótesis!$E$16="Mercado",FC!E5,FC!E6)</f>
        <v>65</v>
      </c>
      <c r="F7" s="33">
        <f>+IF(Hipótesis!$E$16="Mercado",FC!F5,FC!F6)</f>
        <v>65</v>
      </c>
      <c r="G7" s="33">
        <f>+IF(Hipótesis!$E$16="Mercado",FC!G5,FC!G6)</f>
        <v>65</v>
      </c>
      <c r="H7" s="33">
        <f>+IF(Hipótesis!$E$16="Mercado",FC!H5,FC!H6)</f>
        <v>66.3</v>
      </c>
      <c r="I7" s="33">
        <f>+IF(Hipótesis!$E$16="Mercado",FC!I5,FC!I6)</f>
        <v>67.626000000000005</v>
      </c>
      <c r="J7" s="33">
        <f>+IF(Hipótesis!$E$16="Mercado",FC!J5,FC!J6)</f>
        <v>68.978520000000003</v>
      </c>
      <c r="K7" s="33">
        <f>+IF(Hipótesis!$E$16="Mercado",FC!K5,FC!K6)</f>
        <v>70.358090400000009</v>
      </c>
      <c r="L7" s="33">
        <f>+IF(Hipótesis!$E$16="Mercado",FC!L5,FC!L6)</f>
        <v>75.353514818400015</v>
      </c>
      <c r="M7" s="33">
        <f>+IF(Hipótesis!$E$16="Mercado",FC!M5,FC!M6)</f>
        <v>76.860585114768014</v>
      </c>
      <c r="N7" s="33">
        <f>+IF(Hipótesis!$E$16="Mercado",FC!N5,FC!N6)</f>
        <v>78.39779681706338</v>
      </c>
      <c r="O7" s="33">
        <f>+IF(Hipótesis!$E$16="Mercado",FC!O5,FC!O6)</f>
        <v>79.965752753404644</v>
      </c>
      <c r="P7" s="33">
        <f>+IF(Hipótesis!$E$16="Mercado",FC!P5,FC!P6)</f>
        <v>81.565067808472733</v>
      </c>
      <c r="Q7" s="33">
        <f>+IF(Hipótesis!$E$16="Mercado",FC!Q5,FC!Q6)</f>
        <v>83.196369164642192</v>
      </c>
      <c r="R7" s="33">
        <f>+IF(Hipótesis!$E$16="Mercado",FC!R5,FC!R6)</f>
        <v>84.860296547935036</v>
      </c>
      <c r="S7" s="33">
        <f>+IF(Hipótesis!$E$16="Mercado",FC!S5,FC!S6)</f>
        <v>86.557502478893738</v>
      </c>
      <c r="T7" s="33">
        <f>+IF(Hipótesis!$E$16="Mercado",FC!T5,FC!T6)</f>
        <v>88.288652528471616</v>
      </c>
      <c r="U7" s="33">
        <f>+IF(Hipótesis!$E$16="Mercado",FC!U5,FC!U6)</f>
        <v>90.054425579041052</v>
      </c>
      <c r="V7" s="33">
        <f>+IF(Hipótesis!$E$16="Mercado",FC!V5,FC!V6)</f>
        <v>91.855514090621881</v>
      </c>
      <c r="W7" s="33">
        <f>+IF(Hipótesis!$E$16="Mercado",FC!W5,FC!W6)</f>
        <v>93.692624372434324</v>
      </c>
      <c r="X7" s="33">
        <f>+IF(Hipótesis!$E$16="Mercado",FC!X5,FC!X6)</f>
        <v>95.566476859883011</v>
      </c>
      <c r="Y7" s="33">
        <f>+IF(Hipótesis!$E$16="Mercado",FC!Y5,FC!Y6)</f>
        <v>97.47780639708067</v>
      </c>
      <c r="Z7" s="33">
        <f>+IF(Hipótesis!$E$16="Mercado",FC!Z5,FC!Z6)</f>
        <v>99.427362525022289</v>
      </c>
      <c r="AA7" s="33">
        <f>+IF(Hipótesis!$E$16="Mercado",FC!AA5,FC!AA6)</f>
        <v>101.41590977552274</v>
      </c>
      <c r="AB7" s="33">
        <f>+IF(Hipótesis!$E$16="Mercado",FC!AB5,FC!AB6)</f>
        <v>103.44422797103319</v>
      </c>
      <c r="AC7" s="33">
        <f>+IF(Hipótesis!$E$16="Mercado",FC!AC5,FC!AC6)</f>
        <v>105.51311253045385</v>
      </c>
      <c r="AD7" s="33">
        <f>+IF(Hipótesis!$E$16="Mercado",FC!AD5,FC!AD6)</f>
        <v>107.62337478106294</v>
      </c>
      <c r="AE7" s="33">
        <f>+IF(Hipótesis!$E$16="Mercado",FC!AE5,FC!AE6)</f>
        <v>109.7758422766842</v>
      </c>
      <c r="AF7" s="33">
        <f>+IF(Hipótesis!$E$16="Mercado",FC!AF5,FC!AF6)</f>
        <v>111.97135912221789</v>
      </c>
      <c r="AG7" s="33">
        <f>+IF(Hipótesis!$E$16="Mercado",FC!AG5,FC!AG6)</f>
        <v>114.21078630466225</v>
      </c>
      <c r="AH7" s="33">
        <f>+IF(Hipótesis!$E$16="Mercado",FC!AH5,FC!AH6)</f>
        <v>116.4950020307555</v>
      </c>
      <c r="AI7" s="33">
        <f>+IF(Hipótesis!$E$16="Mercado",FC!AI5,FC!AI6)</f>
        <v>0</v>
      </c>
      <c r="AJ7" s="33">
        <f>+IF(Hipótesis!$E$16="Mercado",FC!AJ5,FC!AJ6)</f>
        <v>0</v>
      </c>
    </row>
    <row r="8" spans="2:36" x14ac:dyDescent="0.2">
      <c r="B8" s="27" t="s">
        <v>16</v>
      </c>
      <c r="C8" s="25" t="s">
        <v>19</v>
      </c>
      <c r="D8" s="33"/>
      <c r="E8" s="33">
        <f>Hipótesis!E12</f>
        <v>50</v>
      </c>
      <c r="F8" s="33">
        <f>E8*(1+Hipótesis!$E$21%)*F4</f>
        <v>51</v>
      </c>
      <c r="G8" s="33">
        <f>F8*(1+Hipótesis!$E$21%)*G4</f>
        <v>52.02</v>
      </c>
      <c r="H8" s="33">
        <f>G8*(1+Hipótesis!$E$21%)*H4</f>
        <v>53.060400000000001</v>
      </c>
      <c r="I8" s="33">
        <f>H8*(1+Hipótesis!$E$21%)*I4</f>
        <v>54.121608000000002</v>
      </c>
      <c r="J8" s="33">
        <f>I8*(1+Hipótesis!$E$21%)*J4</f>
        <v>55.204040160000005</v>
      </c>
      <c r="K8" s="33">
        <f>J8*(1+Hipótesis!$E$21%)*K4</f>
        <v>56.308120963200004</v>
      </c>
      <c r="L8" s="33">
        <f>K8*(1+Hipótesis!$E$21%)*L4</f>
        <v>57.434283382464002</v>
      </c>
      <c r="M8" s="33">
        <f>L8*(1+Hipótesis!$E$21%)*M4</f>
        <v>58.582969050113284</v>
      </c>
      <c r="N8" s="33">
        <f>M8*(1+Hipótesis!$E$21%)*N4</f>
        <v>59.754628431115549</v>
      </c>
      <c r="O8" s="33">
        <f>N8*(1+Hipótesis!$E$21%)*O4</f>
        <v>60.949720999737863</v>
      </c>
      <c r="P8" s="33">
        <f>O8*(1+Hipótesis!$E$21%)*P4</f>
        <v>62.168715419732621</v>
      </c>
      <c r="Q8" s="33">
        <f>P8*(1+Hipótesis!$E$21%)*Q4</f>
        <v>63.412089728127278</v>
      </c>
      <c r="R8" s="33">
        <f>Q8*(1+Hipótesis!$E$21%)*R4</f>
        <v>64.680331522689826</v>
      </c>
      <c r="S8" s="33">
        <f>R8*(1+Hipótesis!$E$21%)*S4</f>
        <v>65.973938153143621</v>
      </c>
      <c r="T8" s="33">
        <f>S8*(1+Hipótesis!$E$21%)*T4</f>
        <v>67.293416916206496</v>
      </c>
      <c r="U8" s="33">
        <f>T8*(1+Hipótesis!$E$21%)*U4</f>
        <v>68.639285254530634</v>
      </c>
      <c r="V8" s="33">
        <f>U8*(1+Hipótesis!$E$21%)*V4</f>
        <v>70.012070959621255</v>
      </c>
      <c r="W8" s="33">
        <f>V8*(1+Hipótesis!$E$21%)*W4</f>
        <v>71.412312378813681</v>
      </c>
      <c r="X8" s="33">
        <f>W8*(1+Hipótesis!$E$21%)*X4</f>
        <v>72.840558626389949</v>
      </c>
      <c r="Y8" s="33">
        <f>X8*(1+Hipótesis!$E$21%)*Y4</f>
        <v>74.297369798917757</v>
      </c>
      <c r="Z8" s="33">
        <f>Y8*(1+Hipótesis!$E$21%)*Z4</f>
        <v>75.783317194896114</v>
      </c>
      <c r="AA8" s="33">
        <f>Z8*(1+Hipótesis!$E$21%)*AA4</f>
        <v>77.298983538794033</v>
      </c>
      <c r="AB8" s="33">
        <f>AA8*(1+Hipótesis!$E$21%)*AB4</f>
        <v>78.844963209569912</v>
      </c>
      <c r="AC8" s="33">
        <f>AB8*(1+Hipótesis!$E$21%)*AC4</f>
        <v>80.421862473761308</v>
      </c>
      <c r="AD8" s="33">
        <f>AC8*(1+Hipótesis!$E$21%)*AD4</f>
        <v>82.030299723236539</v>
      </c>
      <c r="AE8" s="33">
        <f>AD8*(1+Hipótesis!$E$21%)*AE4</f>
        <v>83.670905717701274</v>
      </c>
      <c r="AF8" s="33">
        <f>AE8*(1+Hipótesis!$E$21%)*AF4</f>
        <v>85.344323832055295</v>
      </c>
      <c r="AG8" s="33">
        <f>AF8*(1+Hipótesis!$E$21%)*AG4</f>
        <v>87.051210308696398</v>
      </c>
      <c r="AH8" s="33">
        <f>AG8*(1+Hipótesis!$E$21%)*AH4</f>
        <v>88.79223451487033</v>
      </c>
      <c r="AI8" s="33">
        <f>AH8*(1+Hipótesis!$E$21%)*AI4</f>
        <v>0</v>
      </c>
      <c r="AJ8" s="33">
        <f>AI8*(1+Hipótesis!$E$21%)*AJ4</f>
        <v>0</v>
      </c>
    </row>
    <row r="9" spans="2:36" x14ac:dyDescent="0.2">
      <c r="B9" s="27" t="s">
        <v>12</v>
      </c>
      <c r="C9" s="25" t="s">
        <v>19</v>
      </c>
      <c r="D9" s="33">
        <f>0%*Hipótesis!$E$8*Hipótesis!$E$7</f>
        <v>0</v>
      </c>
      <c r="E9" s="33">
        <f>100%*Hipótesis!$E$8*Hipótesis!$E$7</f>
        <v>62500</v>
      </c>
      <c r="F9" s="33">
        <f>0%*Hipótesis!$E$8*Hipótesis!$E$7</f>
        <v>0</v>
      </c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</row>
    <row r="10" spans="2:36" x14ac:dyDescent="0.2"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spans="2:36" x14ac:dyDescent="0.2">
      <c r="B11" s="35" t="s">
        <v>10</v>
      </c>
      <c r="C11" s="32"/>
      <c r="D11" s="32"/>
      <c r="E11" s="32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spans="2:36" x14ac:dyDescent="0.2"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spans="2:36" x14ac:dyDescent="0.2">
      <c r="B13" s="27" t="s">
        <v>28</v>
      </c>
      <c r="C13" s="27" t="s">
        <v>27</v>
      </c>
      <c r="D13" s="27">
        <f>+D3</f>
        <v>2025</v>
      </c>
      <c r="E13" s="44">
        <f t="shared" ref="E13:Y13" si="13">+E3</f>
        <v>2026</v>
      </c>
      <c r="F13" s="44">
        <f t="shared" si="13"/>
        <v>2027</v>
      </c>
      <c r="G13" s="44">
        <f t="shared" si="13"/>
        <v>2028</v>
      </c>
      <c r="H13" s="44">
        <f t="shared" si="13"/>
        <v>2029</v>
      </c>
      <c r="I13" s="44">
        <f t="shared" si="13"/>
        <v>2030</v>
      </c>
      <c r="J13" s="44">
        <f t="shared" si="13"/>
        <v>2031</v>
      </c>
      <c r="K13" s="44">
        <f t="shared" si="13"/>
        <v>2032</v>
      </c>
      <c r="L13" s="44">
        <f t="shared" si="13"/>
        <v>2033</v>
      </c>
      <c r="M13" s="44">
        <f t="shared" si="13"/>
        <v>2034</v>
      </c>
      <c r="N13" s="44">
        <f t="shared" si="13"/>
        <v>2035</v>
      </c>
      <c r="O13" s="44">
        <f t="shared" si="13"/>
        <v>2036</v>
      </c>
      <c r="P13" s="44">
        <f t="shared" si="13"/>
        <v>2037</v>
      </c>
      <c r="Q13" s="44">
        <f t="shared" si="13"/>
        <v>2038</v>
      </c>
      <c r="R13" s="44">
        <f t="shared" si="13"/>
        <v>2039</v>
      </c>
      <c r="S13" s="44">
        <f t="shared" si="13"/>
        <v>2040</v>
      </c>
      <c r="T13" s="44">
        <f t="shared" si="13"/>
        <v>2041</v>
      </c>
      <c r="U13" s="44">
        <f t="shared" si="13"/>
        <v>2042</v>
      </c>
      <c r="V13" s="44">
        <f t="shared" si="13"/>
        <v>2043</v>
      </c>
      <c r="W13" s="44">
        <f t="shared" si="13"/>
        <v>2044</v>
      </c>
      <c r="X13" s="44">
        <f t="shared" si="13"/>
        <v>2045</v>
      </c>
      <c r="Y13" s="44">
        <f t="shared" si="13"/>
        <v>2046</v>
      </c>
      <c r="Z13" s="64">
        <f t="shared" ref="Z13:AF13" si="14">+Z3</f>
        <v>2047</v>
      </c>
      <c r="AA13" s="64">
        <f t="shared" si="14"/>
        <v>2048</v>
      </c>
      <c r="AB13" s="64">
        <f t="shared" si="14"/>
        <v>2049</v>
      </c>
      <c r="AC13" s="64">
        <f t="shared" si="14"/>
        <v>2050</v>
      </c>
      <c r="AD13" s="64">
        <f t="shared" si="14"/>
        <v>2051</v>
      </c>
      <c r="AE13" s="64">
        <f t="shared" si="14"/>
        <v>2052</v>
      </c>
      <c r="AF13" s="64">
        <f t="shared" si="14"/>
        <v>2053</v>
      </c>
      <c r="AG13" s="64">
        <f t="shared" ref="AG13:AJ13" si="15">+AG3</f>
        <v>2054</v>
      </c>
      <c r="AH13" s="64">
        <f t="shared" si="15"/>
        <v>2055</v>
      </c>
      <c r="AI13" s="64">
        <f t="shared" si="15"/>
        <v>2056</v>
      </c>
      <c r="AJ13" s="64">
        <f t="shared" si="15"/>
        <v>2057</v>
      </c>
    </row>
    <row r="14" spans="2:36" x14ac:dyDescent="0.2">
      <c r="B14" s="27" t="s">
        <v>29</v>
      </c>
      <c r="C14" s="25" t="s">
        <v>30</v>
      </c>
      <c r="D14" s="33">
        <f>D7*Hipótesis!$E$7*Hipótesis!$E$10</f>
        <v>0</v>
      </c>
      <c r="E14" s="33">
        <f>E7*Hipótesis!$E$7*Hipótesis!$E$10/1000</f>
        <v>7637.5</v>
      </c>
      <c r="F14" s="33">
        <f>F7*Hipótesis!$E$7*Hipótesis!$E$10/1000</f>
        <v>7637.5</v>
      </c>
      <c r="G14" s="33">
        <f>G7*Hipótesis!$E$7*Hipótesis!$E$10/1000</f>
        <v>7637.5</v>
      </c>
      <c r="H14" s="33">
        <f>H7*Hipótesis!$E$7*Hipótesis!$E$10/1000</f>
        <v>7790.25</v>
      </c>
      <c r="I14" s="33">
        <f>I7*Hipótesis!$E$7*Hipótesis!$E$10/1000</f>
        <v>7946.0550000000003</v>
      </c>
      <c r="J14" s="33">
        <f>J7*Hipótesis!$E$7*Hipótesis!$E$10/1000</f>
        <v>8104.9761000000008</v>
      </c>
      <c r="K14" s="33">
        <f>K7*Hipótesis!$E$7*Hipótesis!$E$10/1000</f>
        <v>8267.0756220000021</v>
      </c>
      <c r="L14" s="33">
        <f>L7*Hipótesis!$E$7*Hipótesis!$E$10/1000</f>
        <v>8854.0379911620021</v>
      </c>
      <c r="M14" s="33">
        <f>M7*Hipótesis!$E$7*Hipótesis!$E$10/1000</f>
        <v>9031.1187509852425</v>
      </c>
      <c r="N14" s="33">
        <f>N7*Hipótesis!$E$7*Hipótesis!$E$10/1000</f>
        <v>9211.7411260049466</v>
      </c>
      <c r="O14" s="33">
        <f>O7*Hipótesis!$E$7*Hipótesis!$E$10/1000</f>
        <v>9395.9759485250452</v>
      </c>
      <c r="P14" s="33">
        <f>P7*Hipótesis!$E$7*Hipótesis!$E$10/1000</f>
        <v>9583.8954674955457</v>
      </c>
      <c r="Q14" s="33">
        <f>Q7*Hipótesis!$E$7*Hipótesis!$E$10/1000</f>
        <v>9775.5733768454593</v>
      </c>
      <c r="R14" s="33">
        <f>R7*Hipótesis!$E$7*Hipótesis!$E$10/1000</f>
        <v>9971.084844382367</v>
      </c>
      <c r="S14" s="33">
        <f>S7*Hipótesis!$E$7*Hipótesis!$E$10/1000</f>
        <v>10170.506541270013</v>
      </c>
      <c r="T14" s="33">
        <f>T7*Hipótesis!$E$7*Hipótesis!$E$10/1000</f>
        <v>10373.916672095414</v>
      </c>
      <c r="U14" s="33">
        <f>U7*Hipótesis!$E$7*Hipótesis!$E$10/1000</f>
        <v>10581.395005537324</v>
      </c>
      <c r="V14" s="33">
        <f>V7*Hipótesis!$E$7*Hipótesis!$E$10/1000</f>
        <v>10793.022905648069</v>
      </c>
      <c r="W14" s="33">
        <f>W7*Hipótesis!$E$7*Hipótesis!$E$10/1000</f>
        <v>11008.883363761033</v>
      </c>
      <c r="X14" s="33">
        <f>X7*Hipótesis!$E$7*Hipótesis!$E$10/1000</f>
        <v>11229.061031036254</v>
      </c>
      <c r="Y14" s="33">
        <f>Y7*Hipótesis!$E$7*Hipótesis!$E$10/1000</f>
        <v>11453.64225165698</v>
      </c>
      <c r="Z14" s="33">
        <f>Z7*Hipótesis!$E$7*Hipótesis!$E$10/1000</f>
        <v>11682.715096690119</v>
      </c>
      <c r="AA14" s="33">
        <f>AA7*Hipótesis!$E$7*Hipótesis!$E$10/1000</f>
        <v>11916.369398623923</v>
      </c>
      <c r="AB14" s="33">
        <f>AB7*Hipótesis!$E$7*Hipótesis!$E$10/1000</f>
        <v>12154.696786596398</v>
      </c>
      <c r="AC14" s="33">
        <f>AC7*Hipótesis!$E$7*Hipótesis!$E$10/1000</f>
        <v>12397.790722328327</v>
      </c>
      <c r="AD14" s="33">
        <f>AD7*Hipótesis!$E$7*Hipótesis!$E$10/1000</f>
        <v>12645.746536774896</v>
      </c>
      <c r="AE14" s="33">
        <f>AE7*Hipótesis!$E$7*Hipótesis!$E$10/1000</f>
        <v>12898.661467510394</v>
      </c>
      <c r="AF14" s="33">
        <f>AF7*Hipótesis!$E$7*Hipótesis!$E$10/1000</f>
        <v>13156.634696860601</v>
      </c>
      <c r="AG14" s="33">
        <f>AG7*Hipótesis!$E$7*Hipótesis!$E$10/1000</f>
        <v>13419.767390797815</v>
      </c>
      <c r="AH14" s="33">
        <f>AH7*Hipótesis!$E$7*Hipótesis!$E$10/1000</f>
        <v>13688.162738613772</v>
      </c>
      <c r="AI14" s="33">
        <f>AI7*Hipótesis!$E$7*Hipótesis!$E$10/1000</f>
        <v>0</v>
      </c>
      <c r="AJ14" s="33">
        <f>AJ7*Hipótesis!$E$7*Hipótesis!$E$10/1000</f>
        <v>0</v>
      </c>
    </row>
    <row r="15" spans="2:36" x14ac:dyDescent="0.2">
      <c r="B15" s="27" t="s">
        <v>1</v>
      </c>
      <c r="C15" s="25" t="s">
        <v>30</v>
      </c>
      <c r="D15" s="33">
        <v>0</v>
      </c>
      <c r="E15" s="33">
        <f>(-Hipótesis!$E$11*Hipótesis!$E$10*Hipótesis!$E$7/1000)*E4</f>
        <v>-117.5</v>
      </c>
      <c r="F15" s="33">
        <f>(-Hipótesis!$E$11*Hipótesis!$E$10*Hipótesis!$E$7/1000)*F4</f>
        <v>-117.5</v>
      </c>
      <c r="G15" s="33">
        <f>(-Hipótesis!$E$11*Hipótesis!$E$10*Hipótesis!$E$7/1000)*G4</f>
        <v>-117.5</v>
      </c>
      <c r="H15" s="33">
        <f>(-Hipótesis!$E$11*Hipótesis!$E$10*Hipótesis!$E$7/1000)*H4</f>
        <v>-117.5</v>
      </c>
      <c r="I15" s="33">
        <f>(-Hipótesis!$E$11*Hipótesis!$E$10*Hipótesis!$E$7/1000)*I4</f>
        <v>-117.5</v>
      </c>
      <c r="J15" s="33">
        <f>(-Hipótesis!$E$11*Hipótesis!$E$10*Hipótesis!$E$7/1000)*J4</f>
        <v>-117.5</v>
      </c>
      <c r="K15" s="33">
        <f>(-Hipótesis!$E$11*Hipótesis!$E$10*Hipótesis!$E$7/1000)*K4</f>
        <v>-117.5</v>
      </c>
      <c r="L15" s="33">
        <f>(-Hipótesis!$E$11*Hipótesis!$E$10*Hipótesis!$E$7/1000)*L4</f>
        <v>-117.5</v>
      </c>
      <c r="M15" s="33">
        <f>(-Hipótesis!$E$11*Hipótesis!$E$10*Hipótesis!$E$7/1000)*M4</f>
        <v>-117.5</v>
      </c>
      <c r="N15" s="33">
        <f>(-Hipótesis!$E$11*Hipótesis!$E$10*Hipótesis!$E$7/1000)*N4</f>
        <v>-117.5</v>
      </c>
      <c r="O15" s="33">
        <f>(-Hipótesis!$E$11*Hipótesis!$E$10*Hipótesis!$E$7/1000)*O4</f>
        <v>-117.5</v>
      </c>
      <c r="P15" s="33">
        <f>(-Hipótesis!$E$11*Hipótesis!$E$10*Hipótesis!$E$7/1000)*P4</f>
        <v>-117.5</v>
      </c>
      <c r="Q15" s="33">
        <f>(-Hipótesis!$E$11*Hipótesis!$E$10*Hipótesis!$E$7/1000)*Q4</f>
        <v>-117.5</v>
      </c>
      <c r="R15" s="33">
        <f>(-Hipótesis!$E$11*Hipótesis!$E$10*Hipótesis!$E$7/1000)*R4</f>
        <v>-117.5</v>
      </c>
      <c r="S15" s="33">
        <f>(-Hipótesis!$E$11*Hipótesis!$E$10*Hipótesis!$E$7/1000)*S4</f>
        <v>-117.5</v>
      </c>
      <c r="T15" s="33">
        <f>(-Hipótesis!$E$11*Hipótesis!$E$10*Hipótesis!$E$7/1000)*T4</f>
        <v>-117.5</v>
      </c>
      <c r="U15" s="33">
        <f>(-Hipótesis!$E$11*Hipótesis!$E$10*Hipótesis!$E$7/1000)*U4</f>
        <v>-117.5</v>
      </c>
      <c r="V15" s="33">
        <f>(-Hipótesis!$E$11*Hipótesis!$E$10*Hipótesis!$E$7/1000)*V4</f>
        <v>-117.5</v>
      </c>
      <c r="W15" s="33">
        <f>(-Hipótesis!$E$11*Hipótesis!$E$10*Hipótesis!$E$7/1000)*W4</f>
        <v>-117.5</v>
      </c>
      <c r="X15" s="33">
        <f>(-Hipótesis!$E$11*Hipótesis!$E$10*Hipótesis!$E$7/1000)*X4</f>
        <v>-117.5</v>
      </c>
      <c r="Y15" s="33">
        <f>(-Hipótesis!$E$11*Hipótesis!$E$10*Hipótesis!$E$7/1000)*Y4</f>
        <v>-117.5</v>
      </c>
      <c r="Z15" s="33">
        <f>(-Hipótesis!$E$11*Hipótesis!$E$10*Hipótesis!$E$7/1000)*Z4</f>
        <v>-117.5</v>
      </c>
      <c r="AA15" s="33">
        <f>(-Hipótesis!$E$11*Hipótesis!$E$10*Hipótesis!$E$7/1000)*AA4</f>
        <v>-117.5</v>
      </c>
      <c r="AB15" s="33">
        <f>(-Hipótesis!$E$11*Hipótesis!$E$10*Hipótesis!$E$7/1000)*AB4</f>
        <v>-117.5</v>
      </c>
      <c r="AC15" s="33">
        <f>(-Hipótesis!$E$11*Hipótesis!$E$10*Hipótesis!$E$7/1000)*AC4</f>
        <v>-117.5</v>
      </c>
      <c r="AD15" s="33">
        <f>(-Hipótesis!$E$11*Hipótesis!$E$10*Hipótesis!$E$7/1000)*AD4</f>
        <v>-117.5</v>
      </c>
      <c r="AE15" s="33">
        <f>(-Hipótesis!$E$11*Hipótesis!$E$10*Hipótesis!$E$7/1000)*AE4</f>
        <v>-117.5</v>
      </c>
      <c r="AF15" s="33">
        <f>(-Hipótesis!$E$11*Hipótesis!$E$10*Hipótesis!$E$7/1000)*AF4</f>
        <v>-117.5</v>
      </c>
      <c r="AG15" s="33">
        <f>(-Hipótesis!$E$11*Hipótesis!$E$10*Hipótesis!$E$7/1000)*AG4</f>
        <v>-117.5</v>
      </c>
      <c r="AH15" s="33">
        <f>(-Hipótesis!$E$11*Hipótesis!$E$10*Hipótesis!$E$7/1000)*AH4</f>
        <v>-117.5</v>
      </c>
      <c r="AI15" s="33">
        <f>(-Hipótesis!$E$11*Hipótesis!$E$10*Hipótesis!$E$7/1000)*AI4</f>
        <v>0</v>
      </c>
      <c r="AJ15" s="33">
        <f>(-Hipótesis!$E$11*Hipótesis!$E$10*Hipótesis!$E$7/1000)*AJ4</f>
        <v>0</v>
      </c>
    </row>
    <row r="16" spans="2:36" x14ac:dyDescent="0.2">
      <c r="B16" s="55" t="s">
        <v>2</v>
      </c>
      <c r="C16" s="56" t="s">
        <v>30</v>
      </c>
      <c r="D16" s="57">
        <f>D14</f>
        <v>0</v>
      </c>
      <c r="E16" s="57">
        <f>E14+E15</f>
        <v>7520</v>
      </c>
      <c r="F16" s="57">
        <f t="shared" ref="F16:Y16" si="16">F14</f>
        <v>7637.5</v>
      </c>
      <c r="G16" s="57">
        <f t="shared" si="16"/>
        <v>7637.5</v>
      </c>
      <c r="H16" s="57">
        <f t="shared" si="16"/>
        <v>7790.25</v>
      </c>
      <c r="I16" s="57">
        <f t="shared" si="16"/>
        <v>7946.0550000000003</v>
      </c>
      <c r="J16" s="57">
        <f t="shared" si="16"/>
        <v>8104.9761000000008</v>
      </c>
      <c r="K16" s="57">
        <f t="shared" si="16"/>
        <v>8267.0756220000021</v>
      </c>
      <c r="L16" s="57">
        <f t="shared" si="16"/>
        <v>8854.0379911620021</v>
      </c>
      <c r="M16" s="57">
        <f t="shared" si="16"/>
        <v>9031.1187509852425</v>
      </c>
      <c r="N16" s="57">
        <f t="shared" si="16"/>
        <v>9211.7411260049466</v>
      </c>
      <c r="O16" s="57">
        <f t="shared" si="16"/>
        <v>9395.9759485250452</v>
      </c>
      <c r="P16" s="57">
        <f t="shared" si="16"/>
        <v>9583.8954674955457</v>
      </c>
      <c r="Q16" s="57">
        <f t="shared" si="16"/>
        <v>9775.5733768454593</v>
      </c>
      <c r="R16" s="57">
        <f t="shared" si="16"/>
        <v>9971.084844382367</v>
      </c>
      <c r="S16" s="57">
        <f t="shared" si="16"/>
        <v>10170.506541270013</v>
      </c>
      <c r="T16" s="57">
        <f t="shared" si="16"/>
        <v>10373.916672095414</v>
      </c>
      <c r="U16" s="57">
        <f t="shared" si="16"/>
        <v>10581.395005537324</v>
      </c>
      <c r="V16" s="57">
        <f t="shared" si="16"/>
        <v>10793.022905648069</v>
      </c>
      <c r="W16" s="57">
        <f t="shared" si="16"/>
        <v>11008.883363761033</v>
      </c>
      <c r="X16" s="57">
        <f t="shared" si="16"/>
        <v>11229.061031036254</v>
      </c>
      <c r="Y16" s="57">
        <f t="shared" si="16"/>
        <v>11453.64225165698</v>
      </c>
      <c r="Z16" s="57">
        <f t="shared" ref="Z16:AF16" si="17">Z14</f>
        <v>11682.715096690119</v>
      </c>
      <c r="AA16" s="57">
        <f t="shared" si="17"/>
        <v>11916.369398623923</v>
      </c>
      <c r="AB16" s="57">
        <f t="shared" si="17"/>
        <v>12154.696786596398</v>
      </c>
      <c r="AC16" s="57">
        <f t="shared" si="17"/>
        <v>12397.790722328327</v>
      </c>
      <c r="AD16" s="57">
        <f t="shared" si="17"/>
        <v>12645.746536774896</v>
      </c>
      <c r="AE16" s="57">
        <f t="shared" si="17"/>
        <v>12898.661467510394</v>
      </c>
      <c r="AF16" s="57">
        <f t="shared" si="17"/>
        <v>13156.634696860601</v>
      </c>
      <c r="AG16" s="57">
        <f t="shared" ref="AG16:AJ16" si="18">AG14</f>
        <v>13419.767390797815</v>
      </c>
      <c r="AH16" s="57">
        <f t="shared" si="18"/>
        <v>13688.162738613772</v>
      </c>
      <c r="AI16" s="57">
        <f t="shared" si="18"/>
        <v>0</v>
      </c>
      <c r="AJ16" s="57">
        <f t="shared" si="18"/>
        <v>0</v>
      </c>
    </row>
    <row r="17" spans="2:36" x14ac:dyDescent="0.2">
      <c r="B17" s="27" t="s">
        <v>16</v>
      </c>
      <c r="C17" s="25" t="s">
        <v>30</v>
      </c>
      <c r="D17" s="33">
        <f>D8*Hipótesis!$E$7</f>
        <v>0</v>
      </c>
      <c r="E17" s="33">
        <f>E8*Hipótesis!$E$7*50%*E4</f>
        <v>1250</v>
      </c>
      <c r="F17" s="33">
        <f>F8*Hipótesis!$E$7*50%*F4</f>
        <v>1275</v>
      </c>
      <c r="G17" s="33">
        <f>G8*Hipótesis!$E$7*50%*G4</f>
        <v>1300.5</v>
      </c>
      <c r="H17" s="33">
        <f>H8*Hipótesis!$E$7*50%*H4</f>
        <v>1326.51</v>
      </c>
      <c r="I17" s="33">
        <f>I8*Hipótesis!$E$7*50%*I4</f>
        <v>1353.0402000000001</v>
      </c>
      <c r="J17" s="33">
        <f>J8*Hipótesis!$E$7*50%*J4</f>
        <v>1380.1010040000001</v>
      </c>
      <c r="K17" s="33">
        <f>K8*Hipótesis!$E$7*50%*K4</f>
        <v>1407.7030240800002</v>
      </c>
      <c r="L17" s="33">
        <f>L8*Hipótesis!$E$7*50%*L4</f>
        <v>1435.8570845616</v>
      </c>
      <c r="M17" s="33">
        <f>M8*Hipótesis!$E$7*50%*M4</f>
        <v>1464.5742262528322</v>
      </c>
      <c r="N17" s="33">
        <f>N8*Hipótesis!$E$7*50%*N4</f>
        <v>1493.8657107778888</v>
      </c>
      <c r="O17" s="33">
        <f>O8*Hipótesis!$E$7*50%*O4</f>
        <v>1523.7430249934466</v>
      </c>
      <c r="P17" s="33">
        <f>P8*Hipótesis!$E$7*50%*P4</f>
        <v>1554.2178854933154</v>
      </c>
      <c r="Q17" s="33">
        <f>Q8*Hipótesis!$E$7*50%*Q4</f>
        <v>1585.3022432031819</v>
      </c>
      <c r="R17" s="33">
        <f>R8*Hipótesis!$E$7*50%*R4</f>
        <v>1617.0082880672458</v>
      </c>
      <c r="S17" s="33">
        <f>S8*Hipótesis!$E$7*50%*S4</f>
        <v>1649.3484538285904</v>
      </c>
      <c r="T17" s="33">
        <f>T8*Hipótesis!$E$7*50%*T4</f>
        <v>1682.3354229051624</v>
      </c>
      <c r="U17" s="33">
        <f>U8*Hipótesis!$E$7*50%*U4</f>
        <v>1715.9821313632658</v>
      </c>
      <c r="V17" s="33">
        <f>V8*Hipótesis!$E$7*50%*V4</f>
        <v>1750.3017739905313</v>
      </c>
      <c r="W17" s="33">
        <f>W8*Hipótesis!$E$7*50%*W4</f>
        <v>1785.3078094703419</v>
      </c>
      <c r="X17" s="33">
        <f>X8*Hipótesis!$E$7*50%*X4</f>
        <v>1821.0139656597487</v>
      </c>
      <c r="Y17" s="33">
        <f>Y8*Hipótesis!$E$7*50%*Y4</f>
        <v>1857.4342449729438</v>
      </c>
      <c r="Z17" s="33">
        <f>Z8*Hipótesis!$E$7*50%*Z4</f>
        <v>1894.5829298724029</v>
      </c>
      <c r="AA17" s="33">
        <f>AA8*Hipótesis!$E$7*50%*AA4</f>
        <v>1932.4745884698509</v>
      </c>
      <c r="AB17" s="33">
        <f>AB8*Hipótesis!$E$7*50%*AB4</f>
        <v>1971.1240802392479</v>
      </c>
      <c r="AC17" s="33">
        <f>AC8*Hipótesis!$E$7*50%*AC4</f>
        <v>2010.5465618440328</v>
      </c>
      <c r="AD17" s="33">
        <f>AD8*Hipótesis!$E$7*50%*AD4</f>
        <v>2050.7574930809133</v>
      </c>
      <c r="AE17" s="33">
        <f>AE8*Hipótesis!$E$7*50%*AE4</f>
        <v>2091.772642942532</v>
      </c>
      <c r="AF17" s="33">
        <f>AF8*Hipótesis!$E$7*50%*AF4</f>
        <v>2133.6080958013822</v>
      </c>
      <c r="AG17" s="33">
        <f>AG8*Hipótesis!$E$7*50%*AG4</f>
        <v>2176.2802577174098</v>
      </c>
      <c r="AH17" s="33">
        <f>AH8*Hipótesis!$E$7*50%*AH4</f>
        <v>2219.8058628717581</v>
      </c>
      <c r="AI17" s="33">
        <f>AI8*Hipótesis!$E$7*50%*AI4</f>
        <v>0</v>
      </c>
      <c r="AJ17" s="33">
        <f>AJ8*Hipótesis!$E$7*50%*AJ4</f>
        <v>0</v>
      </c>
    </row>
    <row r="18" spans="2:36" x14ac:dyDescent="0.2">
      <c r="B18" s="55" t="s">
        <v>3</v>
      </c>
      <c r="C18" s="56" t="s">
        <v>30</v>
      </c>
      <c r="D18" s="57">
        <f>D16-D17</f>
        <v>0</v>
      </c>
      <c r="E18" s="57">
        <f>E16-E17</f>
        <v>6270</v>
      </c>
      <c r="F18" s="57">
        <f t="shared" ref="F18:Y18" si="19">F16-F17</f>
        <v>6362.5</v>
      </c>
      <c r="G18" s="57">
        <f t="shared" si="19"/>
        <v>6337</v>
      </c>
      <c r="H18" s="57">
        <f t="shared" si="19"/>
        <v>6463.74</v>
      </c>
      <c r="I18" s="57">
        <f t="shared" si="19"/>
        <v>6593.0147999999999</v>
      </c>
      <c r="J18" s="57">
        <f t="shared" si="19"/>
        <v>6724.8750960000007</v>
      </c>
      <c r="K18" s="57">
        <f t="shared" si="19"/>
        <v>6859.3725979200017</v>
      </c>
      <c r="L18" s="57">
        <f t="shared" si="19"/>
        <v>7418.1809066004025</v>
      </c>
      <c r="M18" s="57">
        <f t="shared" si="19"/>
        <v>7566.5445247324105</v>
      </c>
      <c r="N18" s="57">
        <f t="shared" si="19"/>
        <v>7717.8754152270576</v>
      </c>
      <c r="O18" s="57">
        <f t="shared" si="19"/>
        <v>7872.2329235315983</v>
      </c>
      <c r="P18" s="57">
        <f t="shared" si="19"/>
        <v>8029.6775820022303</v>
      </c>
      <c r="Q18" s="57">
        <f t="shared" si="19"/>
        <v>8190.2711336422772</v>
      </c>
      <c r="R18" s="57">
        <f t="shared" si="19"/>
        <v>8354.0765563151217</v>
      </c>
      <c r="S18" s="57">
        <f t="shared" si="19"/>
        <v>8521.158087441423</v>
      </c>
      <c r="T18" s="57">
        <f t="shared" si="19"/>
        <v>8691.5812491902525</v>
      </c>
      <c r="U18" s="57">
        <f t="shared" si="19"/>
        <v>8865.4128741740587</v>
      </c>
      <c r="V18" s="57">
        <f t="shared" si="19"/>
        <v>9042.7211316575376</v>
      </c>
      <c r="W18" s="57">
        <f t="shared" si="19"/>
        <v>9223.5755542906918</v>
      </c>
      <c r="X18" s="57">
        <f t="shared" si="19"/>
        <v>9408.0470653765042</v>
      </c>
      <c r="Y18" s="57">
        <f t="shared" si="19"/>
        <v>9596.2080066840354</v>
      </c>
      <c r="Z18" s="57">
        <f t="shared" ref="Z18:AF18" si="20">Z16-Z17</f>
        <v>9788.1321668177152</v>
      </c>
      <c r="AA18" s="57">
        <f t="shared" si="20"/>
        <v>9983.8948101540718</v>
      </c>
      <c r="AB18" s="57">
        <f t="shared" si="20"/>
        <v>10183.57270635715</v>
      </c>
      <c r="AC18" s="57">
        <f t="shared" si="20"/>
        <v>10387.244160484295</v>
      </c>
      <c r="AD18" s="57">
        <f t="shared" si="20"/>
        <v>10594.989043693982</v>
      </c>
      <c r="AE18" s="57">
        <f t="shared" si="20"/>
        <v>10806.888824567861</v>
      </c>
      <c r="AF18" s="57">
        <f t="shared" si="20"/>
        <v>11023.026601059219</v>
      </c>
      <c r="AG18" s="57">
        <f t="shared" ref="AG18:AJ18" si="21">AG16-AG17</f>
        <v>11243.487133080405</v>
      </c>
      <c r="AH18" s="57">
        <f t="shared" si="21"/>
        <v>11468.356875742014</v>
      </c>
      <c r="AI18" s="57">
        <f t="shared" si="21"/>
        <v>0</v>
      </c>
      <c r="AJ18" s="57">
        <f t="shared" si="21"/>
        <v>0</v>
      </c>
    </row>
    <row r="19" spans="2:36" x14ac:dyDescent="0.2">
      <c r="B19" s="27" t="s">
        <v>4</v>
      </c>
      <c r="C19" s="25" t="s">
        <v>30</v>
      </c>
      <c r="D19" s="33">
        <v>0</v>
      </c>
      <c r="E19" s="33">
        <f>(Hipótesis!$E$7*Hipótesis!$E$8/Hipótesis!$E$13)*E4</f>
        <v>2083.3333333333335</v>
      </c>
      <c r="F19" s="33">
        <f>(Hipótesis!$E$7*Hipótesis!$E$8/Hipótesis!$E$13)*F4</f>
        <v>2083.3333333333335</v>
      </c>
      <c r="G19" s="33">
        <f>(Hipótesis!$E$7*Hipótesis!$E$8/Hipótesis!$E$13)*G4</f>
        <v>2083.3333333333335</v>
      </c>
      <c r="H19" s="33">
        <f>(Hipótesis!$E$7*Hipótesis!$E$8/Hipótesis!$E$13)*H4</f>
        <v>2083.3333333333335</v>
      </c>
      <c r="I19" s="33">
        <f>(Hipótesis!$E$7*Hipótesis!$E$8/Hipótesis!$E$13)*I4</f>
        <v>2083.3333333333335</v>
      </c>
      <c r="J19" s="33">
        <f>(Hipótesis!$E$7*Hipótesis!$E$8/Hipótesis!$E$13)*J4</f>
        <v>2083.3333333333335</v>
      </c>
      <c r="K19" s="33">
        <f>(Hipótesis!$E$7*Hipótesis!$E$8/Hipótesis!$E$13)*K4</f>
        <v>2083.3333333333335</v>
      </c>
      <c r="L19" s="33">
        <f>(Hipótesis!$E$7*Hipótesis!$E$8/Hipótesis!$E$13)*L4</f>
        <v>2083.3333333333335</v>
      </c>
      <c r="M19" s="33">
        <f>(Hipótesis!$E$7*Hipótesis!$E$8/Hipótesis!$E$13)*M4</f>
        <v>2083.3333333333335</v>
      </c>
      <c r="N19" s="33">
        <f>(Hipótesis!$E$7*Hipótesis!$E$8/Hipótesis!$E$13)*N4</f>
        <v>2083.3333333333335</v>
      </c>
      <c r="O19" s="33">
        <f>(Hipótesis!$E$7*Hipótesis!$E$8/Hipótesis!$E$13)*O4</f>
        <v>2083.3333333333335</v>
      </c>
      <c r="P19" s="33">
        <f>(Hipótesis!$E$7*Hipótesis!$E$8/Hipótesis!$E$13)*P4</f>
        <v>2083.3333333333335</v>
      </c>
      <c r="Q19" s="33">
        <f>(Hipótesis!$E$7*Hipótesis!$E$8/Hipótesis!$E$13)*Q4</f>
        <v>2083.3333333333335</v>
      </c>
      <c r="R19" s="33">
        <f>(Hipótesis!$E$7*Hipótesis!$E$8/Hipótesis!$E$13)*R4</f>
        <v>2083.3333333333335</v>
      </c>
      <c r="S19" s="33">
        <f>(Hipótesis!$E$7*Hipótesis!$E$8/Hipótesis!$E$13)*S4</f>
        <v>2083.3333333333335</v>
      </c>
      <c r="T19" s="33">
        <f>(Hipótesis!$E$7*Hipótesis!$E$8/Hipótesis!$E$13)*T4</f>
        <v>2083.3333333333335</v>
      </c>
      <c r="U19" s="33">
        <f>(Hipótesis!$E$7*Hipótesis!$E$8/Hipótesis!$E$13)*U4</f>
        <v>2083.3333333333335</v>
      </c>
      <c r="V19" s="33">
        <f>(Hipótesis!$E$7*Hipótesis!$E$8/Hipótesis!$E$13)*V4</f>
        <v>2083.3333333333335</v>
      </c>
      <c r="W19" s="33">
        <f>(Hipótesis!$E$7*Hipótesis!$E$8/Hipótesis!$E$13)*W4</f>
        <v>2083.3333333333335</v>
      </c>
      <c r="X19" s="33">
        <f>(Hipótesis!$E$7*Hipótesis!$E$8/Hipótesis!$E$13)*X4</f>
        <v>2083.3333333333335</v>
      </c>
      <c r="Y19" s="33">
        <f>(Hipótesis!$E$7*Hipótesis!$E$8/Hipótesis!$E$13)*Y4</f>
        <v>2083.3333333333335</v>
      </c>
      <c r="Z19" s="33">
        <f>(Hipótesis!$E$7*Hipótesis!$E$8/Hipótesis!$E$13)*Z4</f>
        <v>2083.3333333333335</v>
      </c>
      <c r="AA19" s="33">
        <f>(Hipótesis!$E$7*Hipótesis!$E$8/Hipótesis!$E$13)*AA4</f>
        <v>2083.3333333333335</v>
      </c>
      <c r="AB19" s="33">
        <f>(Hipótesis!$E$7*Hipótesis!$E$8/Hipótesis!$E$13)*AB4</f>
        <v>2083.3333333333335</v>
      </c>
      <c r="AC19" s="33">
        <f>(Hipótesis!$E$7*Hipótesis!$E$8/Hipótesis!$E$13)*AC4</f>
        <v>2083.3333333333335</v>
      </c>
      <c r="AD19" s="33">
        <f>(Hipótesis!$E$7*Hipótesis!$E$8/Hipótesis!$E$13)*AD4</f>
        <v>2083.3333333333335</v>
      </c>
      <c r="AE19" s="33">
        <f>(Hipótesis!$E$7*Hipótesis!$E$8/Hipótesis!$E$13)*AE4</f>
        <v>2083.3333333333335</v>
      </c>
      <c r="AF19" s="33">
        <f>(Hipótesis!$E$7*Hipótesis!$E$8/Hipótesis!$E$13)*AF4</f>
        <v>2083.3333333333335</v>
      </c>
      <c r="AG19" s="33">
        <f>(Hipótesis!$E$7*Hipótesis!$E$8/Hipótesis!$E$13)*AG4</f>
        <v>2083.3333333333335</v>
      </c>
      <c r="AH19" s="33">
        <f>(Hipótesis!$E$7*Hipótesis!$E$8/Hipótesis!$E$13)*AH4</f>
        <v>2083.3333333333335</v>
      </c>
      <c r="AI19" s="33">
        <f>(Hipótesis!$E$7*Hipótesis!$E$8/Hipótesis!$E$13)*AI4</f>
        <v>0</v>
      </c>
      <c r="AJ19" s="33">
        <f>(Hipótesis!$E$7*Hipótesis!$E$8/Hipótesis!$E$13)*AJ4</f>
        <v>0</v>
      </c>
    </row>
    <row r="20" spans="2:36" x14ac:dyDescent="0.2">
      <c r="B20" s="55" t="s">
        <v>32</v>
      </c>
      <c r="C20" s="56" t="s">
        <v>30</v>
      </c>
      <c r="D20" s="57">
        <f>D18-D19</f>
        <v>0</v>
      </c>
      <c r="E20" s="57">
        <f t="shared" ref="E20:Y20" si="22">E18-E19</f>
        <v>4186.6666666666661</v>
      </c>
      <c r="F20" s="57">
        <f t="shared" si="22"/>
        <v>4279.1666666666661</v>
      </c>
      <c r="G20" s="57">
        <f t="shared" si="22"/>
        <v>4253.6666666666661</v>
      </c>
      <c r="H20" s="57">
        <f t="shared" si="22"/>
        <v>4380.4066666666658</v>
      </c>
      <c r="I20" s="57">
        <f t="shared" si="22"/>
        <v>4509.6814666666669</v>
      </c>
      <c r="J20" s="57">
        <f t="shared" si="22"/>
        <v>4641.5417626666676</v>
      </c>
      <c r="K20" s="57">
        <f t="shared" si="22"/>
        <v>4776.0392645866687</v>
      </c>
      <c r="L20" s="57">
        <f t="shared" si="22"/>
        <v>5334.8475732670686</v>
      </c>
      <c r="M20" s="57">
        <f t="shared" si="22"/>
        <v>5483.2111913990775</v>
      </c>
      <c r="N20" s="57">
        <f t="shared" si="22"/>
        <v>5634.5420818937237</v>
      </c>
      <c r="O20" s="57">
        <f t="shared" si="22"/>
        <v>5788.8995901982653</v>
      </c>
      <c r="P20" s="57">
        <f t="shared" si="22"/>
        <v>5946.3442486688964</v>
      </c>
      <c r="Q20" s="57">
        <f t="shared" si="22"/>
        <v>6106.9378003089441</v>
      </c>
      <c r="R20" s="57">
        <f t="shared" si="22"/>
        <v>6270.7432229817878</v>
      </c>
      <c r="S20" s="57">
        <f t="shared" si="22"/>
        <v>6437.8247541080891</v>
      </c>
      <c r="T20" s="57">
        <f t="shared" si="22"/>
        <v>6608.2479158569186</v>
      </c>
      <c r="U20" s="57">
        <f t="shared" si="22"/>
        <v>6782.0795408407248</v>
      </c>
      <c r="V20" s="57">
        <f t="shared" si="22"/>
        <v>6959.3877983242037</v>
      </c>
      <c r="W20" s="57">
        <f t="shared" si="22"/>
        <v>7140.2422209573579</v>
      </c>
      <c r="X20" s="57">
        <f t="shared" si="22"/>
        <v>7324.7137320431702</v>
      </c>
      <c r="Y20" s="57">
        <f t="shared" si="22"/>
        <v>7512.8746733507014</v>
      </c>
      <c r="Z20" s="57">
        <f t="shared" ref="Z20:AF20" si="23">Z18-Z19</f>
        <v>7704.7988334843812</v>
      </c>
      <c r="AA20" s="57">
        <f t="shared" si="23"/>
        <v>7900.5614768207379</v>
      </c>
      <c r="AB20" s="57">
        <f t="shared" si="23"/>
        <v>8100.2393730238164</v>
      </c>
      <c r="AC20" s="57">
        <f t="shared" si="23"/>
        <v>8303.9108271509613</v>
      </c>
      <c r="AD20" s="57">
        <f t="shared" si="23"/>
        <v>8511.6557103606483</v>
      </c>
      <c r="AE20" s="57">
        <f t="shared" si="23"/>
        <v>8723.5554912345269</v>
      </c>
      <c r="AF20" s="57">
        <f t="shared" si="23"/>
        <v>8939.6932677258847</v>
      </c>
      <c r="AG20" s="57">
        <f t="shared" ref="AG20:AJ20" si="24">AG18-AG19</f>
        <v>9160.1537997470714</v>
      </c>
      <c r="AH20" s="57">
        <f t="shared" si="24"/>
        <v>9385.0235424086804</v>
      </c>
      <c r="AI20" s="57">
        <f t="shared" si="24"/>
        <v>0</v>
      </c>
      <c r="AJ20" s="57">
        <f t="shared" si="24"/>
        <v>0</v>
      </c>
    </row>
    <row r="21" spans="2:36" x14ac:dyDescent="0.2">
      <c r="B21" s="27" t="s">
        <v>33</v>
      </c>
      <c r="C21" s="25" t="s">
        <v>30</v>
      </c>
      <c r="D21" s="33">
        <v>0</v>
      </c>
      <c r="E21" s="33">
        <f>-E83</f>
        <v>1257.8124999999998</v>
      </c>
      <c r="F21" s="33">
        <f t="shared" ref="F21:Y21" si="25">-F83</f>
        <v>1148.4375</v>
      </c>
      <c r="G21" s="33">
        <f t="shared" si="25"/>
        <v>1039.0624999999998</v>
      </c>
      <c r="H21" s="33">
        <f t="shared" si="25"/>
        <v>929.68749999999977</v>
      </c>
      <c r="I21" s="33">
        <f t="shared" si="25"/>
        <v>820.31249999999977</v>
      </c>
      <c r="J21" s="33">
        <f t="shared" si="25"/>
        <v>710.93749999999989</v>
      </c>
      <c r="K21" s="33">
        <f t="shared" si="25"/>
        <v>601.56249999999989</v>
      </c>
      <c r="L21" s="33">
        <f t="shared" si="25"/>
        <v>492.18749999999989</v>
      </c>
      <c r="M21" s="33">
        <f t="shared" si="25"/>
        <v>382.81249999999989</v>
      </c>
      <c r="N21" s="33">
        <f t="shared" si="25"/>
        <v>273.43749999999983</v>
      </c>
      <c r="O21" s="33">
        <f t="shared" si="25"/>
        <v>164.06249999999986</v>
      </c>
      <c r="P21" s="33">
        <f t="shared" si="25"/>
        <v>54.687499999999865</v>
      </c>
      <c r="Q21" s="33">
        <f t="shared" si="25"/>
        <v>0</v>
      </c>
      <c r="R21" s="33">
        <f t="shared" si="25"/>
        <v>0</v>
      </c>
      <c r="S21" s="33">
        <f t="shared" si="25"/>
        <v>0</v>
      </c>
      <c r="T21" s="33">
        <f t="shared" si="25"/>
        <v>0</v>
      </c>
      <c r="U21" s="33">
        <f t="shared" si="25"/>
        <v>0</v>
      </c>
      <c r="V21" s="33">
        <f t="shared" si="25"/>
        <v>0</v>
      </c>
      <c r="W21" s="33">
        <f t="shared" si="25"/>
        <v>0</v>
      </c>
      <c r="X21" s="33">
        <f t="shared" si="25"/>
        <v>0</v>
      </c>
      <c r="Y21" s="33">
        <f t="shared" si="25"/>
        <v>0</v>
      </c>
      <c r="Z21" s="33">
        <f t="shared" ref="Z21:AF21" si="26">-Z83</f>
        <v>0</v>
      </c>
      <c r="AA21" s="33">
        <f t="shared" si="26"/>
        <v>0</v>
      </c>
      <c r="AB21" s="33">
        <f t="shared" si="26"/>
        <v>0</v>
      </c>
      <c r="AC21" s="33">
        <f t="shared" si="26"/>
        <v>0</v>
      </c>
      <c r="AD21" s="33">
        <f t="shared" si="26"/>
        <v>0</v>
      </c>
      <c r="AE21" s="33">
        <f t="shared" si="26"/>
        <v>0</v>
      </c>
      <c r="AF21" s="33">
        <f t="shared" si="26"/>
        <v>0</v>
      </c>
      <c r="AG21" s="33">
        <f t="shared" ref="AG21:AJ21" si="27">-AG83</f>
        <v>0</v>
      </c>
      <c r="AH21" s="33">
        <f t="shared" si="27"/>
        <v>0</v>
      </c>
      <c r="AI21" s="33">
        <f t="shared" si="27"/>
        <v>0</v>
      </c>
      <c r="AJ21" s="33">
        <f t="shared" si="27"/>
        <v>0</v>
      </c>
    </row>
    <row r="22" spans="2:36" x14ac:dyDescent="0.2">
      <c r="B22" s="55" t="s">
        <v>7</v>
      </c>
      <c r="C22" s="56" t="s">
        <v>30</v>
      </c>
      <c r="D22" s="57">
        <f>D20-D21</f>
        <v>0</v>
      </c>
      <c r="E22" s="57">
        <f t="shared" ref="E22:Y22" si="28">E20-E21</f>
        <v>2928.8541666666661</v>
      </c>
      <c r="F22" s="57">
        <f t="shared" si="28"/>
        <v>3130.7291666666661</v>
      </c>
      <c r="G22" s="57">
        <f t="shared" si="28"/>
        <v>3214.6041666666661</v>
      </c>
      <c r="H22" s="57">
        <f t="shared" si="28"/>
        <v>3450.7191666666658</v>
      </c>
      <c r="I22" s="57">
        <f t="shared" si="28"/>
        <v>3689.3689666666669</v>
      </c>
      <c r="J22" s="57">
        <f t="shared" si="28"/>
        <v>3930.6042626666676</v>
      </c>
      <c r="K22" s="57">
        <f t="shared" si="28"/>
        <v>4174.4767645866687</v>
      </c>
      <c r="L22" s="57">
        <f t="shared" si="28"/>
        <v>4842.6600732670686</v>
      </c>
      <c r="M22" s="57">
        <f t="shared" si="28"/>
        <v>5100.3986913990775</v>
      </c>
      <c r="N22" s="57">
        <f t="shared" si="28"/>
        <v>5361.1045818937237</v>
      </c>
      <c r="O22" s="57">
        <f t="shared" si="28"/>
        <v>5624.8370901982653</v>
      </c>
      <c r="P22" s="57">
        <f t="shared" si="28"/>
        <v>5891.6567486688964</v>
      </c>
      <c r="Q22" s="57">
        <f t="shared" si="28"/>
        <v>6106.9378003089441</v>
      </c>
      <c r="R22" s="57">
        <f t="shared" si="28"/>
        <v>6270.7432229817878</v>
      </c>
      <c r="S22" s="57">
        <f t="shared" si="28"/>
        <v>6437.8247541080891</v>
      </c>
      <c r="T22" s="57">
        <f t="shared" si="28"/>
        <v>6608.2479158569186</v>
      </c>
      <c r="U22" s="57">
        <f t="shared" si="28"/>
        <v>6782.0795408407248</v>
      </c>
      <c r="V22" s="57">
        <f t="shared" si="28"/>
        <v>6959.3877983242037</v>
      </c>
      <c r="W22" s="57">
        <f t="shared" si="28"/>
        <v>7140.2422209573579</v>
      </c>
      <c r="X22" s="57">
        <f t="shared" si="28"/>
        <v>7324.7137320431702</v>
      </c>
      <c r="Y22" s="57">
        <f t="shared" si="28"/>
        <v>7512.8746733507014</v>
      </c>
      <c r="Z22" s="57">
        <f t="shared" ref="Z22:AF22" si="29">Z20-Z21</f>
        <v>7704.7988334843812</v>
      </c>
      <c r="AA22" s="57">
        <f t="shared" si="29"/>
        <v>7900.5614768207379</v>
      </c>
      <c r="AB22" s="57">
        <f t="shared" si="29"/>
        <v>8100.2393730238164</v>
      </c>
      <c r="AC22" s="57">
        <f t="shared" si="29"/>
        <v>8303.9108271509613</v>
      </c>
      <c r="AD22" s="57">
        <f t="shared" si="29"/>
        <v>8511.6557103606483</v>
      </c>
      <c r="AE22" s="57">
        <f t="shared" si="29"/>
        <v>8723.5554912345269</v>
      </c>
      <c r="AF22" s="57">
        <f t="shared" si="29"/>
        <v>8939.6932677258847</v>
      </c>
      <c r="AG22" s="57">
        <f t="shared" ref="AG22:AJ22" si="30">AG20-AG21</f>
        <v>9160.1537997470714</v>
      </c>
      <c r="AH22" s="57">
        <f t="shared" si="30"/>
        <v>9385.0235424086804</v>
      </c>
      <c r="AI22" s="57">
        <f t="shared" si="30"/>
        <v>0</v>
      </c>
      <c r="AJ22" s="57">
        <f t="shared" si="30"/>
        <v>0</v>
      </c>
    </row>
    <row r="23" spans="2:36" x14ac:dyDescent="0.2">
      <c r="B23" s="27" t="s">
        <v>8</v>
      </c>
      <c r="C23" s="25" t="s">
        <v>30</v>
      </c>
      <c r="D23" s="33">
        <f>-D22*Hipótesis!$E$22%</f>
        <v>0</v>
      </c>
      <c r="E23" s="33">
        <f>-E22*Hipótesis!$E$22%</f>
        <v>-732.21354166666652</v>
      </c>
      <c r="F23" s="33">
        <f>-F22*Hipótesis!$E$22%</f>
        <v>-782.68229166666652</v>
      </c>
      <c r="G23" s="33">
        <f>-G22*Hipótesis!$E$22%</f>
        <v>-803.65104166666652</v>
      </c>
      <c r="H23" s="33">
        <f>-H22*Hipótesis!$E$22%</f>
        <v>-862.67979166666646</v>
      </c>
      <c r="I23" s="33">
        <f>-I22*Hipótesis!$E$22%</f>
        <v>-922.34224166666672</v>
      </c>
      <c r="J23" s="33">
        <f>-J22*Hipótesis!$E$22%</f>
        <v>-982.65106566666691</v>
      </c>
      <c r="K23" s="33">
        <f>-K22*Hipótesis!$E$22%</f>
        <v>-1043.6191911466672</v>
      </c>
      <c r="L23" s="33">
        <f>-L22*Hipótesis!$E$22%</f>
        <v>-1210.6650183167671</v>
      </c>
      <c r="M23" s="33">
        <f>-M22*Hipótesis!$E$22%</f>
        <v>-1275.0996728497694</v>
      </c>
      <c r="N23" s="33">
        <f>-N22*Hipótesis!$E$22%</f>
        <v>-1340.2761454734309</v>
      </c>
      <c r="O23" s="33">
        <f>-O22*Hipótesis!$E$22%</f>
        <v>-1406.2092725495663</v>
      </c>
      <c r="P23" s="33">
        <f>-P22*Hipótesis!$E$22%</f>
        <v>-1472.9141871672241</v>
      </c>
      <c r="Q23" s="33">
        <f>-Q22*Hipótesis!$E$22%</f>
        <v>-1526.734450077236</v>
      </c>
      <c r="R23" s="33">
        <f>-R22*Hipótesis!$E$22%</f>
        <v>-1567.6858057454469</v>
      </c>
      <c r="S23" s="33">
        <f>-S22*Hipótesis!$E$22%</f>
        <v>-1609.4561885270223</v>
      </c>
      <c r="T23" s="33">
        <f>-T22*Hipótesis!$E$22%</f>
        <v>-1652.0619789642296</v>
      </c>
      <c r="U23" s="33">
        <f>-U22*Hipótesis!$E$22%</f>
        <v>-1695.5198852101812</v>
      </c>
      <c r="V23" s="33">
        <f>-V22*Hipótesis!$E$22%</f>
        <v>-1739.8469495810509</v>
      </c>
      <c r="W23" s="33">
        <f>-W22*Hipótesis!$E$22%</f>
        <v>-1785.0605552393395</v>
      </c>
      <c r="X23" s="33">
        <f>-X22*Hipótesis!$E$22%</f>
        <v>-1831.1784330107926</v>
      </c>
      <c r="Y23" s="33">
        <f>-Y22*Hipótesis!$E$22%</f>
        <v>-1878.2186683376754</v>
      </c>
      <c r="Z23" s="33">
        <f>-Z22*Hipótesis!$E$22%</f>
        <v>-1926.1997083710953</v>
      </c>
      <c r="AA23" s="33">
        <f>-AA22*Hipótesis!$E$22%</f>
        <v>-1975.1403692051845</v>
      </c>
      <c r="AB23" s="33">
        <f>-AB22*Hipótesis!$E$22%</f>
        <v>-2025.0598432559541</v>
      </c>
      <c r="AC23" s="33">
        <f>-AC22*Hipótesis!$E$22%</f>
        <v>-2075.9777067877403</v>
      </c>
      <c r="AD23" s="33">
        <f>-AD22*Hipótesis!$E$22%</f>
        <v>-2127.9139275901621</v>
      </c>
      <c r="AE23" s="33">
        <f>-AE22*Hipótesis!$E$22%</f>
        <v>-2180.8888728086317</v>
      </c>
      <c r="AF23" s="33">
        <f>-AF22*Hipótesis!$E$22%</f>
        <v>-2234.9233169314712</v>
      </c>
      <c r="AG23" s="33">
        <f>-AG22*Hipótesis!$E$22%</f>
        <v>-2290.0384499367678</v>
      </c>
      <c r="AH23" s="33">
        <f>-AH22*Hipótesis!$E$22%</f>
        <v>-2346.2558856021701</v>
      </c>
      <c r="AI23" s="33">
        <f>-AI22*Hipótesis!$E$22%</f>
        <v>0</v>
      </c>
      <c r="AJ23" s="33">
        <f>-AJ22*Hipótesis!$E$22%</f>
        <v>0</v>
      </c>
    </row>
    <row r="24" spans="2:36" x14ac:dyDescent="0.2">
      <c r="B24" s="55" t="s">
        <v>48</v>
      </c>
      <c r="C24" s="56" t="s">
        <v>30</v>
      </c>
      <c r="D24" s="57">
        <f>D22+D23</f>
        <v>0</v>
      </c>
      <c r="E24" s="57">
        <f t="shared" ref="E24:Y24" si="31">E22+E23</f>
        <v>2196.6406249999995</v>
      </c>
      <c r="F24" s="57">
        <f t="shared" si="31"/>
        <v>2348.0468749999995</v>
      </c>
      <c r="G24" s="57">
        <f t="shared" si="31"/>
        <v>2410.9531249999995</v>
      </c>
      <c r="H24" s="57">
        <f t="shared" si="31"/>
        <v>2588.0393749999994</v>
      </c>
      <c r="I24" s="57">
        <f t="shared" si="31"/>
        <v>2767.0267250000002</v>
      </c>
      <c r="J24" s="57">
        <f t="shared" si="31"/>
        <v>2947.9531970000007</v>
      </c>
      <c r="K24" s="57">
        <f t="shared" si="31"/>
        <v>3130.8575734400015</v>
      </c>
      <c r="L24" s="57">
        <f t="shared" si="31"/>
        <v>3631.9950549503014</v>
      </c>
      <c r="M24" s="57">
        <f t="shared" si="31"/>
        <v>3825.2990185493081</v>
      </c>
      <c r="N24" s="57">
        <f t="shared" si="31"/>
        <v>4020.8284364202927</v>
      </c>
      <c r="O24" s="57">
        <f t="shared" si="31"/>
        <v>4218.6278176486994</v>
      </c>
      <c r="P24" s="57">
        <f t="shared" si="31"/>
        <v>4418.7425615016728</v>
      </c>
      <c r="Q24" s="57">
        <f t="shared" si="31"/>
        <v>4580.2033502317081</v>
      </c>
      <c r="R24" s="57">
        <f t="shared" si="31"/>
        <v>4703.0574172363413</v>
      </c>
      <c r="S24" s="57">
        <f t="shared" si="31"/>
        <v>4828.3685655810668</v>
      </c>
      <c r="T24" s="57">
        <f t="shared" si="31"/>
        <v>4956.1859368926889</v>
      </c>
      <c r="U24" s="57">
        <f t="shared" si="31"/>
        <v>5086.5596556305436</v>
      </c>
      <c r="V24" s="57">
        <f t="shared" si="31"/>
        <v>5219.5408487431523</v>
      </c>
      <c r="W24" s="57">
        <f t="shared" si="31"/>
        <v>5355.1816657180188</v>
      </c>
      <c r="X24" s="57">
        <f t="shared" si="31"/>
        <v>5493.5352990323772</v>
      </c>
      <c r="Y24" s="57">
        <f t="shared" si="31"/>
        <v>5634.6560050130265</v>
      </c>
      <c r="Z24" s="57">
        <f t="shared" ref="Z24:AF24" si="32">Z22+Z23</f>
        <v>5778.5991251132855</v>
      </c>
      <c r="AA24" s="57">
        <f t="shared" si="32"/>
        <v>5925.4211076155534</v>
      </c>
      <c r="AB24" s="57">
        <f t="shared" si="32"/>
        <v>6075.1795297678618</v>
      </c>
      <c r="AC24" s="57">
        <f t="shared" si="32"/>
        <v>6227.933120363221</v>
      </c>
      <c r="AD24" s="57">
        <f t="shared" si="32"/>
        <v>6383.7417827704867</v>
      </c>
      <c r="AE24" s="57">
        <f t="shared" si="32"/>
        <v>6542.6666184258956</v>
      </c>
      <c r="AF24" s="57">
        <f t="shared" si="32"/>
        <v>6704.7699507944135</v>
      </c>
      <c r="AG24" s="57">
        <f t="shared" ref="AG24:AJ24" si="33">AG22+AG23</f>
        <v>6870.1153498103031</v>
      </c>
      <c r="AH24" s="57">
        <f t="shared" si="33"/>
        <v>7038.7676568065108</v>
      </c>
      <c r="AI24" s="57">
        <f t="shared" si="33"/>
        <v>0</v>
      </c>
      <c r="AJ24" s="57">
        <f t="shared" si="33"/>
        <v>0</v>
      </c>
    </row>
    <row r="25" spans="2:36" x14ac:dyDescent="0.2"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</row>
    <row r="26" spans="2:36" x14ac:dyDescent="0.2"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</row>
    <row r="27" spans="2:36" x14ac:dyDescent="0.2">
      <c r="B27" s="35" t="s">
        <v>35</v>
      </c>
      <c r="C27" s="32"/>
      <c r="D27" s="32"/>
      <c r="E27" s="32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spans="2:36" x14ac:dyDescent="0.2"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spans="2:36" x14ac:dyDescent="0.2">
      <c r="B29" s="27" t="s">
        <v>28</v>
      </c>
      <c r="C29" s="27" t="s">
        <v>27</v>
      </c>
      <c r="D29" s="27">
        <f>+D13</f>
        <v>2025</v>
      </c>
      <c r="E29" s="44">
        <f t="shared" ref="E29:Y29" si="34">+E13</f>
        <v>2026</v>
      </c>
      <c r="F29" s="44">
        <f t="shared" si="34"/>
        <v>2027</v>
      </c>
      <c r="G29" s="44">
        <f t="shared" si="34"/>
        <v>2028</v>
      </c>
      <c r="H29" s="44">
        <f t="shared" si="34"/>
        <v>2029</v>
      </c>
      <c r="I29" s="44">
        <f t="shared" si="34"/>
        <v>2030</v>
      </c>
      <c r="J29" s="44">
        <f t="shared" si="34"/>
        <v>2031</v>
      </c>
      <c r="K29" s="44">
        <f t="shared" si="34"/>
        <v>2032</v>
      </c>
      <c r="L29" s="44">
        <f t="shared" si="34"/>
        <v>2033</v>
      </c>
      <c r="M29" s="44">
        <f t="shared" si="34"/>
        <v>2034</v>
      </c>
      <c r="N29" s="44">
        <f t="shared" si="34"/>
        <v>2035</v>
      </c>
      <c r="O29" s="44">
        <f t="shared" si="34"/>
        <v>2036</v>
      </c>
      <c r="P29" s="44">
        <f t="shared" si="34"/>
        <v>2037</v>
      </c>
      <c r="Q29" s="44">
        <f t="shared" si="34"/>
        <v>2038</v>
      </c>
      <c r="R29" s="44">
        <f t="shared" si="34"/>
        <v>2039</v>
      </c>
      <c r="S29" s="44">
        <f t="shared" si="34"/>
        <v>2040</v>
      </c>
      <c r="T29" s="44">
        <f t="shared" si="34"/>
        <v>2041</v>
      </c>
      <c r="U29" s="44">
        <f t="shared" si="34"/>
        <v>2042</v>
      </c>
      <c r="V29" s="44">
        <f t="shared" si="34"/>
        <v>2043</v>
      </c>
      <c r="W29" s="44">
        <f t="shared" si="34"/>
        <v>2044</v>
      </c>
      <c r="X29" s="44">
        <f t="shared" si="34"/>
        <v>2045</v>
      </c>
      <c r="Y29" s="44">
        <f t="shared" si="34"/>
        <v>2046</v>
      </c>
      <c r="Z29" s="64">
        <f t="shared" ref="Z29:AF29" si="35">+Z13</f>
        <v>2047</v>
      </c>
      <c r="AA29" s="64">
        <f t="shared" si="35"/>
        <v>2048</v>
      </c>
      <c r="AB29" s="64">
        <f t="shared" si="35"/>
        <v>2049</v>
      </c>
      <c r="AC29" s="64">
        <f t="shared" si="35"/>
        <v>2050</v>
      </c>
      <c r="AD29" s="64">
        <f t="shared" si="35"/>
        <v>2051</v>
      </c>
      <c r="AE29" s="64">
        <f t="shared" si="35"/>
        <v>2052</v>
      </c>
      <c r="AF29" s="64">
        <f t="shared" si="35"/>
        <v>2053</v>
      </c>
      <c r="AG29" s="64">
        <f t="shared" ref="AG29:AJ29" si="36">+AG13</f>
        <v>2054</v>
      </c>
      <c r="AH29" s="64">
        <f t="shared" si="36"/>
        <v>2055</v>
      </c>
      <c r="AI29" s="64">
        <f t="shared" si="36"/>
        <v>2056</v>
      </c>
      <c r="AJ29" s="64">
        <f t="shared" si="36"/>
        <v>2057</v>
      </c>
    </row>
    <row r="30" spans="2:36" x14ac:dyDescent="0.2">
      <c r="B30" s="27" t="s">
        <v>29</v>
      </c>
      <c r="C30" s="25" t="s">
        <v>30</v>
      </c>
      <c r="D30" s="33">
        <f>D14</f>
        <v>0</v>
      </c>
      <c r="E30" s="33">
        <f t="shared" ref="E30:X34" si="37">E14</f>
        <v>7637.5</v>
      </c>
      <c r="F30" s="33">
        <f t="shared" si="37"/>
        <v>7637.5</v>
      </c>
      <c r="G30" s="33">
        <f t="shared" si="37"/>
        <v>7637.5</v>
      </c>
      <c r="H30" s="33">
        <f t="shared" si="37"/>
        <v>7790.25</v>
      </c>
      <c r="I30" s="33">
        <f t="shared" si="37"/>
        <v>7946.0550000000003</v>
      </c>
      <c r="J30" s="33">
        <f t="shared" si="37"/>
        <v>8104.9761000000008</v>
      </c>
      <c r="K30" s="33">
        <f t="shared" si="37"/>
        <v>8267.0756220000021</v>
      </c>
      <c r="L30" s="33">
        <f t="shared" si="37"/>
        <v>8854.0379911620021</v>
      </c>
      <c r="M30" s="33">
        <f t="shared" si="37"/>
        <v>9031.1187509852425</v>
      </c>
      <c r="N30" s="33">
        <f t="shared" si="37"/>
        <v>9211.7411260049466</v>
      </c>
      <c r="O30" s="33">
        <f t="shared" si="37"/>
        <v>9395.9759485250452</v>
      </c>
      <c r="P30" s="33">
        <f t="shared" si="37"/>
        <v>9583.8954674955457</v>
      </c>
      <c r="Q30" s="33">
        <f t="shared" si="37"/>
        <v>9775.5733768454593</v>
      </c>
      <c r="R30" s="33">
        <f t="shared" si="37"/>
        <v>9971.084844382367</v>
      </c>
      <c r="S30" s="33">
        <f t="shared" si="37"/>
        <v>10170.506541270013</v>
      </c>
      <c r="T30" s="33">
        <f t="shared" si="37"/>
        <v>10373.916672095414</v>
      </c>
      <c r="U30" s="33">
        <f t="shared" si="37"/>
        <v>10581.395005537324</v>
      </c>
      <c r="V30" s="33">
        <f t="shared" si="37"/>
        <v>10793.022905648069</v>
      </c>
      <c r="W30" s="33">
        <f t="shared" si="37"/>
        <v>11008.883363761033</v>
      </c>
      <c r="X30" s="33">
        <f t="shared" si="37"/>
        <v>11229.061031036254</v>
      </c>
      <c r="Y30" s="33">
        <f t="shared" ref="Y30:AF30" si="38">Y14</f>
        <v>11453.64225165698</v>
      </c>
      <c r="Z30" s="33">
        <f t="shared" si="38"/>
        <v>11682.715096690119</v>
      </c>
      <c r="AA30" s="33">
        <f t="shared" si="38"/>
        <v>11916.369398623923</v>
      </c>
      <c r="AB30" s="33">
        <f t="shared" si="38"/>
        <v>12154.696786596398</v>
      </c>
      <c r="AC30" s="33">
        <f t="shared" si="38"/>
        <v>12397.790722328327</v>
      </c>
      <c r="AD30" s="33">
        <f t="shared" si="38"/>
        <v>12645.746536774896</v>
      </c>
      <c r="AE30" s="33">
        <f t="shared" si="38"/>
        <v>12898.661467510394</v>
      </c>
      <c r="AF30" s="33">
        <f t="shared" si="38"/>
        <v>13156.634696860601</v>
      </c>
      <c r="AG30" s="33">
        <f t="shared" ref="AG30:AJ30" si="39">AG14</f>
        <v>13419.767390797815</v>
      </c>
      <c r="AH30" s="33">
        <f t="shared" si="39"/>
        <v>13688.162738613772</v>
      </c>
      <c r="AI30" s="33">
        <f t="shared" si="39"/>
        <v>0</v>
      </c>
      <c r="AJ30" s="33">
        <f t="shared" si="39"/>
        <v>0</v>
      </c>
    </row>
    <row r="31" spans="2:36" x14ac:dyDescent="0.2">
      <c r="B31" s="27" t="s">
        <v>1</v>
      </c>
      <c r="C31" s="25" t="s">
        <v>30</v>
      </c>
      <c r="D31" s="33">
        <f t="shared" ref="D31:S34" si="40">D15</f>
        <v>0</v>
      </c>
      <c r="E31" s="33">
        <f t="shared" si="40"/>
        <v>-117.5</v>
      </c>
      <c r="F31" s="33">
        <f t="shared" si="40"/>
        <v>-117.5</v>
      </c>
      <c r="G31" s="33">
        <f t="shared" si="40"/>
        <v>-117.5</v>
      </c>
      <c r="H31" s="33">
        <f t="shared" si="40"/>
        <v>-117.5</v>
      </c>
      <c r="I31" s="33">
        <f t="shared" si="40"/>
        <v>-117.5</v>
      </c>
      <c r="J31" s="33">
        <f t="shared" si="40"/>
        <v>-117.5</v>
      </c>
      <c r="K31" s="33">
        <f t="shared" si="40"/>
        <v>-117.5</v>
      </c>
      <c r="L31" s="33">
        <f t="shared" si="40"/>
        <v>-117.5</v>
      </c>
      <c r="M31" s="33">
        <f t="shared" si="40"/>
        <v>-117.5</v>
      </c>
      <c r="N31" s="33">
        <f t="shared" si="40"/>
        <v>-117.5</v>
      </c>
      <c r="O31" s="33">
        <f t="shared" si="40"/>
        <v>-117.5</v>
      </c>
      <c r="P31" s="33">
        <f t="shared" si="40"/>
        <v>-117.5</v>
      </c>
      <c r="Q31" s="33">
        <f t="shared" si="40"/>
        <v>-117.5</v>
      </c>
      <c r="R31" s="33">
        <f t="shared" si="40"/>
        <v>-117.5</v>
      </c>
      <c r="S31" s="33">
        <f t="shared" si="40"/>
        <v>-117.5</v>
      </c>
      <c r="T31" s="33">
        <f t="shared" si="37"/>
        <v>-117.5</v>
      </c>
      <c r="U31" s="33">
        <f t="shared" si="37"/>
        <v>-117.5</v>
      </c>
      <c r="V31" s="33">
        <f t="shared" si="37"/>
        <v>-117.5</v>
      </c>
      <c r="W31" s="33">
        <f t="shared" si="37"/>
        <v>-117.5</v>
      </c>
      <c r="X31" s="33">
        <f t="shared" si="37"/>
        <v>-117.5</v>
      </c>
      <c r="Y31" s="33">
        <f t="shared" ref="Y31:AF31" si="41">Y15</f>
        <v>-117.5</v>
      </c>
      <c r="Z31" s="33">
        <f t="shared" si="41"/>
        <v>-117.5</v>
      </c>
      <c r="AA31" s="33">
        <f t="shared" si="41"/>
        <v>-117.5</v>
      </c>
      <c r="AB31" s="33">
        <f t="shared" si="41"/>
        <v>-117.5</v>
      </c>
      <c r="AC31" s="33">
        <f t="shared" si="41"/>
        <v>-117.5</v>
      </c>
      <c r="AD31" s="33">
        <f t="shared" si="41"/>
        <v>-117.5</v>
      </c>
      <c r="AE31" s="33">
        <f t="shared" si="41"/>
        <v>-117.5</v>
      </c>
      <c r="AF31" s="33">
        <f t="shared" si="41"/>
        <v>-117.5</v>
      </c>
      <c r="AG31" s="33">
        <f t="shared" ref="AG31:AJ31" si="42">AG15</f>
        <v>-117.5</v>
      </c>
      <c r="AH31" s="33">
        <f t="shared" si="42"/>
        <v>-117.5</v>
      </c>
      <c r="AI31" s="33">
        <f t="shared" si="42"/>
        <v>0</v>
      </c>
      <c r="AJ31" s="33">
        <f t="shared" si="42"/>
        <v>0</v>
      </c>
    </row>
    <row r="32" spans="2:36" x14ac:dyDescent="0.2">
      <c r="B32" s="55" t="s">
        <v>2</v>
      </c>
      <c r="C32" s="58" t="s">
        <v>30</v>
      </c>
      <c r="D32" s="59">
        <f t="shared" si="40"/>
        <v>0</v>
      </c>
      <c r="E32" s="59">
        <f t="shared" si="37"/>
        <v>7520</v>
      </c>
      <c r="F32" s="59">
        <f t="shared" si="37"/>
        <v>7637.5</v>
      </c>
      <c r="G32" s="59">
        <f t="shared" si="37"/>
        <v>7637.5</v>
      </c>
      <c r="H32" s="59">
        <f t="shared" si="37"/>
        <v>7790.25</v>
      </c>
      <c r="I32" s="59">
        <f t="shared" si="37"/>
        <v>7946.0550000000003</v>
      </c>
      <c r="J32" s="59">
        <f t="shared" si="37"/>
        <v>8104.9761000000008</v>
      </c>
      <c r="K32" s="59">
        <f t="shared" si="37"/>
        <v>8267.0756220000021</v>
      </c>
      <c r="L32" s="59">
        <f t="shared" si="37"/>
        <v>8854.0379911620021</v>
      </c>
      <c r="M32" s="59">
        <f t="shared" si="37"/>
        <v>9031.1187509852425</v>
      </c>
      <c r="N32" s="59">
        <f t="shared" si="37"/>
        <v>9211.7411260049466</v>
      </c>
      <c r="O32" s="59">
        <f t="shared" si="37"/>
        <v>9395.9759485250452</v>
      </c>
      <c r="P32" s="59">
        <f t="shared" si="37"/>
        <v>9583.8954674955457</v>
      </c>
      <c r="Q32" s="59">
        <f t="shared" si="37"/>
        <v>9775.5733768454593</v>
      </c>
      <c r="R32" s="59">
        <f t="shared" si="37"/>
        <v>9971.084844382367</v>
      </c>
      <c r="S32" s="59">
        <f t="shared" si="37"/>
        <v>10170.506541270013</v>
      </c>
      <c r="T32" s="59">
        <f t="shared" si="37"/>
        <v>10373.916672095414</v>
      </c>
      <c r="U32" s="59">
        <f t="shared" si="37"/>
        <v>10581.395005537324</v>
      </c>
      <c r="V32" s="59">
        <f t="shared" si="37"/>
        <v>10793.022905648069</v>
      </c>
      <c r="W32" s="59">
        <f t="shared" si="37"/>
        <v>11008.883363761033</v>
      </c>
      <c r="X32" s="59">
        <f t="shared" si="37"/>
        <v>11229.061031036254</v>
      </c>
      <c r="Y32" s="59">
        <f t="shared" ref="Y32:AF32" si="43">Y16</f>
        <v>11453.64225165698</v>
      </c>
      <c r="Z32" s="59">
        <f t="shared" si="43"/>
        <v>11682.715096690119</v>
      </c>
      <c r="AA32" s="59">
        <f t="shared" si="43"/>
        <v>11916.369398623923</v>
      </c>
      <c r="AB32" s="59">
        <f t="shared" si="43"/>
        <v>12154.696786596398</v>
      </c>
      <c r="AC32" s="59">
        <f t="shared" si="43"/>
        <v>12397.790722328327</v>
      </c>
      <c r="AD32" s="59">
        <f t="shared" si="43"/>
        <v>12645.746536774896</v>
      </c>
      <c r="AE32" s="59">
        <f t="shared" si="43"/>
        <v>12898.661467510394</v>
      </c>
      <c r="AF32" s="59">
        <f t="shared" si="43"/>
        <v>13156.634696860601</v>
      </c>
      <c r="AG32" s="59">
        <f t="shared" ref="AG32:AJ32" si="44">AG16</f>
        <v>13419.767390797815</v>
      </c>
      <c r="AH32" s="59">
        <f t="shared" si="44"/>
        <v>13688.162738613772</v>
      </c>
      <c r="AI32" s="59">
        <f t="shared" si="44"/>
        <v>0</v>
      </c>
      <c r="AJ32" s="59">
        <f t="shared" si="44"/>
        <v>0</v>
      </c>
    </row>
    <row r="33" spans="2:36" x14ac:dyDescent="0.2">
      <c r="B33" s="27" t="s">
        <v>16</v>
      </c>
      <c r="C33" s="25" t="s">
        <v>30</v>
      </c>
      <c r="D33" s="33">
        <f t="shared" si="40"/>
        <v>0</v>
      </c>
      <c r="E33" s="33">
        <f t="shared" si="37"/>
        <v>1250</v>
      </c>
      <c r="F33" s="33">
        <f t="shared" si="37"/>
        <v>1275</v>
      </c>
      <c r="G33" s="33">
        <f t="shared" si="37"/>
        <v>1300.5</v>
      </c>
      <c r="H33" s="33">
        <f t="shared" si="37"/>
        <v>1326.51</v>
      </c>
      <c r="I33" s="33">
        <f t="shared" si="37"/>
        <v>1353.0402000000001</v>
      </c>
      <c r="J33" s="33">
        <f t="shared" si="37"/>
        <v>1380.1010040000001</v>
      </c>
      <c r="K33" s="33">
        <f t="shared" si="37"/>
        <v>1407.7030240800002</v>
      </c>
      <c r="L33" s="33">
        <f t="shared" si="37"/>
        <v>1435.8570845616</v>
      </c>
      <c r="M33" s="33">
        <f t="shared" si="37"/>
        <v>1464.5742262528322</v>
      </c>
      <c r="N33" s="33">
        <f t="shared" si="37"/>
        <v>1493.8657107778888</v>
      </c>
      <c r="O33" s="33">
        <f t="shared" si="37"/>
        <v>1523.7430249934466</v>
      </c>
      <c r="P33" s="33">
        <f t="shared" si="37"/>
        <v>1554.2178854933154</v>
      </c>
      <c r="Q33" s="33">
        <f t="shared" si="37"/>
        <v>1585.3022432031819</v>
      </c>
      <c r="R33" s="33">
        <f t="shared" si="37"/>
        <v>1617.0082880672458</v>
      </c>
      <c r="S33" s="33">
        <f t="shared" si="37"/>
        <v>1649.3484538285904</v>
      </c>
      <c r="T33" s="33">
        <f t="shared" si="37"/>
        <v>1682.3354229051624</v>
      </c>
      <c r="U33" s="33">
        <f t="shared" si="37"/>
        <v>1715.9821313632658</v>
      </c>
      <c r="V33" s="33">
        <f t="shared" si="37"/>
        <v>1750.3017739905313</v>
      </c>
      <c r="W33" s="33">
        <f t="shared" si="37"/>
        <v>1785.3078094703419</v>
      </c>
      <c r="X33" s="33">
        <f t="shared" si="37"/>
        <v>1821.0139656597487</v>
      </c>
      <c r="Y33" s="33">
        <f t="shared" ref="Y33:AF33" si="45">Y17</f>
        <v>1857.4342449729438</v>
      </c>
      <c r="Z33" s="33">
        <f t="shared" si="45"/>
        <v>1894.5829298724029</v>
      </c>
      <c r="AA33" s="33">
        <f t="shared" si="45"/>
        <v>1932.4745884698509</v>
      </c>
      <c r="AB33" s="33">
        <f t="shared" si="45"/>
        <v>1971.1240802392479</v>
      </c>
      <c r="AC33" s="33">
        <f t="shared" si="45"/>
        <v>2010.5465618440328</v>
      </c>
      <c r="AD33" s="33">
        <f t="shared" si="45"/>
        <v>2050.7574930809133</v>
      </c>
      <c r="AE33" s="33">
        <f t="shared" si="45"/>
        <v>2091.772642942532</v>
      </c>
      <c r="AF33" s="33">
        <f t="shared" si="45"/>
        <v>2133.6080958013822</v>
      </c>
      <c r="AG33" s="33">
        <f t="shared" ref="AG33:AJ33" si="46">AG17</f>
        <v>2176.2802577174098</v>
      </c>
      <c r="AH33" s="33">
        <f t="shared" si="46"/>
        <v>2219.8058628717581</v>
      </c>
      <c r="AI33" s="33">
        <f t="shared" si="46"/>
        <v>0</v>
      </c>
      <c r="AJ33" s="33">
        <f t="shared" si="46"/>
        <v>0</v>
      </c>
    </row>
    <row r="34" spans="2:36" s="23" customFormat="1" x14ac:dyDescent="0.2">
      <c r="B34" s="55" t="s">
        <v>3</v>
      </c>
      <c r="C34" s="56" t="s">
        <v>30</v>
      </c>
      <c r="D34" s="57">
        <f t="shared" si="40"/>
        <v>0</v>
      </c>
      <c r="E34" s="57">
        <f>E18</f>
        <v>6270</v>
      </c>
      <c r="F34" s="57">
        <f t="shared" si="37"/>
        <v>6362.5</v>
      </c>
      <c r="G34" s="57">
        <f t="shared" si="37"/>
        <v>6337</v>
      </c>
      <c r="H34" s="57">
        <f t="shared" si="37"/>
        <v>6463.74</v>
      </c>
      <c r="I34" s="57">
        <f t="shared" si="37"/>
        <v>6593.0147999999999</v>
      </c>
      <c r="J34" s="57">
        <f t="shared" si="37"/>
        <v>6724.8750960000007</v>
      </c>
      <c r="K34" s="57">
        <f t="shared" si="37"/>
        <v>6859.3725979200017</v>
      </c>
      <c r="L34" s="57">
        <f t="shared" si="37"/>
        <v>7418.1809066004025</v>
      </c>
      <c r="M34" s="57">
        <f t="shared" si="37"/>
        <v>7566.5445247324105</v>
      </c>
      <c r="N34" s="57">
        <f t="shared" si="37"/>
        <v>7717.8754152270576</v>
      </c>
      <c r="O34" s="57">
        <f t="shared" si="37"/>
        <v>7872.2329235315983</v>
      </c>
      <c r="P34" s="57">
        <f t="shared" si="37"/>
        <v>8029.6775820022303</v>
      </c>
      <c r="Q34" s="57">
        <f t="shared" si="37"/>
        <v>8190.2711336422772</v>
      </c>
      <c r="R34" s="57">
        <f t="shared" si="37"/>
        <v>8354.0765563151217</v>
      </c>
      <c r="S34" s="57">
        <f t="shared" si="37"/>
        <v>8521.158087441423</v>
      </c>
      <c r="T34" s="57">
        <f t="shared" si="37"/>
        <v>8691.5812491902525</v>
      </c>
      <c r="U34" s="57">
        <f t="shared" si="37"/>
        <v>8865.4128741740587</v>
      </c>
      <c r="V34" s="57">
        <f t="shared" si="37"/>
        <v>9042.7211316575376</v>
      </c>
      <c r="W34" s="57">
        <f t="shared" si="37"/>
        <v>9223.5755542906918</v>
      </c>
      <c r="X34" s="57">
        <f t="shared" si="37"/>
        <v>9408.0470653765042</v>
      </c>
      <c r="Y34" s="57">
        <f t="shared" ref="Y34:AF34" si="47">Y18</f>
        <v>9596.2080066840354</v>
      </c>
      <c r="Z34" s="57">
        <f t="shared" si="47"/>
        <v>9788.1321668177152</v>
      </c>
      <c r="AA34" s="57">
        <f t="shared" si="47"/>
        <v>9983.8948101540718</v>
      </c>
      <c r="AB34" s="57">
        <f t="shared" si="47"/>
        <v>10183.57270635715</v>
      </c>
      <c r="AC34" s="57">
        <f t="shared" si="47"/>
        <v>10387.244160484295</v>
      </c>
      <c r="AD34" s="57">
        <f t="shared" si="47"/>
        <v>10594.989043693982</v>
      </c>
      <c r="AE34" s="57">
        <f t="shared" si="47"/>
        <v>10806.888824567861</v>
      </c>
      <c r="AF34" s="57">
        <f t="shared" si="47"/>
        <v>11023.026601059219</v>
      </c>
      <c r="AG34" s="57">
        <f t="shared" ref="AG34:AJ34" si="48">AG18</f>
        <v>11243.487133080405</v>
      </c>
      <c r="AH34" s="57">
        <f t="shared" si="48"/>
        <v>11468.356875742014</v>
      </c>
      <c r="AI34" s="57">
        <f t="shared" si="48"/>
        <v>0</v>
      </c>
      <c r="AJ34" s="57">
        <f t="shared" si="48"/>
        <v>0</v>
      </c>
    </row>
    <row r="35" spans="2:36" x14ac:dyDescent="0.2">
      <c r="B35" s="27" t="s">
        <v>8</v>
      </c>
      <c r="C35" s="25" t="s">
        <v>30</v>
      </c>
      <c r="D35" s="33">
        <f>D23</f>
        <v>0</v>
      </c>
      <c r="E35" s="33">
        <f>-Hipótesis!$E$22%*FC!E20</f>
        <v>-1046.6666666666665</v>
      </c>
      <c r="F35" s="33">
        <f>-Hipótesis!$E$22%*FC!F20</f>
        <v>-1069.7916666666665</v>
      </c>
      <c r="G35" s="33">
        <f>-Hipótesis!$E$22%*FC!G20</f>
        <v>-1063.4166666666665</v>
      </c>
      <c r="H35" s="33">
        <f>-Hipótesis!$E$22%*FC!H20</f>
        <v>-1095.1016666666665</v>
      </c>
      <c r="I35" s="33">
        <f>-Hipótesis!$E$22%*FC!I20</f>
        <v>-1127.4203666666667</v>
      </c>
      <c r="J35" s="33">
        <f>-Hipótesis!$E$22%*FC!J20</f>
        <v>-1160.3854406666669</v>
      </c>
      <c r="K35" s="33">
        <f>-Hipótesis!$E$22%*FC!K20</f>
        <v>-1194.0098161466672</v>
      </c>
      <c r="L35" s="33">
        <f>-Hipótesis!$E$22%*FC!L20</f>
        <v>-1333.7118933167671</v>
      </c>
      <c r="M35" s="33">
        <f>-Hipótesis!$E$22%*FC!M20</f>
        <v>-1370.8027978497694</v>
      </c>
      <c r="N35" s="33">
        <f>-Hipótesis!$E$22%*FC!N20</f>
        <v>-1408.6355204734309</v>
      </c>
      <c r="O35" s="33">
        <f>-Hipótesis!$E$22%*FC!O20</f>
        <v>-1447.2248975495663</v>
      </c>
      <c r="P35" s="33">
        <f>-Hipótesis!$E$22%*FC!P20</f>
        <v>-1486.5860621672241</v>
      </c>
      <c r="Q35" s="33">
        <f>-Hipótesis!$E$22%*FC!Q20</f>
        <v>-1526.734450077236</v>
      </c>
      <c r="R35" s="33">
        <f>-Hipótesis!$E$22%*FC!R20</f>
        <v>-1567.6858057454469</v>
      </c>
      <c r="S35" s="33">
        <f>-Hipótesis!$E$22%*FC!S20</f>
        <v>-1609.4561885270223</v>
      </c>
      <c r="T35" s="33">
        <f>-Hipótesis!$E$22%*FC!T20</f>
        <v>-1652.0619789642296</v>
      </c>
      <c r="U35" s="33">
        <f>-Hipótesis!$E$22%*FC!U20</f>
        <v>-1695.5198852101812</v>
      </c>
      <c r="V35" s="33">
        <f>-Hipótesis!$E$22%*FC!V20</f>
        <v>-1739.8469495810509</v>
      </c>
      <c r="W35" s="33">
        <f>-Hipótesis!$E$22%*FC!W20</f>
        <v>-1785.0605552393395</v>
      </c>
      <c r="X35" s="33">
        <f>-Hipótesis!$E$22%*FC!X20</f>
        <v>-1831.1784330107926</v>
      </c>
      <c r="Y35" s="33">
        <f>-Hipótesis!$E$22%*FC!Y20</f>
        <v>-1878.2186683376754</v>
      </c>
      <c r="Z35" s="33">
        <f>-Hipótesis!$E$22%*FC!Z20</f>
        <v>-1926.1997083710953</v>
      </c>
      <c r="AA35" s="33">
        <f>-Hipótesis!$E$22%*FC!AA20</f>
        <v>-1975.1403692051845</v>
      </c>
      <c r="AB35" s="33">
        <f>-Hipótesis!$E$22%*FC!AB20</f>
        <v>-2025.0598432559541</v>
      </c>
      <c r="AC35" s="33">
        <f>-Hipótesis!$E$22%*FC!AC20</f>
        <v>-2075.9777067877403</v>
      </c>
      <c r="AD35" s="33">
        <f>-Hipótesis!$E$22%*FC!AD20</f>
        <v>-2127.9139275901621</v>
      </c>
      <c r="AE35" s="33">
        <f>-Hipótesis!$E$22%*FC!AE20</f>
        <v>-2180.8888728086317</v>
      </c>
      <c r="AF35" s="33">
        <f>-Hipótesis!$E$22%*FC!AF20</f>
        <v>-2234.9233169314712</v>
      </c>
      <c r="AG35" s="33">
        <f>-Hipótesis!$E$22%*FC!AG20</f>
        <v>-2290.0384499367678</v>
      </c>
      <c r="AH35" s="33">
        <f>-Hipótesis!$E$22%*FC!AH20</f>
        <v>-2346.2558856021701</v>
      </c>
      <c r="AI35" s="33">
        <f>-Hipótesis!$E$22%*FC!AI20</f>
        <v>0</v>
      </c>
      <c r="AJ35" s="33">
        <f>-Hipótesis!$E$22%*FC!AJ20</f>
        <v>0</v>
      </c>
    </row>
    <row r="36" spans="2:36" s="23" customFormat="1" x14ac:dyDescent="0.2">
      <c r="B36" s="55" t="s">
        <v>36</v>
      </c>
      <c r="C36" s="58" t="s">
        <v>30</v>
      </c>
      <c r="D36" s="59"/>
      <c r="E36" s="59">
        <f>E34+E35</f>
        <v>5223.3333333333339</v>
      </c>
      <c r="F36" s="59">
        <f t="shared" ref="F36:X36" si="49">F34+F35</f>
        <v>5292.7083333333339</v>
      </c>
      <c r="G36" s="59">
        <f t="shared" si="49"/>
        <v>5273.5833333333339</v>
      </c>
      <c r="H36" s="59">
        <f t="shared" si="49"/>
        <v>5368.6383333333333</v>
      </c>
      <c r="I36" s="59">
        <f t="shared" si="49"/>
        <v>5465.5944333333337</v>
      </c>
      <c r="J36" s="59">
        <f t="shared" si="49"/>
        <v>5564.4896553333338</v>
      </c>
      <c r="K36" s="59">
        <f t="shared" si="49"/>
        <v>5665.3627817733341</v>
      </c>
      <c r="L36" s="59">
        <f t="shared" si="49"/>
        <v>6084.4690132836349</v>
      </c>
      <c r="M36" s="59">
        <f t="shared" si="49"/>
        <v>6195.7417268826412</v>
      </c>
      <c r="N36" s="59">
        <f t="shared" si="49"/>
        <v>6309.2398947536267</v>
      </c>
      <c r="O36" s="59">
        <f t="shared" si="49"/>
        <v>6425.0080259820315</v>
      </c>
      <c r="P36" s="59">
        <f t="shared" si="49"/>
        <v>6543.0915198350067</v>
      </c>
      <c r="Q36" s="59">
        <f t="shared" si="49"/>
        <v>6663.5366835650411</v>
      </c>
      <c r="R36" s="59">
        <f t="shared" si="49"/>
        <v>6786.3907505696752</v>
      </c>
      <c r="S36" s="59">
        <f t="shared" si="49"/>
        <v>6911.7018989144008</v>
      </c>
      <c r="T36" s="59">
        <f t="shared" si="49"/>
        <v>7039.5192702260229</v>
      </c>
      <c r="U36" s="59">
        <f t="shared" si="49"/>
        <v>7169.8929889638775</v>
      </c>
      <c r="V36" s="59">
        <f t="shared" si="49"/>
        <v>7302.8741820764862</v>
      </c>
      <c r="W36" s="59">
        <f t="shared" si="49"/>
        <v>7438.5149990513528</v>
      </c>
      <c r="X36" s="59">
        <f t="shared" si="49"/>
        <v>7576.8686323657112</v>
      </c>
      <c r="Y36" s="59">
        <f t="shared" ref="Y36:AF36" si="50">Y34+Y35</f>
        <v>7717.9893383463605</v>
      </c>
      <c r="Z36" s="59">
        <f t="shared" si="50"/>
        <v>7861.9324584466194</v>
      </c>
      <c r="AA36" s="59">
        <f t="shared" si="50"/>
        <v>8008.7544409488873</v>
      </c>
      <c r="AB36" s="59">
        <f t="shared" si="50"/>
        <v>8158.5128631011958</v>
      </c>
      <c r="AC36" s="59">
        <f t="shared" si="50"/>
        <v>8311.2664536965549</v>
      </c>
      <c r="AD36" s="59">
        <f t="shared" si="50"/>
        <v>8467.0751161038206</v>
      </c>
      <c r="AE36" s="59">
        <f t="shared" si="50"/>
        <v>8625.9999517592296</v>
      </c>
      <c r="AF36" s="59">
        <f t="shared" si="50"/>
        <v>8788.1032841277483</v>
      </c>
      <c r="AG36" s="59">
        <f t="shared" ref="AG36:AJ36" si="51">AG34+AG35</f>
        <v>8953.448683143637</v>
      </c>
      <c r="AH36" s="59">
        <f t="shared" si="51"/>
        <v>9122.1009901398447</v>
      </c>
      <c r="AI36" s="59">
        <f t="shared" si="51"/>
        <v>0</v>
      </c>
      <c r="AJ36" s="59">
        <f t="shared" si="51"/>
        <v>0</v>
      </c>
    </row>
    <row r="37" spans="2:36" x14ac:dyDescent="0.2">
      <c r="B37" s="27" t="s">
        <v>12</v>
      </c>
      <c r="C37" s="25" t="s">
        <v>30</v>
      </c>
      <c r="D37" s="33">
        <f>-D9</f>
        <v>0</v>
      </c>
      <c r="E37" s="33">
        <f>-E9</f>
        <v>-62500</v>
      </c>
      <c r="F37" s="33">
        <f>-F9</f>
        <v>0</v>
      </c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</row>
    <row r="38" spans="2:36" x14ac:dyDescent="0.2">
      <c r="B38" s="28" t="s">
        <v>40</v>
      </c>
      <c r="C38" s="26"/>
      <c r="D38" s="33"/>
      <c r="E38" s="33">
        <f>-Hipótesis!E9*Hipótesis!E7</f>
        <v>-7500</v>
      </c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</row>
    <row r="39" spans="2:36" x14ac:dyDescent="0.2">
      <c r="B39" s="28" t="s">
        <v>37</v>
      </c>
      <c r="C39" s="25" t="s">
        <v>30</v>
      </c>
      <c r="D39" s="33"/>
      <c r="E39" s="33"/>
      <c r="F39" s="33"/>
      <c r="G39" s="33"/>
      <c r="H39" s="33">
        <f>IF(H29=YEAR(Hipótesis!$E$15)+25,-$E$37*Hipótesis!$E$14*(1+2%)^Hipótesis!#REF!,0)</f>
        <v>0</v>
      </c>
      <c r="I39" s="33">
        <f>IF(I29=YEAR(Hipótesis!$E$15)+25,-$E$37*Hipótesis!$E$14*(1+2%)^Hipótesis!#REF!,0)</f>
        <v>0</v>
      </c>
      <c r="J39" s="33">
        <f>IF(J29=YEAR(Hipótesis!$E$15)+25,-$E$37*Hipótesis!$E$14*(1+2%)^Hipótesis!#REF!,0)</f>
        <v>0</v>
      </c>
      <c r="K39" s="33">
        <f>IF(K29=YEAR(Hipótesis!$E$15)+25,-$E$37*Hipótesis!$E$14*(1+2%)^Hipótesis!#REF!,0)</f>
        <v>0</v>
      </c>
      <c r="L39" s="33">
        <f>IF(L29=YEAR(Hipótesis!$E$15)+25,-$E$37*Hipótesis!$E$14*(1+2%)^Hipótesis!#REF!,0)</f>
        <v>0</v>
      </c>
      <c r="M39" s="33">
        <f>IF(M29=YEAR(Hipótesis!$E$15)+25,-$E$37*Hipótesis!$E$14*(1+2%)^Hipótesis!#REF!,0)</f>
        <v>0</v>
      </c>
      <c r="N39" s="33">
        <f>IF(N29=YEAR(Hipótesis!$E$15)+25,-$E$37*Hipótesis!$E$14*(1+2%)^Hipótesis!#REF!,0)</f>
        <v>0</v>
      </c>
      <c r="O39" s="33">
        <f>IF(O29=YEAR(Hipótesis!$E$15)+25,-$E$37*Hipótesis!$E$14*(1+2%)^Hipótesis!#REF!,0)</f>
        <v>0</v>
      </c>
      <c r="P39" s="33">
        <f>IF(P29=YEAR(Hipótesis!$E$15)+25,-$E$37*Hipótesis!$E$14*(1+2%)^Hipótesis!#REF!,0)</f>
        <v>0</v>
      </c>
      <c r="Q39" s="33">
        <f>IF(Q29=YEAR(Hipótesis!$E$15)+25,-$E$37*Hipótesis!$E$14*(1+2%)^Hipótesis!#REF!,0)</f>
        <v>0</v>
      </c>
      <c r="R39" s="33">
        <f>IF(R29=YEAR(Hipótesis!$E$15)+25,-$E$37*Hipótesis!$E$14*(1+2%)^Hipótesis!#REF!,0)</f>
        <v>0</v>
      </c>
      <c r="S39" s="33">
        <f>IF(S29=YEAR(Hipótesis!$E$15)+25,-$E$37*Hipótesis!$E$14*(1+2%)^Hipótesis!#REF!,0)</f>
        <v>0</v>
      </c>
      <c r="T39" s="33">
        <f>IF(T29=YEAR(Hipótesis!$E$15)+25,-$E$37*Hipótesis!$E$14*(1+2%)^Hipótesis!#REF!,0)</f>
        <v>0</v>
      </c>
      <c r="U39" s="33">
        <f>IF(U29=YEAR(Hipótesis!$E$15)+25,-$E$37*Hipótesis!$E$14*(1+2%)^Hipótesis!A13,0)</f>
        <v>0</v>
      </c>
      <c r="V39" s="33">
        <f>IF(V29=YEAR(Hipótesis!$E$15)+25,-$E$37*Hipótesis!$E$14*(1+2%)^Hipótesis!B13,0)</f>
        <v>0</v>
      </c>
      <c r="W39" s="33">
        <f>IF(W29=YEAR(Hipótesis!$E$15)+25,-$E$37*Hipótesis!$E$14*(1+2%)^Hipótesis!C13,0)</f>
        <v>0</v>
      </c>
      <c r="X39" s="33">
        <f>IF(X29=YEAR(Hipótesis!$E$15)+25,-$E$37*Hipótesis!$E$14*(1+2%)^Hipótesis!D13,0)</f>
        <v>0</v>
      </c>
      <c r="Y39" s="33">
        <f>IF(Y29=YEAR(Hipótesis!$E$15)+25,-$E$37*Hipótesis!$E$14*(1+2%)^Hipótesis!E13,0)</f>
        <v>0</v>
      </c>
      <c r="Z39" s="33">
        <f>IF(Z29=YEAR(Hipótesis!$E$15)+25,-$E$37*Hipótesis!$E$14*(1+2%)^Hipótesis!F13,0)</f>
        <v>0</v>
      </c>
      <c r="AA39" s="33">
        <f>IF(AA29=YEAR(Hipótesis!$E$15)+25,-$E$37*Hipótesis!$E$14*(1+2%)^Hipótesis!G13,0)</f>
        <v>0</v>
      </c>
      <c r="AB39" s="33">
        <f>IF(AB29=YEAR(Hipótesis!$E$15)+25,-$E$37*Hipótesis!$E$14*(1+2%)^Hipótesis!H13,0)</f>
        <v>0</v>
      </c>
      <c r="AC39" s="33">
        <f>IF(AC29=YEAR(Hipótesis!$E$15)+25,-$E$37*Hipótesis!$E$14*(1+2%)^Hipótesis!I13,0)</f>
        <v>0</v>
      </c>
      <c r="AD39" s="33">
        <f>IF(AD29=YEAR(Hipótesis!$E$15)+Hipótesis!$E$13,-$E$37*Hipótesis!$E$14*(1+2%)^Hipótesis!J13,0)</f>
        <v>0</v>
      </c>
      <c r="AE39" s="33">
        <f>IF(AE29=YEAR(Hipótesis!$E$15)+Hipótesis!$E$13,-$E$37*Hipótesis!$E$14*(1+2%)^Hipótesis!K13,0)</f>
        <v>0</v>
      </c>
      <c r="AF39" s="33">
        <f>IF(AF29=YEAR(Hipótesis!$E$15)+Hipótesis!$E$13,-$E$37*Hipótesis!$E$14*(1+2%)^Hipótesis!L13,0)</f>
        <v>0</v>
      </c>
      <c r="AG39" s="33">
        <f>IF(AG29=YEAR(Hipótesis!$E$15)+Hipótesis!$E$13,-$E$37*Hipótesis!$E$14*(1+2%)^Hipótesis!M13,0)</f>
        <v>0</v>
      </c>
      <c r="AH39" s="33">
        <f>IF(AH29=YEAR(Hipótesis!$E$15)+Hipótesis!$E$13,-$E$37*Hipótesis!$E$14*(1+2%)^Hipótesis!N13,0)</f>
        <v>0</v>
      </c>
      <c r="AI39" s="33">
        <f>IF(AI29=YEAR(Hipótesis!$E$15)+Hipótesis!$E$13,-$E$37*Hipótesis!$E$14*(1+2%)^Hipótesis!O13,0)</f>
        <v>3125</v>
      </c>
      <c r="AJ39" s="33">
        <f>IF(AJ29=YEAR(Hipótesis!$E$15)+25,-$E$37*Hipótesis!$E$14*(1+2%)^Hipótesis!P13,0)</f>
        <v>0</v>
      </c>
    </row>
    <row r="40" spans="2:36" s="23" customFormat="1" x14ac:dyDescent="0.2">
      <c r="B40" s="55" t="s">
        <v>38</v>
      </c>
      <c r="C40" s="58" t="s">
        <v>30</v>
      </c>
      <c r="D40" s="59">
        <f>D39+D37+D36+D38</f>
        <v>0</v>
      </c>
      <c r="E40" s="59">
        <f t="shared" ref="E40:Y40" si="52">E39+E37+E36+E38</f>
        <v>-64776.666666666664</v>
      </c>
      <c r="F40" s="59">
        <f t="shared" si="52"/>
        <v>5292.7083333333339</v>
      </c>
      <c r="G40" s="59">
        <f t="shared" si="52"/>
        <v>5273.5833333333339</v>
      </c>
      <c r="H40" s="59">
        <f t="shared" si="52"/>
        <v>5368.6383333333333</v>
      </c>
      <c r="I40" s="59">
        <f t="shared" si="52"/>
        <v>5465.5944333333337</v>
      </c>
      <c r="J40" s="59">
        <f t="shared" si="52"/>
        <v>5564.4896553333338</v>
      </c>
      <c r="K40" s="59">
        <f t="shared" si="52"/>
        <v>5665.3627817733341</v>
      </c>
      <c r="L40" s="59">
        <f t="shared" si="52"/>
        <v>6084.4690132836349</v>
      </c>
      <c r="M40" s="59">
        <f t="shared" si="52"/>
        <v>6195.7417268826412</v>
      </c>
      <c r="N40" s="59">
        <f t="shared" si="52"/>
        <v>6309.2398947536267</v>
      </c>
      <c r="O40" s="59">
        <f t="shared" si="52"/>
        <v>6425.0080259820315</v>
      </c>
      <c r="P40" s="59">
        <f t="shared" si="52"/>
        <v>6543.0915198350067</v>
      </c>
      <c r="Q40" s="59">
        <f t="shared" si="52"/>
        <v>6663.5366835650411</v>
      </c>
      <c r="R40" s="59">
        <f t="shared" si="52"/>
        <v>6786.3907505696752</v>
      </c>
      <c r="S40" s="59">
        <f t="shared" si="52"/>
        <v>6911.7018989144008</v>
      </c>
      <c r="T40" s="59">
        <f t="shared" si="52"/>
        <v>7039.5192702260229</v>
      </c>
      <c r="U40" s="59">
        <f t="shared" si="52"/>
        <v>7169.8929889638775</v>
      </c>
      <c r="V40" s="59">
        <f t="shared" si="52"/>
        <v>7302.8741820764862</v>
      </c>
      <c r="W40" s="59">
        <f t="shared" si="52"/>
        <v>7438.5149990513528</v>
      </c>
      <c r="X40" s="59">
        <f t="shared" si="52"/>
        <v>7576.8686323657112</v>
      </c>
      <c r="Y40" s="59">
        <f t="shared" si="52"/>
        <v>7717.9893383463605</v>
      </c>
      <c r="Z40" s="59">
        <f t="shared" ref="Z40:AF40" si="53">Z39+Z37+Z36+Z38</f>
        <v>7861.9324584466194</v>
      </c>
      <c r="AA40" s="59">
        <f t="shared" si="53"/>
        <v>8008.7544409488873</v>
      </c>
      <c r="AB40" s="59">
        <f t="shared" si="53"/>
        <v>8158.5128631011958</v>
      </c>
      <c r="AC40" s="59">
        <f t="shared" si="53"/>
        <v>8311.2664536965549</v>
      </c>
      <c r="AD40" s="59">
        <f t="shared" si="53"/>
        <v>8467.0751161038206</v>
      </c>
      <c r="AE40" s="59">
        <f t="shared" si="53"/>
        <v>8625.9999517592296</v>
      </c>
      <c r="AF40" s="59">
        <f t="shared" si="53"/>
        <v>8788.1032841277483</v>
      </c>
      <c r="AG40" s="59">
        <f t="shared" ref="AG40:AJ40" si="54">AG39+AG37+AG36+AG38</f>
        <v>8953.448683143637</v>
      </c>
      <c r="AH40" s="59">
        <f t="shared" si="54"/>
        <v>9122.1009901398447</v>
      </c>
      <c r="AI40" s="59">
        <f t="shared" si="54"/>
        <v>3125</v>
      </c>
      <c r="AJ40" s="59">
        <f t="shared" si="54"/>
        <v>0</v>
      </c>
    </row>
    <row r="41" spans="2:36" x14ac:dyDescent="0.2"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</row>
    <row r="42" spans="2:36" x14ac:dyDescent="0.2"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</row>
    <row r="43" spans="2:36" x14ac:dyDescent="0.2">
      <c r="B43" s="28" t="s">
        <v>39</v>
      </c>
      <c r="C43" s="48">
        <f>IRR(E40:AJ40)</f>
        <v>8.9742008833866072E-2</v>
      </c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</row>
    <row r="44" spans="2:36" x14ac:dyDescent="0.2">
      <c r="B44" s="24" t="s">
        <v>42</v>
      </c>
      <c r="C44" s="48">
        <f>+Hipótesis!E26</f>
        <v>6.3750000000000001E-2</v>
      </c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</row>
    <row r="45" spans="2:36" x14ac:dyDescent="0.2">
      <c r="B45" s="24" t="s">
        <v>74</v>
      </c>
      <c r="C45" s="85">
        <f>+NPV(C44,E40:AJ40)</f>
        <v>19471.613522584525</v>
      </c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</row>
    <row r="46" spans="2:36" x14ac:dyDescent="0.2"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</row>
    <row r="47" spans="2:36" x14ac:dyDescent="0.2">
      <c r="B47" s="35" t="s">
        <v>43</v>
      </c>
      <c r="C47" s="32"/>
      <c r="D47" s="32"/>
      <c r="E47" s="32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spans="2:36" x14ac:dyDescent="0.2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spans="2:36" x14ac:dyDescent="0.2">
      <c r="B49" s="39" t="s">
        <v>28</v>
      </c>
      <c r="C49" s="39" t="s">
        <v>27</v>
      </c>
      <c r="D49" s="39">
        <f>+D29</f>
        <v>2025</v>
      </c>
      <c r="E49" s="44">
        <f t="shared" ref="E49:Y49" si="55">+E29</f>
        <v>2026</v>
      </c>
      <c r="F49" s="44">
        <f t="shared" si="55"/>
        <v>2027</v>
      </c>
      <c r="G49" s="44">
        <f t="shared" si="55"/>
        <v>2028</v>
      </c>
      <c r="H49" s="44">
        <f t="shared" si="55"/>
        <v>2029</v>
      </c>
      <c r="I49" s="44">
        <f t="shared" si="55"/>
        <v>2030</v>
      </c>
      <c r="J49" s="44">
        <f t="shared" si="55"/>
        <v>2031</v>
      </c>
      <c r="K49" s="44">
        <f t="shared" si="55"/>
        <v>2032</v>
      </c>
      <c r="L49" s="44">
        <f t="shared" si="55"/>
        <v>2033</v>
      </c>
      <c r="M49" s="44">
        <f t="shared" si="55"/>
        <v>2034</v>
      </c>
      <c r="N49" s="44">
        <f t="shared" si="55"/>
        <v>2035</v>
      </c>
      <c r="O49" s="44">
        <f t="shared" si="55"/>
        <v>2036</v>
      </c>
      <c r="P49" s="44">
        <f t="shared" si="55"/>
        <v>2037</v>
      </c>
      <c r="Q49" s="44">
        <f t="shared" si="55"/>
        <v>2038</v>
      </c>
      <c r="R49" s="44">
        <f t="shared" si="55"/>
        <v>2039</v>
      </c>
      <c r="S49" s="44">
        <f t="shared" si="55"/>
        <v>2040</v>
      </c>
      <c r="T49" s="44">
        <f t="shared" si="55"/>
        <v>2041</v>
      </c>
      <c r="U49" s="44">
        <f t="shared" si="55"/>
        <v>2042</v>
      </c>
      <c r="V49" s="44">
        <f t="shared" si="55"/>
        <v>2043</v>
      </c>
      <c r="W49" s="44">
        <f t="shared" si="55"/>
        <v>2044</v>
      </c>
      <c r="X49" s="44">
        <f t="shared" si="55"/>
        <v>2045</v>
      </c>
      <c r="Y49" s="44">
        <f t="shared" si="55"/>
        <v>2046</v>
      </c>
      <c r="Z49" s="64">
        <f t="shared" ref="Z49:AF49" si="56">+Z29</f>
        <v>2047</v>
      </c>
      <c r="AA49" s="64">
        <f t="shared" si="56"/>
        <v>2048</v>
      </c>
      <c r="AB49" s="64">
        <f t="shared" si="56"/>
        <v>2049</v>
      </c>
      <c r="AC49" s="64">
        <f t="shared" si="56"/>
        <v>2050</v>
      </c>
      <c r="AD49" s="64">
        <f t="shared" si="56"/>
        <v>2051</v>
      </c>
      <c r="AE49" s="64">
        <f t="shared" si="56"/>
        <v>2052</v>
      </c>
      <c r="AF49" s="64">
        <f t="shared" si="56"/>
        <v>2053</v>
      </c>
      <c r="AG49" s="64">
        <f t="shared" ref="AG49:AJ49" si="57">+AG29</f>
        <v>2054</v>
      </c>
      <c r="AH49" s="64">
        <f t="shared" si="57"/>
        <v>2055</v>
      </c>
      <c r="AI49" s="64">
        <f t="shared" si="57"/>
        <v>2056</v>
      </c>
      <c r="AJ49" s="64">
        <f t="shared" si="57"/>
        <v>2057</v>
      </c>
    </row>
    <row r="50" spans="2:36" x14ac:dyDescent="0.2">
      <c r="B50" s="39" t="s">
        <v>29</v>
      </c>
      <c r="C50" s="38" t="s">
        <v>30</v>
      </c>
      <c r="D50" s="33">
        <f>D34</f>
        <v>0</v>
      </c>
      <c r="E50" s="33">
        <f>E30</f>
        <v>7637.5</v>
      </c>
      <c r="F50" s="33">
        <f t="shared" ref="F50:Y54" si="58">F30</f>
        <v>7637.5</v>
      </c>
      <c r="G50" s="33">
        <f t="shared" si="58"/>
        <v>7637.5</v>
      </c>
      <c r="H50" s="33">
        <f t="shared" si="58"/>
        <v>7790.25</v>
      </c>
      <c r="I50" s="33">
        <f t="shared" si="58"/>
        <v>7946.0550000000003</v>
      </c>
      <c r="J50" s="33">
        <f t="shared" si="58"/>
        <v>8104.9761000000008</v>
      </c>
      <c r="K50" s="33">
        <f t="shared" si="58"/>
        <v>8267.0756220000021</v>
      </c>
      <c r="L50" s="33">
        <f t="shared" si="58"/>
        <v>8854.0379911620021</v>
      </c>
      <c r="M50" s="33">
        <f t="shared" si="58"/>
        <v>9031.1187509852425</v>
      </c>
      <c r="N50" s="33">
        <f t="shared" si="58"/>
        <v>9211.7411260049466</v>
      </c>
      <c r="O50" s="33">
        <f t="shared" si="58"/>
        <v>9395.9759485250452</v>
      </c>
      <c r="P50" s="33">
        <f t="shared" si="58"/>
        <v>9583.8954674955457</v>
      </c>
      <c r="Q50" s="33">
        <f t="shared" si="58"/>
        <v>9775.5733768454593</v>
      </c>
      <c r="R50" s="33">
        <f t="shared" si="58"/>
        <v>9971.084844382367</v>
      </c>
      <c r="S50" s="33">
        <f t="shared" si="58"/>
        <v>10170.506541270013</v>
      </c>
      <c r="T50" s="33">
        <f t="shared" si="58"/>
        <v>10373.916672095414</v>
      </c>
      <c r="U50" s="33">
        <f t="shared" si="58"/>
        <v>10581.395005537324</v>
      </c>
      <c r="V50" s="33">
        <f t="shared" si="58"/>
        <v>10793.022905648069</v>
      </c>
      <c r="W50" s="33">
        <f t="shared" si="58"/>
        <v>11008.883363761033</v>
      </c>
      <c r="X50" s="33">
        <f t="shared" si="58"/>
        <v>11229.061031036254</v>
      </c>
      <c r="Y50" s="33">
        <f t="shared" si="58"/>
        <v>11453.64225165698</v>
      </c>
      <c r="Z50" s="33">
        <f t="shared" ref="Z50:AF50" si="59">Z30</f>
        <v>11682.715096690119</v>
      </c>
      <c r="AA50" s="33">
        <f t="shared" si="59"/>
        <v>11916.369398623923</v>
      </c>
      <c r="AB50" s="33">
        <f t="shared" si="59"/>
        <v>12154.696786596398</v>
      </c>
      <c r="AC50" s="33">
        <f t="shared" si="59"/>
        <v>12397.790722328327</v>
      </c>
      <c r="AD50" s="33">
        <f t="shared" si="59"/>
        <v>12645.746536774896</v>
      </c>
      <c r="AE50" s="33">
        <f t="shared" si="59"/>
        <v>12898.661467510394</v>
      </c>
      <c r="AF50" s="33">
        <f t="shared" si="59"/>
        <v>13156.634696860601</v>
      </c>
      <c r="AG50" s="33">
        <f t="shared" ref="AG50:AJ50" si="60">AG30</f>
        <v>13419.767390797815</v>
      </c>
      <c r="AH50" s="33">
        <f t="shared" si="60"/>
        <v>13688.162738613772</v>
      </c>
      <c r="AI50" s="33">
        <f t="shared" si="60"/>
        <v>0</v>
      </c>
      <c r="AJ50" s="33">
        <f t="shared" si="60"/>
        <v>0</v>
      </c>
    </row>
    <row r="51" spans="2:36" x14ac:dyDescent="0.2">
      <c r="B51" s="39" t="s">
        <v>1</v>
      </c>
      <c r="C51" s="38" t="s">
        <v>30</v>
      </c>
      <c r="D51" s="33">
        <f t="shared" ref="D51" si="61">D35</f>
        <v>0</v>
      </c>
      <c r="E51" s="33">
        <f t="shared" ref="E51:T54" si="62">E31</f>
        <v>-117.5</v>
      </c>
      <c r="F51" s="33">
        <f t="shared" si="62"/>
        <v>-117.5</v>
      </c>
      <c r="G51" s="33">
        <f t="shared" si="62"/>
        <v>-117.5</v>
      </c>
      <c r="H51" s="33">
        <f t="shared" si="62"/>
        <v>-117.5</v>
      </c>
      <c r="I51" s="33">
        <f t="shared" si="62"/>
        <v>-117.5</v>
      </c>
      <c r="J51" s="33">
        <f t="shared" si="62"/>
        <v>-117.5</v>
      </c>
      <c r="K51" s="33">
        <f t="shared" si="62"/>
        <v>-117.5</v>
      </c>
      <c r="L51" s="33">
        <f t="shared" si="62"/>
        <v>-117.5</v>
      </c>
      <c r="M51" s="33">
        <f t="shared" si="62"/>
        <v>-117.5</v>
      </c>
      <c r="N51" s="33">
        <f t="shared" si="62"/>
        <v>-117.5</v>
      </c>
      <c r="O51" s="33">
        <f t="shared" si="62"/>
        <v>-117.5</v>
      </c>
      <c r="P51" s="33">
        <f t="shared" si="62"/>
        <v>-117.5</v>
      </c>
      <c r="Q51" s="33">
        <f t="shared" si="62"/>
        <v>-117.5</v>
      </c>
      <c r="R51" s="33">
        <f t="shared" si="62"/>
        <v>-117.5</v>
      </c>
      <c r="S51" s="33">
        <f t="shared" si="62"/>
        <v>-117.5</v>
      </c>
      <c r="T51" s="33">
        <f t="shared" si="62"/>
        <v>-117.5</v>
      </c>
      <c r="U51" s="33">
        <f t="shared" si="58"/>
        <v>-117.5</v>
      </c>
      <c r="V51" s="33">
        <f t="shared" si="58"/>
        <v>-117.5</v>
      </c>
      <c r="W51" s="33">
        <f t="shared" si="58"/>
        <v>-117.5</v>
      </c>
      <c r="X51" s="33">
        <f t="shared" si="58"/>
        <v>-117.5</v>
      </c>
      <c r="Y51" s="33">
        <f t="shared" si="58"/>
        <v>-117.5</v>
      </c>
      <c r="Z51" s="33">
        <f t="shared" ref="Z51:AF51" si="63">Z31</f>
        <v>-117.5</v>
      </c>
      <c r="AA51" s="33">
        <f t="shared" si="63"/>
        <v>-117.5</v>
      </c>
      <c r="AB51" s="33">
        <f t="shared" si="63"/>
        <v>-117.5</v>
      </c>
      <c r="AC51" s="33">
        <f t="shared" si="63"/>
        <v>-117.5</v>
      </c>
      <c r="AD51" s="33">
        <f t="shared" si="63"/>
        <v>-117.5</v>
      </c>
      <c r="AE51" s="33">
        <f t="shared" si="63"/>
        <v>-117.5</v>
      </c>
      <c r="AF51" s="33">
        <f t="shared" si="63"/>
        <v>-117.5</v>
      </c>
      <c r="AG51" s="33">
        <f t="shared" ref="AG51:AJ51" si="64">AG31</f>
        <v>-117.5</v>
      </c>
      <c r="AH51" s="33">
        <f t="shared" si="64"/>
        <v>-117.5</v>
      </c>
      <c r="AI51" s="33">
        <f t="shared" si="64"/>
        <v>0</v>
      </c>
      <c r="AJ51" s="33">
        <f t="shared" si="64"/>
        <v>0</v>
      </c>
    </row>
    <row r="52" spans="2:36" x14ac:dyDescent="0.2">
      <c r="B52" s="39" t="s">
        <v>2</v>
      </c>
      <c r="C52" s="38" t="s">
        <v>30</v>
      </c>
      <c r="D52" s="33">
        <f t="shared" ref="D52" si="65">D36</f>
        <v>0</v>
      </c>
      <c r="E52" s="33">
        <f t="shared" si="62"/>
        <v>7520</v>
      </c>
      <c r="F52" s="33">
        <f t="shared" si="58"/>
        <v>7637.5</v>
      </c>
      <c r="G52" s="33">
        <f t="shared" si="58"/>
        <v>7637.5</v>
      </c>
      <c r="H52" s="33">
        <f t="shared" si="58"/>
        <v>7790.25</v>
      </c>
      <c r="I52" s="33">
        <f t="shared" si="58"/>
        <v>7946.0550000000003</v>
      </c>
      <c r="J52" s="33">
        <f t="shared" si="58"/>
        <v>8104.9761000000008</v>
      </c>
      <c r="K52" s="33">
        <f t="shared" si="58"/>
        <v>8267.0756220000021</v>
      </c>
      <c r="L52" s="33">
        <f t="shared" si="58"/>
        <v>8854.0379911620021</v>
      </c>
      <c r="M52" s="33">
        <f t="shared" si="58"/>
        <v>9031.1187509852425</v>
      </c>
      <c r="N52" s="33">
        <f t="shared" si="58"/>
        <v>9211.7411260049466</v>
      </c>
      <c r="O52" s="33">
        <f t="shared" si="58"/>
        <v>9395.9759485250452</v>
      </c>
      <c r="P52" s="33">
        <f t="shared" si="58"/>
        <v>9583.8954674955457</v>
      </c>
      <c r="Q52" s="33">
        <f t="shared" si="58"/>
        <v>9775.5733768454593</v>
      </c>
      <c r="R52" s="33">
        <f t="shared" si="58"/>
        <v>9971.084844382367</v>
      </c>
      <c r="S52" s="33">
        <f t="shared" si="58"/>
        <v>10170.506541270013</v>
      </c>
      <c r="T52" s="33">
        <f t="shared" si="58"/>
        <v>10373.916672095414</v>
      </c>
      <c r="U52" s="33">
        <f t="shared" si="58"/>
        <v>10581.395005537324</v>
      </c>
      <c r="V52" s="33">
        <f t="shared" si="58"/>
        <v>10793.022905648069</v>
      </c>
      <c r="W52" s="33">
        <f t="shared" si="58"/>
        <v>11008.883363761033</v>
      </c>
      <c r="X52" s="33">
        <f t="shared" si="58"/>
        <v>11229.061031036254</v>
      </c>
      <c r="Y52" s="33">
        <f t="shared" si="58"/>
        <v>11453.64225165698</v>
      </c>
      <c r="Z52" s="33">
        <f t="shared" ref="Z52:AF52" si="66">Z32</f>
        <v>11682.715096690119</v>
      </c>
      <c r="AA52" s="33">
        <f t="shared" si="66"/>
        <v>11916.369398623923</v>
      </c>
      <c r="AB52" s="33">
        <f t="shared" si="66"/>
        <v>12154.696786596398</v>
      </c>
      <c r="AC52" s="33">
        <f t="shared" si="66"/>
        <v>12397.790722328327</v>
      </c>
      <c r="AD52" s="33">
        <f t="shared" si="66"/>
        <v>12645.746536774896</v>
      </c>
      <c r="AE52" s="33">
        <f t="shared" si="66"/>
        <v>12898.661467510394</v>
      </c>
      <c r="AF52" s="33">
        <f t="shared" si="66"/>
        <v>13156.634696860601</v>
      </c>
      <c r="AG52" s="33">
        <f t="shared" ref="AG52:AJ52" si="67">AG32</f>
        <v>13419.767390797815</v>
      </c>
      <c r="AH52" s="33">
        <f t="shared" si="67"/>
        <v>13688.162738613772</v>
      </c>
      <c r="AI52" s="33">
        <f t="shared" si="67"/>
        <v>0</v>
      </c>
      <c r="AJ52" s="33">
        <f t="shared" si="67"/>
        <v>0</v>
      </c>
    </row>
    <row r="53" spans="2:36" x14ac:dyDescent="0.2">
      <c r="B53" s="39" t="s">
        <v>16</v>
      </c>
      <c r="C53" s="38" t="s">
        <v>30</v>
      </c>
      <c r="D53" s="33">
        <f t="shared" ref="D53" si="68">D37</f>
        <v>0</v>
      </c>
      <c r="E53" s="33">
        <f t="shared" si="62"/>
        <v>1250</v>
      </c>
      <c r="F53" s="33">
        <f t="shared" si="58"/>
        <v>1275</v>
      </c>
      <c r="G53" s="33">
        <f t="shared" si="58"/>
        <v>1300.5</v>
      </c>
      <c r="H53" s="33">
        <f t="shared" si="58"/>
        <v>1326.51</v>
      </c>
      <c r="I53" s="33">
        <f t="shared" si="58"/>
        <v>1353.0402000000001</v>
      </c>
      <c r="J53" s="33">
        <f t="shared" si="58"/>
        <v>1380.1010040000001</v>
      </c>
      <c r="K53" s="33">
        <f t="shared" si="58"/>
        <v>1407.7030240800002</v>
      </c>
      <c r="L53" s="33">
        <f t="shared" si="58"/>
        <v>1435.8570845616</v>
      </c>
      <c r="M53" s="33">
        <f t="shared" si="58"/>
        <v>1464.5742262528322</v>
      </c>
      <c r="N53" s="33">
        <f t="shared" si="58"/>
        <v>1493.8657107778888</v>
      </c>
      <c r="O53" s="33">
        <f t="shared" si="58"/>
        <v>1523.7430249934466</v>
      </c>
      <c r="P53" s="33">
        <f t="shared" si="58"/>
        <v>1554.2178854933154</v>
      </c>
      <c r="Q53" s="33">
        <f t="shared" si="58"/>
        <v>1585.3022432031819</v>
      </c>
      <c r="R53" s="33">
        <f t="shared" si="58"/>
        <v>1617.0082880672458</v>
      </c>
      <c r="S53" s="33">
        <f t="shared" si="58"/>
        <v>1649.3484538285904</v>
      </c>
      <c r="T53" s="33">
        <f t="shared" si="58"/>
        <v>1682.3354229051624</v>
      </c>
      <c r="U53" s="33">
        <f t="shared" si="58"/>
        <v>1715.9821313632658</v>
      </c>
      <c r="V53" s="33">
        <f t="shared" si="58"/>
        <v>1750.3017739905313</v>
      </c>
      <c r="W53" s="33">
        <f t="shared" si="58"/>
        <v>1785.3078094703419</v>
      </c>
      <c r="X53" s="33">
        <f t="shared" si="58"/>
        <v>1821.0139656597487</v>
      </c>
      <c r="Y53" s="33">
        <f t="shared" si="58"/>
        <v>1857.4342449729438</v>
      </c>
      <c r="Z53" s="33">
        <f t="shared" ref="Z53:AF53" si="69">Z33</f>
        <v>1894.5829298724029</v>
      </c>
      <c r="AA53" s="33">
        <f t="shared" si="69"/>
        <v>1932.4745884698509</v>
      </c>
      <c r="AB53" s="33">
        <f t="shared" si="69"/>
        <v>1971.1240802392479</v>
      </c>
      <c r="AC53" s="33">
        <f t="shared" si="69"/>
        <v>2010.5465618440328</v>
      </c>
      <c r="AD53" s="33">
        <f t="shared" si="69"/>
        <v>2050.7574930809133</v>
      </c>
      <c r="AE53" s="33">
        <f t="shared" si="69"/>
        <v>2091.772642942532</v>
      </c>
      <c r="AF53" s="33">
        <f t="shared" si="69"/>
        <v>2133.6080958013822</v>
      </c>
      <c r="AG53" s="33">
        <f t="shared" ref="AG53:AJ53" si="70">AG33</f>
        <v>2176.2802577174098</v>
      </c>
      <c r="AH53" s="33">
        <f t="shared" si="70"/>
        <v>2219.8058628717581</v>
      </c>
      <c r="AI53" s="33">
        <f t="shared" si="70"/>
        <v>0</v>
      </c>
      <c r="AJ53" s="33">
        <f t="shared" si="70"/>
        <v>0</v>
      </c>
    </row>
    <row r="54" spans="2:36" x14ac:dyDescent="0.2">
      <c r="B54" s="39" t="s">
        <v>3</v>
      </c>
      <c r="C54" s="34" t="s">
        <v>30</v>
      </c>
      <c r="D54" s="36">
        <f t="shared" ref="D54" si="71">D38</f>
        <v>0</v>
      </c>
      <c r="E54" s="36">
        <f t="shared" si="62"/>
        <v>6270</v>
      </c>
      <c r="F54" s="36">
        <f t="shared" si="58"/>
        <v>6362.5</v>
      </c>
      <c r="G54" s="36">
        <f t="shared" si="58"/>
        <v>6337</v>
      </c>
      <c r="H54" s="36">
        <f t="shared" si="58"/>
        <v>6463.74</v>
      </c>
      <c r="I54" s="36">
        <f t="shared" si="58"/>
        <v>6593.0147999999999</v>
      </c>
      <c r="J54" s="36">
        <f t="shared" si="58"/>
        <v>6724.8750960000007</v>
      </c>
      <c r="K54" s="36">
        <f t="shared" si="58"/>
        <v>6859.3725979200017</v>
      </c>
      <c r="L54" s="36">
        <f t="shared" si="58"/>
        <v>7418.1809066004025</v>
      </c>
      <c r="M54" s="36">
        <f t="shared" si="58"/>
        <v>7566.5445247324105</v>
      </c>
      <c r="N54" s="36">
        <f t="shared" si="58"/>
        <v>7717.8754152270576</v>
      </c>
      <c r="O54" s="36">
        <f t="shared" si="58"/>
        <v>7872.2329235315983</v>
      </c>
      <c r="P54" s="36">
        <f t="shared" si="58"/>
        <v>8029.6775820022303</v>
      </c>
      <c r="Q54" s="36">
        <f t="shared" si="58"/>
        <v>8190.2711336422772</v>
      </c>
      <c r="R54" s="36">
        <f t="shared" si="58"/>
        <v>8354.0765563151217</v>
      </c>
      <c r="S54" s="36">
        <f t="shared" si="58"/>
        <v>8521.158087441423</v>
      </c>
      <c r="T54" s="36">
        <f t="shared" si="58"/>
        <v>8691.5812491902525</v>
      </c>
      <c r="U54" s="36">
        <f t="shared" si="58"/>
        <v>8865.4128741740587</v>
      </c>
      <c r="V54" s="36">
        <f t="shared" si="58"/>
        <v>9042.7211316575376</v>
      </c>
      <c r="W54" s="36">
        <f t="shared" si="58"/>
        <v>9223.5755542906918</v>
      </c>
      <c r="X54" s="36">
        <f t="shared" si="58"/>
        <v>9408.0470653765042</v>
      </c>
      <c r="Y54" s="36">
        <f t="shared" si="58"/>
        <v>9596.2080066840354</v>
      </c>
      <c r="Z54" s="36">
        <f t="shared" ref="Z54:AF54" si="72">Z34</f>
        <v>9788.1321668177152</v>
      </c>
      <c r="AA54" s="36">
        <f t="shared" si="72"/>
        <v>9983.8948101540718</v>
      </c>
      <c r="AB54" s="36">
        <f t="shared" si="72"/>
        <v>10183.57270635715</v>
      </c>
      <c r="AC54" s="36">
        <f t="shared" si="72"/>
        <v>10387.244160484295</v>
      </c>
      <c r="AD54" s="36">
        <f t="shared" si="72"/>
        <v>10594.989043693982</v>
      </c>
      <c r="AE54" s="36">
        <f t="shared" si="72"/>
        <v>10806.888824567861</v>
      </c>
      <c r="AF54" s="36">
        <f t="shared" si="72"/>
        <v>11023.026601059219</v>
      </c>
      <c r="AG54" s="36">
        <f t="shared" ref="AG54:AJ54" si="73">AG34</f>
        <v>11243.487133080405</v>
      </c>
      <c r="AH54" s="36">
        <f t="shared" si="73"/>
        <v>11468.356875742014</v>
      </c>
      <c r="AI54" s="36">
        <f t="shared" si="73"/>
        <v>0</v>
      </c>
      <c r="AJ54" s="36">
        <f t="shared" si="73"/>
        <v>0</v>
      </c>
    </row>
    <row r="55" spans="2:36" x14ac:dyDescent="0.2">
      <c r="B55" s="39" t="s">
        <v>8</v>
      </c>
      <c r="C55" s="38" t="s">
        <v>30</v>
      </c>
      <c r="D55" s="33">
        <f>D43</f>
        <v>0</v>
      </c>
      <c r="E55" s="33">
        <f>E72</f>
        <v>0</v>
      </c>
      <c r="F55" s="33">
        <f t="shared" ref="F55:Y55" si="74">F72</f>
        <v>0</v>
      </c>
      <c r="G55" s="33">
        <f t="shared" si="74"/>
        <v>0</v>
      </c>
      <c r="H55" s="33">
        <f t="shared" si="74"/>
        <v>0</v>
      </c>
      <c r="I55" s="33">
        <f t="shared" si="74"/>
        <v>0</v>
      </c>
      <c r="J55" s="33">
        <f t="shared" si="74"/>
        <v>0</v>
      </c>
      <c r="K55" s="33">
        <f t="shared" si="74"/>
        <v>0</v>
      </c>
      <c r="L55" s="33">
        <f t="shared" si="74"/>
        <v>0</v>
      </c>
      <c r="M55" s="33">
        <f t="shared" si="74"/>
        <v>0</v>
      </c>
      <c r="N55" s="33">
        <f t="shared" si="74"/>
        <v>-1453.275835119968</v>
      </c>
      <c r="O55" s="33">
        <f t="shared" si="74"/>
        <v>-1968.0582308828996</v>
      </c>
      <c r="P55" s="33">
        <f t="shared" si="74"/>
        <v>-2007.4193955005576</v>
      </c>
      <c r="Q55" s="33">
        <f t="shared" si="74"/>
        <v>-2047.5677834105693</v>
      </c>
      <c r="R55" s="33">
        <f t="shared" si="74"/>
        <v>-2088.5191390787804</v>
      </c>
      <c r="S55" s="33">
        <f t="shared" si="74"/>
        <v>-2130.2895218603558</v>
      </c>
      <c r="T55" s="33">
        <f t="shared" si="74"/>
        <v>-2172.8953122975631</v>
      </c>
      <c r="U55" s="33">
        <f t="shared" si="74"/>
        <v>-2216.3532185435147</v>
      </c>
      <c r="V55" s="33">
        <f t="shared" si="74"/>
        <v>-2260.6802829143844</v>
      </c>
      <c r="W55" s="33">
        <f t="shared" si="74"/>
        <v>-2305.8938885726729</v>
      </c>
      <c r="X55" s="33">
        <f t="shared" si="74"/>
        <v>-2352.011766344126</v>
      </c>
      <c r="Y55" s="33">
        <f t="shared" si="74"/>
        <v>0</v>
      </c>
      <c r="Z55" s="33">
        <f t="shared" ref="Z55:AF55" si="75">Z72</f>
        <v>0</v>
      </c>
      <c r="AA55" s="33">
        <f t="shared" si="75"/>
        <v>0</v>
      </c>
      <c r="AB55" s="33">
        <f t="shared" si="75"/>
        <v>0</v>
      </c>
      <c r="AC55" s="33">
        <f t="shared" si="75"/>
        <v>0</v>
      </c>
      <c r="AD55" s="33">
        <f t="shared" si="75"/>
        <v>0</v>
      </c>
      <c r="AE55" s="33">
        <f t="shared" si="75"/>
        <v>0</v>
      </c>
      <c r="AF55" s="33">
        <f t="shared" si="75"/>
        <v>0</v>
      </c>
      <c r="AG55" s="33">
        <f t="shared" ref="AG55:AJ55" si="76">AG72</f>
        <v>0</v>
      </c>
      <c r="AH55" s="33">
        <f t="shared" si="76"/>
        <v>0</v>
      </c>
      <c r="AI55" s="33">
        <f t="shared" si="76"/>
        <v>0</v>
      </c>
      <c r="AJ55" s="33">
        <f t="shared" si="76"/>
        <v>0</v>
      </c>
    </row>
    <row r="56" spans="2:36" x14ac:dyDescent="0.2">
      <c r="B56" s="39" t="s">
        <v>36</v>
      </c>
      <c r="C56" s="38" t="s">
        <v>30</v>
      </c>
      <c r="D56" s="33"/>
      <c r="E56" s="33">
        <f>E54+E55</f>
        <v>6270</v>
      </c>
      <c r="F56" s="33">
        <f t="shared" ref="F56:AJ56" si="77">F54+F55</f>
        <v>6362.5</v>
      </c>
      <c r="G56" s="33">
        <f t="shared" si="77"/>
        <v>6337</v>
      </c>
      <c r="H56" s="33">
        <f t="shared" si="77"/>
        <v>6463.74</v>
      </c>
      <c r="I56" s="33">
        <f t="shared" si="77"/>
        <v>6593.0147999999999</v>
      </c>
      <c r="J56" s="33">
        <f t="shared" si="77"/>
        <v>6724.8750960000007</v>
      </c>
      <c r="K56" s="33">
        <f t="shared" si="77"/>
        <v>6859.3725979200017</v>
      </c>
      <c r="L56" s="33">
        <f t="shared" si="77"/>
        <v>7418.1809066004025</v>
      </c>
      <c r="M56" s="33">
        <f t="shared" si="77"/>
        <v>7566.5445247324105</v>
      </c>
      <c r="N56" s="33">
        <f t="shared" si="77"/>
        <v>6264.5995801070894</v>
      </c>
      <c r="O56" s="33">
        <f t="shared" si="77"/>
        <v>5904.1746926486985</v>
      </c>
      <c r="P56" s="33">
        <f t="shared" si="77"/>
        <v>6022.2581865016728</v>
      </c>
      <c r="Q56" s="33">
        <f t="shared" si="77"/>
        <v>6142.7033502317081</v>
      </c>
      <c r="R56" s="33">
        <f t="shared" si="77"/>
        <v>6265.5574172363413</v>
      </c>
      <c r="S56" s="33">
        <f t="shared" si="77"/>
        <v>6390.8685655810677</v>
      </c>
      <c r="T56" s="33">
        <f t="shared" si="77"/>
        <v>6518.6859368926889</v>
      </c>
      <c r="U56" s="33">
        <f t="shared" si="77"/>
        <v>6649.0596556305445</v>
      </c>
      <c r="V56" s="33">
        <f t="shared" si="77"/>
        <v>6782.0408487431532</v>
      </c>
      <c r="W56" s="33">
        <f t="shared" si="77"/>
        <v>6917.6816657180188</v>
      </c>
      <c r="X56" s="33">
        <f t="shared" si="77"/>
        <v>7056.0352990323781</v>
      </c>
      <c r="Y56" s="33">
        <f t="shared" si="77"/>
        <v>9596.2080066840354</v>
      </c>
      <c r="Z56" s="33">
        <f t="shared" si="77"/>
        <v>9788.1321668177152</v>
      </c>
      <c r="AA56" s="33">
        <f t="shared" si="77"/>
        <v>9983.8948101540718</v>
      </c>
      <c r="AB56" s="33">
        <f t="shared" si="77"/>
        <v>10183.57270635715</v>
      </c>
      <c r="AC56" s="33">
        <f t="shared" si="77"/>
        <v>10387.244160484295</v>
      </c>
      <c r="AD56" s="33">
        <f t="shared" si="77"/>
        <v>10594.989043693982</v>
      </c>
      <c r="AE56" s="33">
        <f t="shared" si="77"/>
        <v>10806.888824567861</v>
      </c>
      <c r="AF56" s="33">
        <f t="shared" si="77"/>
        <v>11023.026601059219</v>
      </c>
      <c r="AG56" s="33">
        <f t="shared" si="77"/>
        <v>11243.487133080405</v>
      </c>
      <c r="AH56" s="33">
        <f t="shared" si="77"/>
        <v>11468.356875742014</v>
      </c>
      <c r="AI56" s="33">
        <f t="shared" si="77"/>
        <v>0</v>
      </c>
      <c r="AJ56" s="33">
        <f t="shared" si="77"/>
        <v>0</v>
      </c>
    </row>
    <row r="57" spans="2:36" x14ac:dyDescent="0.2">
      <c r="B57" s="39" t="s">
        <v>12</v>
      </c>
      <c r="C57" s="38" t="s">
        <v>30</v>
      </c>
      <c r="D57" s="33">
        <f>D37</f>
        <v>0</v>
      </c>
      <c r="E57" s="33">
        <f t="shared" ref="E57:F57" si="78">E37</f>
        <v>-62500</v>
      </c>
      <c r="F57" s="33">
        <f t="shared" si="78"/>
        <v>0</v>
      </c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</row>
    <row r="58" spans="2:36" x14ac:dyDescent="0.2">
      <c r="B58" s="39" t="s">
        <v>40</v>
      </c>
      <c r="C58" s="38"/>
      <c r="D58" s="33"/>
      <c r="E58" s="33">
        <f>+E38</f>
        <v>-7500</v>
      </c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</row>
    <row r="59" spans="2:36" x14ac:dyDescent="0.2">
      <c r="B59" s="39" t="s">
        <v>37</v>
      </c>
      <c r="C59" s="38" t="s">
        <v>30</v>
      </c>
      <c r="D59" s="33"/>
      <c r="E59" s="33">
        <f>IF(E49=YEAR(Hipótesis!$E$15)+Hipótesis!$E$13,-$E$37*Hipótesis!$E$14*(1+2%)^Hipótesis!$E$13,0)</f>
        <v>0</v>
      </c>
      <c r="F59" s="33">
        <f>IF(F49=YEAR(Hipótesis!$E$15)+Hipótesis!$E$13,-$E$37*Hipótesis!$E$14*(1+2%)^Hipótesis!$E$13,0)</f>
        <v>0</v>
      </c>
      <c r="G59" s="33">
        <f>IF(G49=YEAR(Hipótesis!$E$15)+Hipótesis!$E$13,-$E$37*Hipótesis!$E$14*(1+2%)^Hipótesis!$E$13,0)</f>
        <v>0</v>
      </c>
      <c r="H59" s="33">
        <f>IF(H49=YEAR(Hipótesis!$E$15)+Hipótesis!$E$13,-$E$37*Hipótesis!$E$14*(1+2%)^Hipótesis!$E$13,0)</f>
        <v>0</v>
      </c>
      <c r="I59" s="33">
        <f>IF(I49=YEAR(Hipótesis!$E$15)+Hipótesis!$E$13,-$E$37*Hipótesis!$E$14*(1+2%)^Hipótesis!$E$13,0)</f>
        <v>0</v>
      </c>
      <c r="J59" s="33">
        <f>IF(J49=YEAR(Hipótesis!$E$15)+Hipótesis!$E$13,-$E$37*Hipótesis!$E$14*(1+2%)^Hipótesis!$E$13,0)</f>
        <v>0</v>
      </c>
      <c r="K59" s="33">
        <f>IF(K49=YEAR(Hipótesis!$E$15)+Hipótesis!$E$13,-$E$37*Hipótesis!$E$14*(1+2%)^Hipótesis!$E$13,0)</f>
        <v>0</v>
      </c>
      <c r="L59" s="33">
        <f>IF(L49=YEAR(Hipótesis!$E$15)+Hipótesis!$E$13,-$E$37*Hipótesis!$E$14*(1+2%)^Hipótesis!$E$13,0)</f>
        <v>0</v>
      </c>
      <c r="M59" s="33">
        <f>IF(M49=YEAR(Hipótesis!$E$15)+Hipótesis!$E$13,-$E$37*Hipótesis!$E$14*(1+2%)^Hipótesis!$E$13,0)</f>
        <v>0</v>
      </c>
      <c r="N59" s="33">
        <f>IF(N49=YEAR(Hipótesis!$E$15)+Hipótesis!$E$13,-$E$37*Hipótesis!$E$14*(1+2%)^Hipótesis!$E$13,0)</f>
        <v>0</v>
      </c>
      <c r="O59" s="33">
        <f>IF(O49=YEAR(Hipótesis!$E$15)+Hipótesis!$E$13,-$E$37*Hipótesis!$E$14*(1+2%)^Hipótesis!$E$13,0)</f>
        <v>0</v>
      </c>
      <c r="P59" s="33">
        <f>IF(P49=YEAR(Hipótesis!$E$15)+Hipótesis!$E$13,-$E$37*Hipótesis!$E$14*(1+2%)^Hipótesis!$E$13,0)</f>
        <v>0</v>
      </c>
      <c r="Q59" s="33">
        <f>IF(Q49=YEAR(Hipótesis!$E$15)+Hipótesis!$E$13,-$E$37*Hipótesis!$E$14*(1+2%)^Hipótesis!$E$13,0)</f>
        <v>0</v>
      </c>
      <c r="R59" s="33">
        <f>IF(R49=YEAR(Hipótesis!$E$15)+Hipótesis!$E$13,-$E$37*Hipótesis!$E$14*(1+2%)^Hipótesis!$E$13,0)</f>
        <v>0</v>
      </c>
      <c r="S59" s="33">
        <f>IF(S49=YEAR(Hipótesis!$E$15)+Hipótesis!$E$13,-$E$37*Hipótesis!$E$14*(1+2%)^Hipótesis!$E$13,0)</f>
        <v>0</v>
      </c>
      <c r="T59" s="33">
        <f>IF(T49=YEAR(Hipótesis!$E$15)+Hipótesis!$E$13,-$E$37*Hipótesis!$E$14*(1+2%)^Hipótesis!$E$13,0)</f>
        <v>0</v>
      </c>
      <c r="U59" s="33">
        <f>IF(U49=YEAR(Hipótesis!$E$15)+Hipótesis!$E$13,-$E$37*Hipótesis!$E$14*(1+2%)^Hipótesis!$E$13,0)</f>
        <v>0</v>
      </c>
      <c r="V59" s="33">
        <f>IF(V49=YEAR(Hipótesis!$E$15)+Hipótesis!$E$13,-$E$37*Hipótesis!$E$14*(1+2%)^Hipótesis!$E$13,0)</f>
        <v>0</v>
      </c>
      <c r="W59" s="33">
        <f>IF(W49=YEAR(Hipótesis!$E$15)+Hipótesis!$E$13,-$E$37*Hipótesis!$E$14*(1+2%)^Hipótesis!$E$13,0)</f>
        <v>0</v>
      </c>
      <c r="X59" s="33">
        <f>IF(X49=YEAR(Hipótesis!$E$15)+Hipótesis!$E$13,-$E$37*Hipótesis!$E$14*(1+2%)^Hipótesis!$E$13,0)</f>
        <v>0</v>
      </c>
      <c r="Y59" s="33">
        <f>IF(Y49=YEAR(Hipótesis!$E$15)+Hipótesis!$E$13,-$E$37*Hipótesis!$E$14*(1+2%)^Hipótesis!$E$13,0)</f>
        <v>0</v>
      </c>
      <c r="Z59" s="33">
        <f>IF(Z49=YEAR(Hipótesis!$E$15)+Hipótesis!$E$13,-$E$37*Hipótesis!$E$14*(1+2%)^Hipótesis!$E$13,0)</f>
        <v>0</v>
      </c>
      <c r="AA59" s="33">
        <f>IF(AA49=YEAR(Hipótesis!$E$15)+Hipótesis!$E$13,-$E$37*Hipótesis!$E$14*(1+2%)^Hipótesis!$E$13,0)</f>
        <v>0</v>
      </c>
      <c r="AB59" s="33">
        <f>IF(AB49=YEAR(Hipótesis!$E$15)+Hipótesis!$E$13,-$E$37*Hipótesis!$E$14*(1+2%)^Hipótesis!$E$13,0)</f>
        <v>0</v>
      </c>
      <c r="AC59" s="33">
        <f>IF(AC49=YEAR(Hipótesis!$E$15)+Hipótesis!$E$13,-$E$37*Hipótesis!$E$14*(1+2%)^Hipótesis!$E$13,0)</f>
        <v>0</v>
      </c>
      <c r="AD59" s="33">
        <f>IF(AD49=YEAR(Hipótesis!$E$15)+Hipótesis!$E$13,-$E$37*Hipótesis!$E$14*(1+2%)^Hipótesis!$E$13,0)</f>
        <v>0</v>
      </c>
      <c r="AE59" s="33">
        <f>IF(AE49=YEAR(Hipótesis!$E$15)+Hipótesis!$E$13,-$E$37*Hipótesis!$E$14*(1+2%)^Hipótesis!$E$13,0)</f>
        <v>0</v>
      </c>
      <c r="AF59" s="33">
        <f>IF(AF49=YEAR(Hipótesis!$E$15)+Hipótesis!$E$13,-$E$37*Hipótesis!$E$14*(1+2%)^Hipótesis!$E$13,0)</f>
        <v>0</v>
      </c>
      <c r="AG59" s="33">
        <f>IF(AG49=YEAR(Hipótesis!$E$15)+Hipótesis!$E$13,-$E$37*Hipótesis!$E$14*(1+2%)^Hipótesis!$E$13,0)</f>
        <v>0</v>
      </c>
      <c r="AH59" s="33">
        <f>IF(AH49=YEAR(Hipótesis!$E$15)+Hipótesis!$E$13,-$E$37*Hipótesis!$E$14*(1+2%)^Hipótesis!$E$13,0)</f>
        <v>0</v>
      </c>
      <c r="AI59" s="33">
        <f>IF(AI49=YEAR(Hipótesis!$E$15)+Hipótesis!$E$13,-$E$37*Hipótesis!$E$14*(1+2%)^Hipótesis!$E$13,0)</f>
        <v>5660.5049503229793</v>
      </c>
      <c r="AJ59" s="33">
        <f>IF(AJ49=YEAR(Hipótesis!$E$15)+Hipótesis!$E$13,-$E$37*Hipótesis!$E$14*(1+2%)^Hipótesis!P35,0)</f>
        <v>0</v>
      </c>
    </row>
    <row r="60" spans="2:36" x14ac:dyDescent="0.2">
      <c r="B60" s="39" t="s">
        <v>38</v>
      </c>
      <c r="C60" s="38" t="s">
        <v>30</v>
      </c>
      <c r="D60" s="33">
        <f>D59+D57+D56+D58</f>
        <v>0</v>
      </c>
      <c r="E60" s="33">
        <f t="shared" ref="E60:Y60" si="79">E59+E57+E56+E58</f>
        <v>-63730</v>
      </c>
      <c r="F60" s="33">
        <f t="shared" si="79"/>
        <v>6362.5</v>
      </c>
      <c r="G60" s="33">
        <f t="shared" si="79"/>
        <v>6337</v>
      </c>
      <c r="H60" s="33">
        <f t="shared" si="79"/>
        <v>6463.74</v>
      </c>
      <c r="I60" s="33">
        <f t="shared" si="79"/>
        <v>6593.0147999999999</v>
      </c>
      <c r="J60" s="33">
        <f t="shared" si="79"/>
        <v>6724.8750960000007</v>
      </c>
      <c r="K60" s="33">
        <f t="shared" si="79"/>
        <v>6859.3725979200017</v>
      </c>
      <c r="L60" s="33">
        <f t="shared" si="79"/>
        <v>7418.1809066004025</v>
      </c>
      <c r="M60" s="33">
        <f t="shared" si="79"/>
        <v>7566.5445247324105</v>
      </c>
      <c r="N60" s="33">
        <f t="shared" si="79"/>
        <v>6264.5995801070894</v>
      </c>
      <c r="O60" s="33">
        <f t="shared" si="79"/>
        <v>5904.1746926486985</v>
      </c>
      <c r="P60" s="33">
        <f t="shared" si="79"/>
        <v>6022.2581865016728</v>
      </c>
      <c r="Q60" s="33">
        <f t="shared" si="79"/>
        <v>6142.7033502317081</v>
      </c>
      <c r="R60" s="33">
        <f t="shared" si="79"/>
        <v>6265.5574172363413</v>
      </c>
      <c r="S60" s="33">
        <f t="shared" si="79"/>
        <v>6390.8685655810677</v>
      </c>
      <c r="T60" s="33">
        <f t="shared" si="79"/>
        <v>6518.6859368926889</v>
      </c>
      <c r="U60" s="33">
        <f t="shared" si="79"/>
        <v>6649.0596556305445</v>
      </c>
      <c r="V60" s="33">
        <f t="shared" si="79"/>
        <v>6782.0408487431532</v>
      </c>
      <c r="W60" s="33">
        <f t="shared" si="79"/>
        <v>6917.6816657180188</v>
      </c>
      <c r="X60" s="33">
        <f t="shared" si="79"/>
        <v>7056.0352990323781</v>
      </c>
      <c r="Y60" s="33">
        <f t="shared" si="79"/>
        <v>9596.2080066840354</v>
      </c>
      <c r="Z60" s="33">
        <f t="shared" ref="Z60:AF60" si="80">Z59+Z57+Z56+Z58</f>
        <v>9788.1321668177152</v>
      </c>
      <c r="AA60" s="33">
        <f t="shared" si="80"/>
        <v>9983.8948101540718</v>
      </c>
      <c r="AB60" s="33">
        <f t="shared" si="80"/>
        <v>10183.57270635715</v>
      </c>
      <c r="AC60" s="33">
        <f t="shared" si="80"/>
        <v>10387.244160484295</v>
      </c>
      <c r="AD60" s="33">
        <f t="shared" si="80"/>
        <v>10594.989043693982</v>
      </c>
      <c r="AE60" s="33">
        <f t="shared" si="80"/>
        <v>10806.888824567861</v>
      </c>
      <c r="AF60" s="33">
        <f t="shared" si="80"/>
        <v>11023.026601059219</v>
      </c>
      <c r="AG60" s="33">
        <f t="shared" ref="AG60:AJ60" si="81">AG59+AG57+AG56+AG58</f>
        <v>11243.487133080405</v>
      </c>
      <c r="AH60" s="33">
        <f t="shared" si="81"/>
        <v>11468.356875742014</v>
      </c>
      <c r="AI60" s="33">
        <f t="shared" si="81"/>
        <v>5660.5049503229793</v>
      </c>
      <c r="AJ60" s="33">
        <f t="shared" si="81"/>
        <v>0</v>
      </c>
    </row>
    <row r="61" spans="2:36" x14ac:dyDescent="0.2"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</row>
    <row r="62" spans="2:36" x14ac:dyDescent="0.2"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</row>
    <row r="63" spans="2:36" x14ac:dyDescent="0.2">
      <c r="B63" s="39" t="s">
        <v>39</v>
      </c>
      <c r="C63" s="48">
        <f>IRR(E60:AJ60)</f>
        <v>0.10342380621885949</v>
      </c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</row>
    <row r="64" spans="2:36" x14ac:dyDescent="0.2">
      <c r="B64" s="24" t="s">
        <v>42</v>
      </c>
      <c r="C64" s="48">
        <f>+Hipótesis!E26</f>
        <v>6.3750000000000001E-2</v>
      </c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</row>
    <row r="65" spans="2:36" x14ac:dyDescent="0.2"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</row>
    <row r="66" spans="2:36" x14ac:dyDescent="0.2"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</row>
    <row r="67" spans="2:36" x14ac:dyDescent="0.2"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</row>
    <row r="68" spans="2:36" x14ac:dyDescent="0.2">
      <c r="B68" s="39" t="s">
        <v>44</v>
      </c>
      <c r="C68" s="34"/>
      <c r="D68" s="36"/>
      <c r="E68" s="36">
        <f>E37</f>
        <v>-62500</v>
      </c>
      <c r="F68" s="36">
        <f t="shared" ref="F68:X68" si="82">F37/20</f>
        <v>0</v>
      </c>
      <c r="G68" s="36">
        <f t="shared" si="82"/>
        <v>0</v>
      </c>
      <c r="H68" s="36">
        <f t="shared" si="82"/>
        <v>0</v>
      </c>
      <c r="I68" s="36">
        <f t="shared" si="82"/>
        <v>0</v>
      </c>
      <c r="J68" s="36">
        <f t="shared" si="82"/>
        <v>0</v>
      </c>
      <c r="K68" s="36">
        <f t="shared" si="82"/>
        <v>0</v>
      </c>
      <c r="L68" s="36">
        <f t="shared" si="82"/>
        <v>0</v>
      </c>
      <c r="M68" s="36">
        <f t="shared" si="82"/>
        <v>0</v>
      </c>
      <c r="N68" s="36">
        <f t="shared" si="82"/>
        <v>0</v>
      </c>
      <c r="O68" s="36">
        <f t="shared" si="82"/>
        <v>0</v>
      </c>
      <c r="P68" s="36">
        <f t="shared" si="82"/>
        <v>0</v>
      </c>
      <c r="Q68" s="36">
        <f t="shared" si="82"/>
        <v>0</v>
      </c>
      <c r="R68" s="36">
        <f t="shared" si="82"/>
        <v>0</v>
      </c>
      <c r="S68" s="36">
        <f t="shared" si="82"/>
        <v>0</v>
      </c>
      <c r="T68" s="36">
        <f t="shared" si="82"/>
        <v>0</v>
      </c>
      <c r="U68" s="36">
        <f t="shared" si="82"/>
        <v>0</v>
      </c>
      <c r="V68" s="36">
        <f t="shared" si="82"/>
        <v>0</v>
      </c>
      <c r="W68" s="36">
        <f t="shared" si="82"/>
        <v>0</v>
      </c>
      <c r="X68" s="36">
        <f t="shared" si="82"/>
        <v>0</v>
      </c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</row>
    <row r="69" spans="2:36" x14ac:dyDescent="0.2">
      <c r="B69" s="39" t="s">
        <v>32</v>
      </c>
      <c r="C69" s="38"/>
      <c r="D69" s="33"/>
      <c r="E69" s="33">
        <f t="shared" ref="E69:X69" si="83">E54+E68</f>
        <v>-56230</v>
      </c>
      <c r="F69" s="33">
        <f t="shared" si="83"/>
        <v>6362.5</v>
      </c>
      <c r="G69" s="33">
        <f t="shared" si="83"/>
        <v>6337</v>
      </c>
      <c r="H69" s="33">
        <f t="shared" si="83"/>
        <v>6463.74</v>
      </c>
      <c r="I69" s="33">
        <f t="shared" si="83"/>
        <v>6593.0147999999999</v>
      </c>
      <c r="J69" s="33">
        <f t="shared" si="83"/>
        <v>6724.8750960000007</v>
      </c>
      <c r="K69" s="33">
        <f t="shared" si="83"/>
        <v>6859.3725979200017</v>
      </c>
      <c r="L69" s="33">
        <f t="shared" si="83"/>
        <v>7418.1809066004025</v>
      </c>
      <c r="M69" s="33">
        <f t="shared" si="83"/>
        <v>7566.5445247324105</v>
      </c>
      <c r="N69" s="33">
        <f t="shared" si="83"/>
        <v>7717.8754152270576</v>
      </c>
      <c r="O69" s="33">
        <f t="shared" si="83"/>
        <v>7872.2329235315983</v>
      </c>
      <c r="P69" s="33">
        <f t="shared" si="83"/>
        <v>8029.6775820022303</v>
      </c>
      <c r="Q69" s="33">
        <f t="shared" si="83"/>
        <v>8190.2711336422772</v>
      </c>
      <c r="R69" s="33">
        <f t="shared" si="83"/>
        <v>8354.0765563151217</v>
      </c>
      <c r="S69" s="33">
        <f t="shared" si="83"/>
        <v>8521.158087441423</v>
      </c>
      <c r="T69" s="33">
        <f t="shared" si="83"/>
        <v>8691.5812491902525</v>
      </c>
      <c r="U69" s="33">
        <f t="shared" si="83"/>
        <v>8865.4128741740587</v>
      </c>
      <c r="V69" s="33">
        <f t="shared" si="83"/>
        <v>9042.7211316575376</v>
      </c>
      <c r="W69" s="33">
        <f t="shared" si="83"/>
        <v>9223.5755542906918</v>
      </c>
      <c r="X69" s="33">
        <f t="shared" si="83"/>
        <v>9408.0470653765042</v>
      </c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</row>
    <row r="70" spans="2:36" x14ac:dyDescent="0.2">
      <c r="B70" s="39" t="s">
        <v>8</v>
      </c>
      <c r="C70" s="38"/>
      <c r="D70" s="33"/>
      <c r="E70" s="33">
        <f>-E69*Hipótesis!$E$22%</f>
        <v>14057.5</v>
      </c>
      <c r="F70" s="33">
        <f>-F69*Hipótesis!$E$22%</f>
        <v>-1590.625</v>
      </c>
      <c r="G70" s="33">
        <f>-G69*Hipótesis!$E$22%</f>
        <v>-1584.25</v>
      </c>
      <c r="H70" s="33">
        <f>-H69*Hipótesis!$E$22%</f>
        <v>-1615.9349999999999</v>
      </c>
      <c r="I70" s="33">
        <f>-I69*Hipótesis!$E$22%</f>
        <v>-1648.2537</v>
      </c>
      <c r="J70" s="33">
        <f>-J69*Hipótesis!$E$22%</f>
        <v>-1681.2187740000002</v>
      </c>
      <c r="K70" s="33">
        <f>-K69*Hipótesis!$E$22%</f>
        <v>-1714.8431494800004</v>
      </c>
      <c r="L70" s="33">
        <f>-L69*Hipótesis!$E$22%</f>
        <v>-1854.5452266501006</v>
      </c>
      <c r="M70" s="33">
        <f>-M69*Hipótesis!$E$22%</f>
        <v>-1891.6361311831026</v>
      </c>
      <c r="N70" s="33">
        <f>-N69*Hipótesis!$E$22%</f>
        <v>-1929.4688538067644</v>
      </c>
      <c r="O70" s="33">
        <f>-O69*Hipótesis!$E$22%</f>
        <v>-1968.0582308828996</v>
      </c>
      <c r="P70" s="33">
        <f>-P69*Hipótesis!$E$22%</f>
        <v>-2007.4193955005576</v>
      </c>
      <c r="Q70" s="33">
        <f>-Q69*Hipótesis!$E$22%</f>
        <v>-2047.5677834105693</v>
      </c>
      <c r="R70" s="33">
        <f>-R69*Hipótesis!$E$22%</f>
        <v>-2088.5191390787804</v>
      </c>
      <c r="S70" s="33">
        <f>-S69*Hipótesis!$E$22%</f>
        <v>-2130.2895218603558</v>
      </c>
      <c r="T70" s="33">
        <f>-T69*Hipótesis!$E$22%</f>
        <v>-2172.8953122975631</v>
      </c>
      <c r="U70" s="33">
        <f>-U69*Hipótesis!$E$22%</f>
        <v>-2216.3532185435147</v>
      </c>
      <c r="V70" s="33">
        <f>-V69*Hipótesis!$E$22%</f>
        <v>-2260.6802829143844</v>
      </c>
      <c r="W70" s="33">
        <f>-W69*Hipótesis!$E$22%</f>
        <v>-2305.8938885726729</v>
      </c>
      <c r="X70" s="33">
        <f>-X69*Hipótesis!$E$22%</f>
        <v>-2352.011766344126</v>
      </c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</row>
    <row r="71" spans="2:36" x14ac:dyDescent="0.2">
      <c r="B71" s="39" t="s">
        <v>45</v>
      </c>
      <c r="C71" s="38"/>
      <c r="D71" s="33"/>
      <c r="E71" s="33">
        <f>IF(E70&gt;0,0,SUM($D$70:E70))</f>
        <v>0</v>
      </c>
      <c r="F71" s="33">
        <f>IF(F70&gt;0,0,SUM($D$70:F70))</f>
        <v>12466.875</v>
      </c>
      <c r="G71" s="33">
        <f>IF(G70&gt;0,0,SUM($D$70:G70))</f>
        <v>10882.625</v>
      </c>
      <c r="H71" s="33">
        <f>IF(H70&gt;0,0,SUM($D$70:H70))</f>
        <v>9266.69</v>
      </c>
      <c r="I71" s="33">
        <f>IF(I70&gt;0,0,SUM($D$70:I70))</f>
        <v>7618.4363000000003</v>
      </c>
      <c r="J71" s="33">
        <f>IF(J70&gt;0,0,SUM($D$70:J70))</f>
        <v>5937.2175260000004</v>
      </c>
      <c r="K71" s="33">
        <f>IF(K70&gt;0,0,SUM($D$70:K70))</f>
        <v>4222.3743765199997</v>
      </c>
      <c r="L71" s="33">
        <f>IF(L70&gt;0,0,SUM($D$70:L70))</f>
        <v>2367.8291498698991</v>
      </c>
      <c r="M71" s="33">
        <f>IF(M70&gt;0,0,SUM($D$70:M70))</f>
        <v>476.19301868679645</v>
      </c>
      <c r="N71" s="33">
        <f>IF(N70&gt;0,0,SUM($D$70:N70))</f>
        <v>-1453.275835119968</v>
      </c>
      <c r="O71" s="33">
        <f>IF(O70&gt;0,0,SUM($D$70:O70))</f>
        <v>-3421.3340660028675</v>
      </c>
      <c r="P71" s="33">
        <f>IF(P70&gt;0,0,SUM($D$70:P70))</f>
        <v>-5428.7534615034256</v>
      </c>
      <c r="Q71" s="33">
        <f>IF(Q70&gt;0,0,SUM($D$70:Q70))</f>
        <v>-7476.3212449139946</v>
      </c>
      <c r="R71" s="33">
        <f>IF(R70&gt;0,0,SUM($D$70:R70))</f>
        <v>-9564.8403839927742</v>
      </c>
      <c r="S71" s="33">
        <f>IF(S70&gt;0,0,SUM($D$70:S70))</f>
        <v>-11695.129905853129</v>
      </c>
      <c r="T71" s="33">
        <f>IF(T70&gt;0,0,SUM($D$70:T70))</f>
        <v>-13868.025218150693</v>
      </c>
      <c r="U71" s="33">
        <f>IF(U70&gt;0,0,SUM($D$70:U70))</f>
        <v>-16084.378436694207</v>
      </c>
      <c r="V71" s="33">
        <f>IF(V70&gt;0,0,SUM($D$70:V70))</f>
        <v>-18345.058719608591</v>
      </c>
      <c r="W71" s="33">
        <f>IF(W70&gt;0,0,SUM($D$70:W70))</f>
        <v>-20650.952608181266</v>
      </c>
      <c r="X71" s="33">
        <f>IF(X70&gt;0,0,SUM($D$70:X70))</f>
        <v>-23002.964374525392</v>
      </c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</row>
    <row r="72" spans="2:36" x14ac:dyDescent="0.2">
      <c r="B72" s="39" t="s">
        <v>46</v>
      </c>
      <c r="C72" s="38"/>
      <c r="D72" s="33"/>
      <c r="E72" s="33">
        <v>0</v>
      </c>
      <c r="F72" s="33">
        <f>IF(F71&gt;0,0,IF(E71&gt;0,F71,F70))</f>
        <v>0</v>
      </c>
      <c r="G72" s="33">
        <f t="shared" ref="G72:N72" si="84">IF(G71&gt;0,0,IF(F71&gt;0,G71,G70))</f>
        <v>0</v>
      </c>
      <c r="H72" s="33">
        <f t="shared" si="84"/>
        <v>0</v>
      </c>
      <c r="I72" s="33">
        <f t="shared" si="84"/>
        <v>0</v>
      </c>
      <c r="J72" s="33">
        <f t="shared" si="84"/>
        <v>0</v>
      </c>
      <c r="K72" s="33">
        <f t="shared" si="84"/>
        <v>0</v>
      </c>
      <c r="L72" s="33">
        <f t="shared" si="84"/>
        <v>0</v>
      </c>
      <c r="M72" s="33">
        <f t="shared" si="84"/>
        <v>0</v>
      </c>
      <c r="N72" s="33">
        <f t="shared" si="84"/>
        <v>-1453.275835119968</v>
      </c>
      <c r="O72" s="33">
        <f t="shared" ref="O72" si="85">IF(O71&gt;0,0,IF(N71&gt;0,O71,O70))</f>
        <v>-1968.0582308828996</v>
      </c>
      <c r="P72" s="33">
        <f t="shared" ref="P72" si="86">IF(P71&gt;0,0,IF(O71&gt;0,P71,P70))</f>
        <v>-2007.4193955005576</v>
      </c>
      <c r="Q72" s="33">
        <f t="shared" ref="Q72" si="87">IF(Q71&gt;0,0,IF(P71&gt;0,Q71,Q70))</f>
        <v>-2047.5677834105693</v>
      </c>
      <c r="R72" s="33">
        <f t="shared" ref="R72" si="88">IF(R71&gt;0,0,IF(Q71&gt;0,R71,R70))</f>
        <v>-2088.5191390787804</v>
      </c>
      <c r="S72" s="33">
        <f t="shared" ref="S72" si="89">IF(S71&gt;0,0,IF(R71&gt;0,S71,S70))</f>
        <v>-2130.2895218603558</v>
      </c>
      <c r="T72" s="33">
        <f t="shared" ref="T72" si="90">IF(T71&gt;0,0,IF(S71&gt;0,T71,T70))</f>
        <v>-2172.8953122975631</v>
      </c>
      <c r="U72" s="33">
        <f t="shared" ref="U72:V72" si="91">IF(U71&gt;0,0,IF(T71&gt;0,U71,U70))</f>
        <v>-2216.3532185435147</v>
      </c>
      <c r="V72" s="33">
        <f t="shared" si="91"/>
        <v>-2260.6802829143844</v>
      </c>
      <c r="W72" s="33">
        <f t="shared" ref="W72" si="92">IF(W71&gt;0,0,IF(V71&gt;0,W71,W70))</f>
        <v>-2305.8938885726729</v>
      </c>
      <c r="X72" s="33">
        <f t="shared" ref="X72" si="93">IF(X71&gt;0,0,IF(W71&gt;0,X71,X70))</f>
        <v>-2352.011766344126</v>
      </c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</row>
    <row r="73" spans="2:36" x14ac:dyDescent="0.2"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</row>
    <row r="74" spans="2:36" x14ac:dyDescent="0.2"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</row>
    <row r="75" spans="2:36" x14ac:dyDescent="0.2"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</row>
    <row r="76" spans="2:36" x14ac:dyDescent="0.2">
      <c r="B76" s="35" t="s">
        <v>51</v>
      </c>
      <c r="C76" s="32"/>
      <c r="D76" s="32"/>
      <c r="E76" s="32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</row>
    <row r="77" spans="2:36" x14ac:dyDescent="0.2"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</row>
    <row r="78" spans="2:36" x14ac:dyDescent="0.2">
      <c r="B78" s="47" t="s">
        <v>28</v>
      </c>
      <c r="C78" s="47" t="s">
        <v>27</v>
      </c>
      <c r="D78" s="47">
        <f>+D49</f>
        <v>2025</v>
      </c>
      <c r="E78" s="47">
        <f t="shared" ref="E78:Y78" si="94">+E49</f>
        <v>2026</v>
      </c>
      <c r="F78" s="47">
        <f t="shared" si="94"/>
        <v>2027</v>
      </c>
      <c r="G78" s="47">
        <f t="shared" si="94"/>
        <v>2028</v>
      </c>
      <c r="H78" s="47">
        <f t="shared" si="94"/>
        <v>2029</v>
      </c>
      <c r="I78" s="47">
        <f t="shared" si="94"/>
        <v>2030</v>
      </c>
      <c r="J78" s="47">
        <f t="shared" si="94"/>
        <v>2031</v>
      </c>
      <c r="K78" s="47">
        <f t="shared" si="94"/>
        <v>2032</v>
      </c>
      <c r="L78" s="47">
        <f t="shared" si="94"/>
        <v>2033</v>
      </c>
      <c r="M78" s="47">
        <f t="shared" si="94"/>
        <v>2034</v>
      </c>
      <c r="N78" s="47">
        <f t="shared" si="94"/>
        <v>2035</v>
      </c>
      <c r="O78" s="47">
        <f t="shared" si="94"/>
        <v>2036</v>
      </c>
      <c r="P78" s="47">
        <f t="shared" si="94"/>
        <v>2037</v>
      </c>
      <c r="Q78" s="47">
        <f t="shared" si="94"/>
        <v>2038</v>
      </c>
      <c r="R78" s="47">
        <f t="shared" si="94"/>
        <v>2039</v>
      </c>
      <c r="S78" s="47">
        <f t="shared" si="94"/>
        <v>2040</v>
      </c>
      <c r="T78" s="47">
        <f t="shared" si="94"/>
        <v>2041</v>
      </c>
      <c r="U78" s="47">
        <f t="shared" si="94"/>
        <v>2042</v>
      </c>
      <c r="V78" s="47">
        <f t="shared" si="94"/>
        <v>2043</v>
      </c>
      <c r="W78" s="47">
        <f t="shared" si="94"/>
        <v>2044</v>
      </c>
      <c r="X78" s="47">
        <f t="shared" si="94"/>
        <v>2045</v>
      </c>
      <c r="Y78" s="47">
        <f t="shared" si="94"/>
        <v>2046</v>
      </c>
      <c r="Z78" s="64">
        <f t="shared" ref="Z78:AF78" si="95">+Z49</f>
        <v>2047</v>
      </c>
      <c r="AA78" s="64">
        <f t="shared" si="95"/>
        <v>2048</v>
      </c>
      <c r="AB78" s="64">
        <f t="shared" si="95"/>
        <v>2049</v>
      </c>
      <c r="AC78" s="64">
        <f t="shared" si="95"/>
        <v>2050</v>
      </c>
      <c r="AD78" s="64">
        <f t="shared" si="95"/>
        <v>2051</v>
      </c>
      <c r="AE78" s="64">
        <f t="shared" si="95"/>
        <v>2052</v>
      </c>
      <c r="AF78" s="64">
        <f t="shared" si="95"/>
        <v>2053</v>
      </c>
      <c r="AG78" s="64">
        <f t="shared" ref="AG78:AJ78" si="96">+AG49</f>
        <v>2054</v>
      </c>
      <c r="AH78" s="64">
        <f t="shared" si="96"/>
        <v>2055</v>
      </c>
      <c r="AI78" s="64">
        <f t="shared" si="96"/>
        <v>2056</v>
      </c>
      <c r="AJ78" s="64">
        <f t="shared" si="96"/>
        <v>2057</v>
      </c>
    </row>
    <row r="79" spans="2:36" x14ac:dyDescent="0.2">
      <c r="B79" s="24" t="s">
        <v>52</v>
      </c>
      <c r="E79" s="33">
        <f>+Hipótesis!E23/100*(Hipótesis!E8*Hipótesis!E7)</f>
        <v>43750</v>
      </c>
      <c r="F79" s="33">
        <f>+E81</f>
        <v>40104.166666666664</v>
      </c>
      <c r="G79" s="33">
        <f t="shared" ref="G79:P79" si="97">+F81</f>
        <v>36458.333333333328</v>
      </c>
      <c r="H79" s="33">
        <f t="shared" si="97"/>
        <v>32812.499999999993</v>
      </c>
      <c r="I79" s="33">
        <f t="shared" si="97"/>
        <v>29166.666666666661</v>
      </c>
      <c r="J79" s="33">
        <f t="shared" si="97"/>
        <v>25520.833333333328</v>
      </c>
      <c r="K79" s="33">
        <f t="shared" si="97"/>
        <v>21874.999999999996</v>
      </c>
      <c r="L79" s="33">
        <f t="shared" si="97"/>
        <v>18229.166666666664</v>
      </c>
      <c r="M79" s="33">
        <f t="shared" si="97"/>
        <v>14583.33333333333</v>
      </c>
      <c r="N79" s="33">
        <f t="shared" si="97"/>
        <v>10937.499999999996</v>
      </c>
      <c r="O79" s="33">
        <f t="shared" si="97"/>
        <v>7291.6666666666624</v>
      </c>
      <c r="P79" s="33">
        <f t="shared" si="97"/>
        <v>3645.8333333333289</v>
      </c>
      <c r="Q79" s="33"/>
      <c r="R79" s="33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</row>
    <row r="80" spans="2:36" x14ac:dyDescent="0.2">
      <c r="B80" s="24" t="s">
        <v>54</v>
      </c>
      <c r="E80" s="33">
        <f>-$E$79/Hipótesis!$E$24</f>
        <v>-3645.8333333333335</v>
      </c>
      <c r="F80" s="33">
        <f>-$E$79/Hipótesis!$E$24</f>
        <v>-3645.8333333333335</v>
      </c>
      <c r="G80" s="33">
        <f>-$E$79/Hipótesis!$E$24</f>
        <v>-3645.8333333333335</v>
      </c>
      <c r="H80" s="33">
        <f>-$E$79/Hipótesis!$E$24</f>
        <v>-3645.8333333333335</v>
      </c>
      <c r="I80" s="33">
        <f>-$E$79/Hipótesis!$E$24</f>
        <v>-3645.8333333333335</v>
      </c>
      <c r="J80" s="33">
        <f>-$E$79/Hipótesis!$E$24</f>
        <v>-3645.8333333333335</v>
      </c>
      <c r="K80" s="33">
        <f>-$E$79/Hipótesis!$E$24</f>
        <v>-3645.8333333333335</v>
      </c>
      <c r="L80" s="33">
        <f>-$E$79/Hipótesis!$E$24</f>
        <v>-3645.8333333333335</v>
      </c>
      <c r="M80" s="33">
        <f>-$E$79/Hipótesis!$E$24</f>
        <v>-3645.8333333333335</v>
      </c>
      <c r="N80" s="33">
        <f>-$E$79/Hipótesis!$E$24</f>
        <v>-3645.8333333333335</v>
      </c>
      <c r="O80" s="33">
        <f>-$E$79/Hipótesis!$E$24</f>
        <v>-3645.8333333333335</v>
      </c>
      <c r="P80" s="33">
        <f>-$E$79/Hipótesis!$E$24</f>
        <v>-3645.8333333333335</v>
      </c>
      <c r="Q80" s="33"/>
      <c r="R80" s="33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</row>
    <row r="81" spans="2:36" x14ac:dyDescent="0.2">
      <c r="B81" s="24" t="s">
        <v>53</v>
      </c>
      <c r="E81" s="33">
        <f>+E79+E80</f>
        <v>40104.166666666664</v>
      </c>
      <c r="F81" s="33">
        <f>+F79+F80</f>
        <v>36458.333333333328</v>
      </c>
      <c r="G81" s="33">
        <f t="shared" ref="G81:P81" si="98">+G79+G80</f>
        <v>32812.499999999993</v>
      </c>
      <c r="H81" s="33">
        <f t="shared" si="98"/>
        <v>29166.666666666661</v>
      </c>
      <c r="I81" s="33">
        <f t="shared" si="98"/>
        <v>25520.833333333328</v>
      </c>
      <c r="J81" s="33">
        <f t="shared" si="98"/>
        <v>21874.999999999996</v>
      </c>
      <c r="K81" s="33">
        <f t="shared" si="98"/>
        <v>18229.166666666664</v>
      </c>
      <c r="L81" s="33">
        <f t="shared" si="98"/>
        <v>14583.33333333333</v>
      </c>
      <c r="M81" s="33">
        <f t="shared" si="98"/>
        <v>10937.499999999996</v>
      </c>
      <c r="N81" s="33">
        <f t="shared" si="98"/>
        <v>7291.6666666666624</v>
      </c>
      <c r="O81" s="33">
        <f t="shared" si="98"/>
        <v>3645.8333333333289</v>
      </c>
      <c r="P81" s="33">
        <f t="shared" si="98"/>
        <v>-4.5474735088646412E-12</v>
      </c>
      <c r="Q81" s="33"/>
      <c r="R81" s="33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</row>
    <row r="82" spans="2:36" x14ac:dyDescent="0.2">
      <c r="B82" s="24" t="s">
        <v>55</v>
      </c>
      <c r="E82" s="33">
        <f>+(E79+E81)/2</f>
        <v>41927.083333333328</v>
      </c>
      <c r="F82" s="33">
        <f>+(E81+F81)/2</f>
        <v>38281.25</v>
      </c>
      <c r="G82" s="33">
        <f t="shared" ref="G82:P82" si="99">+(F81+G81)/2</f>
        <v>34635.416666666657</v>
      </c>
      <c r="H82" s="33">
        <f t="shared" si="99"/>
        <v>30989.583333333328</v>
      </c>
      <c r="I82" s="33">
        <f t="shared" si="99"/>
        <v>27343.749999999993</v>
      </c>
      <c r="J82" s="33">
        <f t="shared" si="99"/>
        <v>23697.916666666664</v>
      </c>
      <c r="K82" s="33">
        <f t="shared" si="99"/>
        <v>20052.083333333328</v>
      </c>
      <c r="L82" s="33">
        <f t="shared" si="99"/>
        <v>16406.249999999996</v>
      </c>
      <c r="M82" s="33">
        <f t="shared" si="99"/>
        <v>12760.416666666664</v>
      </c>
      <c r="N82" s="33">
        <f t="shared" si="99"/>
        <v>9114.5833333333285</v>
      </c>
      <c r="O82" s="33">
        <f t="shared" si="99"/>
        <v>5468.7499999999955</v>
      </c>
      <c r="P82" s="33">
        <f t="shared" si="99"/>
        <v>1822.9166666666622</v>
      </c>
      <c r="Q82" s="33"/>
      <c r="R82" s="33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</row>
    <row r="83" spans="2:36" x14ac:dyDescent="0.2">
      <c r="B83" s="24" t="s">
        <v>56</v>
      </c>
      <c r="E83" s="33">
        <f>-(Hipótesis!$E$25/100)*FC!E82</f>
        <v>-1257.8124999999998</v>
      </c>
      <c r="F83" s="33">
        <f>-(Hipótesis!$E$25/100)*FC!F82</f>
        <v>-1148.4375</v>
      </c>
      <c r="G83" s="33">
        <f>-(Hipótesis!$E$25/100)*FC!G82</f>
        <v>-1039.0624999999998</v>
      </c>
      <c r="H83" s="33">
        <f>-(Hipótesis!$E$25/100)*FC!H82</f>
        <v>-929.68749999999977</v>
      </c>
      <c r="I83" s="33">
        <f>-(Hipótesis!$E$25/100)*FC!I82</f>
        <v>-820.31249999999977</v>
      </c>
      <c r="J83" s="33">
        <f>-(Hipótesis!$E$25/100)*FC!J82</f>
        <v>-710.93749999999989</v>
      </c>
      <c r="K83" s="33">
        <f>-(Hipótesis!$E$25/100)*FC!K82</f>
        <v>-601.56249999999989</v>
      </c>
      <c r="L83" s="33">
        <f>-(Hipótesis!$E$25/100)*FC!L82</f>
        <v>-492.18749999999989</v>
      </c>
      <c r="M83" s="33">
        <f>-(Hipótesis!$E$25/100)*FC!M82</f>
        <v>-382.81249999999989</v>
      </c>
      <c r="N83" s="33">
        <f>-(Hipótesis!$E$25/100)*FC!N82</f>
        <v>-273.43749999999983</v>
      </c>
      <c r="O83" s="33">
        <f>-(Hipótesis!$E$25/100)*FC!O82</f>
        <v>-164.06249999999986</v>
      </c>
      <c r="P83" s="33">
        <f>-(Hipótesis!$E$25/100)*FC!P82</f>
        <v>-54.687499999999865</v>
      </c>
      <c r="Q83" s="33"/>
      <c r="R83" s="33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</row>
    <row r="86" spans="2:36" x14ac:dyDescent="0.2">
      <c r="E86" s="24">
        <v>1</v>
      </c>
      <c r="F86" s="24">
        <f>+E86+1</f>
        <v>2</v>
      </c>
      <c r="G86" s="24">
        <f t="shared" ref="G86:AI86" si="100">+F86+1</f>
        <v>3</v>
      </c>
      <c r="H86" s="24">
        <f t="shared" si="100"/>
        <v>4</v>
      </c>
      <c r="I86" s="24">
        <f t="shared" si="100"/>
        <v>5</v>
      </c>
      <c r="J86" s="24">
        <f t="shared" si="100"/>
        <v>6</v>
      </c>
      <c r="K86" s="24">
        <f t="shared" si="100"/>
        <v>7</v>
      </c>
      <c r="L86" s="24">
        <f t="shared" si="100"/>
        <v>8</v>
      </c>
      <c r="M86" s="24">
        <f t="shared" si="100"/>
        <v>9</v>
      </c>
      <c r="N86" s="24">
        <f t="shared" si="100"/>
        <v>10</v>
      </c>
      <c r="O86" s="24">
        <f t="shared" si="100"/>
        <v>11</v>
      </c>
      <c r="P86" s="24">
        <f t="shared" si="100"/>
        <v>12</v>
      </c>
      <c r="Q86" s="24">
        <f t="shared" si="100"/>
        <v>13</v>
      </c>
      <c r="R86" s="24">
        <f t="shared" si="100"/>
        <v>14</v>
      </c>
      <c r="S86" s="24">
        <f t="shared" si="100"/>
        <v>15</v>
      </c>
      <c r="T86" s="24">
        <f t="shared" si="100"/>
        <v>16</v>
      </c>
      <c r="U86" s="24">
        <f t="shared" si="100"/>
        <v>17</v>
      </c>
      <c r="V86" s="24">
        <f t="shared" si="100"/>
        <v>18</v>
      </c>
      <c r="W86" s="24">
        <f t="shared" si="100"/>
        <v>19</v>
      </c>
      <c r="X86" s="24">
        <f t="shared" si="100"/>
        <v>20</v>
      </c>
      <c r="Y86" s="24">
        <f t="shared" si="100"/>
        <v>21</v>
      </c>
      <c r="Z86" s="24">
        <f t="shared" si="100"/>
        <v>22</v>
      </c>
      <c r="AA86" s="24">
        <f t="shared" si="100"/>
        <v>23</v>
      </c>
      <c r="AB86" s="24">
        <f t="shared" si="100"/>
        <v>24</v>
      </c>
      <c r="AC86" s="24">
        <f t="shared" si="100"/>
        <v>25</v>
      </c>
      <c r="AD86" s="24">
        <f t="shared" si="100"/>
        <v>26</v>
      </c>
      <c r="AE86" s="24">
        <f t="shared" si="100"/>
        <v>27</v>
      </c>
      <c r="AF86" s="24">
        <f t="shared" si="100"/>
        <v>28</v>
      </c>
      <c r="AG86" s="24">
        <f t="shared" si="100"/>
        <v>29</v>
      </c>
      <c r="AH86" s="24">
        <f t="shared" si="100"/>
        <v>30</v>
      </c>
      <c r="AI86" s="24">
        <f t="shared" si="100"/>
        <v>31</v>
      </c>
    </row>
    <row r="87" spans="2:36" x14ac:dyDescent="0.2">
      <c r="B87" s="90" t="s">
        <v>82</v>
      </c>
      <c r="C87" s="90"/>
      <c r="D87" s="90" t="s">
        <v>87</v>
      </c>
      <c r="E87" s="90">
        <f>+E78</f>
        <v>2026</v>
      </c>
      <c r="F87" s="90">
        <f t="shared" ref="F87:AJ87" si="101">+F78</f>
        <v>2027</v>
      </c>
      <c r="G87" s="90">
        <f t="shared" si="101"/>
        <v>2028</v>
      </c>
      <c r="H87" s="90">
        <f t="shared" si="101"/>
        <v>2029</v>
      </c>
      <c r="I87" s="90">
        <f t="shared" si="101"/>
        <v>2030</v>
      </c>
      <c r="J87" s="90">
        <f t="shared" si="101"/>
        <v>2031</v>
      </c>
      <c r="K87" s="90">
        <f t="shared" si="101"/>
        <v>2032</v>
      </c>
      <c r="L87" s="90">
        <f t="shared" si="101"/>
        <v>2033</v>
      </c>
      <c r="M87" s="90">
        <f t="shared" si="101"/>
        <v>2034</v>
      </c>
      <c r="N87" s="90">
        <f t="shared" si="101"/>
        <v>2035</v>
      </c>
      <c r="O87" s="90">
        <f t="shared" si="101"/>
        <v>2036</v>
      </c>
      <c r="P87" s="90">
        <f t="shared" si="101"/>
        <v>2037</v>
      </c>
      <c r="Q87" s="90">
        <f t="shared" si="101"/>
        <v>2038</v>
      </c>
      <c r="R87" s="90">
        <f t="shared" si="101"/>
        <v>2039</v>
      </c>
      <c r="S87" s="90">
        <f t="shared" si="101"/>
        <v>2040</v>
      </c>
      <c r="T87" s="90">
        <f t="shared" si="101"/>
        <v>2041</v>
      </c>
      <c r="U87" s="90">
        <f t="shared" si="101"/>
        <v>2042</v>
      </c>
      <c r="V87" s="90">
        <f t="shared" si="101"/>
        <v>2043</v>
      </c>
      <c r="W87" s="90">
        <f t="shared" si="101"/>
        <v>2044</v>
      </c>
      <c r="X87" s="90">
        <f t="shared" si="101"/>
        <v>2045</v>
      </c>
      <c r="Y87" s="90">
        <f t="shared" si="101"/>
        <v>2046</v>
      </c>
      <c r="Z87" s="90">
        <f t="shared" si="101"/>
        <v>2047</v>
      </c>
      <c r="AA87" s="90">
        <f t="shared" si="101"/>
        <v>2048</v>
      </c>
      <c r="AB87" s="90">
        <f t="shared" si="101"/>
        <v>2049</v>
      </c>
      <c r="AC87" s="90">
        <f t="shared" si="101"/>
        <v>2050</v>
      </c>
      <c r="AD87" s="90">
        <f t="shared" si="101"/>
        <v>2051</v>
      </c>
      <c r="AE87" s="90">
        <f t="shared" si="101"/>
        <v>2052</v>
      </c>
      <c r="AF87" s="90">
        <f t="shared" si="101"/>
        <v>2053</v>
      </c>
      <c r="AG87" s="90">
        <f t="shared" si="101"/>
        <v>2054</v>
      </c>
      <c r="AH87" s="90">
        <f t="shared" si="101"/>
        <v>2055</v>
      </c>
      <c r="AI87" s="90">
        <f t="shared" si="101"/>
        <v>2056</v>
      </c>
      <c r="AJ87" s="90">
        <f t="shared" si="101"/>
        <v>2057</v>
      </c>
    </row>
    <row r="88" spans="2:36" x14ac:dyDescent="0.2">
      <c r="B88" s="96" t="s">
        <v>83</v>
      </c>
      <c r="C88" s="89"/>
      <c r="D88" s="33"/>
      <c r="E88" s="33">
        <f>+E37+E38+E39</f>
        <v>-70000</v>
      </c>
      <c r="F88" s="33">
        <f t="shared" ref="F88:AJ88" si="102">+F37+F38+F39</f>
        <v>0</v>
      </c>
      <c r="G88" s="33">
        <f t="shared" si="102"/>
        <v>0</v>
      </c>
      <c r="H88" s="33">
        <f t="shared" si="102"/>
        <v>0</v>
      </c>
      <c r="I88" s="33">
        <f t="shared" si="102"/>
        <v>0</v>
      </c>
      <c r="J88" s="33">
        <f t="shared" si="102"/>
        <v>0</v>
      </c>
      <c r="K88" s="33">
        <f t="shared" si="102"/>
        <v>0</v>
      </c>
      <c r="L88" s="33">
        <f t="shared" si="102"/>
        <v>0</v>
      </c>
      <c r="M88" s="33">
        <f t="shared" si="102"/>
        <v>0</v>
      </c>
      <c r="N88" s="33">
        <f t="shared" si="102"/>
        <v>0</v>
      </c>
      <c r="O88" s="33">
        <f t="shared" si="102"/>
        <v>0</v>
      </c>
      <c r="P88" s="33">
        <f t="shared" si="102"/>
        <v>0</v>
      </c>
      <c r="Q88" s="33">
        <f t="shared" si="102"/>
        <v>0</v>
      </c>
      <c r="R88" s="33">
        <f t="shared" si="102"/>
        <v>0</v>
      </c>
      <c r="S88" s="33">
        <f t="shared" si="102"/>
        <v>0</v>
      </c>
      <c r="T88" s="33">
        <f t="shared" si="102"/>
        <v>0</v>
      </c>
      <c r="U88" s="33">
        <f t="shared" si="102"/>
        <v>0</v>
      </c>
      <c r="V88" s="33">
        <f t="shared" si="102"/>
        <v>0</v>
      </c>
      <c r="W88" s="33">
        <f t="shared" si="102"/>
        <v>0</v>
      </c>
      <c r="X88" s="33">
        <f t="shared" si="102"/>
        <v>0</v>
      </c>
      <c r="Y88" s="33">
        <f t="shared" si="102"/>
        <v>0</v>
      </c>
      <c r="Z88" s="33">
        <f t="shared" si="102"/>
        <v>0</v>
      </c>
      <c r="AA88" s="33">
        <f t="shared" si="102"/>
        <v>0</v>
      </c>
      <c r="AB88" s="33">
        <f t="shared" si="102"/>
        <v>0</v>
      </c>
      <c r="AC88" s="33">
        <f t="shared" si="102"/>
        <v>0</v>
      </c>
      <c r="AD88" s="33">
        <f t="shared" si="102"/>
        <v>0</v>
      </c>
      <c r="AE88" s="33">
        <f t="shared" si="102"/>
        <v>0</v>
      </c>
      <c r="AF88" s="33">
        <f t="shared" si="102"/>
        <v>0</v>
      </c>
      <c r="AG88" s="33">
        <f t="shared" si="102"/>
        <v>0</v>
      </c>
      <c r="AH88" s="33">
        <f t="shared" si="102"/>
        <v>0</v>
      </c>
      <c r="AI88" s="33">
        <f t="shared" si="102"/>
        <v>3125</v>
      </c>
      <c r="AJ88" s="33">
        <f t="shared" si="102"/>
        <v>0</v>
      </c>
    </row>
    <row r="89" spans="2:36" x14ac:dyDescent="0.2">
      <c r="B89" s="96" t="s">
        <v>84</v>
      </c>
      <c r="C89" s="89"/>
      <c r="D89" s="33"/>
      <c r="E89" s="33">
        <f>+E31-E33</f>
        <v>-1367.5</v>
      </c>
      <c r="F89" s="33">
        <f t="shared" ref="F89:AJ89" si="103">+F31-F33</f>
        <v>-1392.5</v>
      </c>
      <c r="G89" s="33">
        <f t="shared" si="103"/>
        <v>-1418</v>
      </c>
      <c r="H89" s="33">
        <f t="shared" si="103"/>
        <v>-1444.01</v>
      </c>
      <c r="I89" s="33">
        <f t="shared" si="103"/>
        <v>-1470.5402000000001</v>
      </c>
      <c r="J89" s="33">
        <f t="shared" si="103"/>
        <v>-1497.6010040000001</v>
      </c>
      <c r="K89" s="33">
        <f t="shared" si="103"/>
        <v>-1525.2030240800002</v>
      </c>
      <c r="L89" s="33">
        <f t="shared" si="103"/>
        <v>-1553.3570845616</v>
      </c>
      <c r="M89" s="33">
        <f t="shared" si="103"/>
        <v>-1582.0742262528322</v>
      </c>
      <c r="N89" s="33">
        <f t="shared" si="103"/>
        <v>-1611.3657107778888</v>
      </c>
      <c r="O89" s="33">
        <f t="shared" si="103"/>
        <v>-1641.2430249934466</v>
      </c>
      <c r="P89" s="33">
        <f t="shared" si="103"/>
        <v>-1671.7178854933154</v>
      </c>
      <c r="Q89" s="33">
        <f t="shared" si="103"/>
        <v>-1702.8022432031819</v>
      </c>
      <c r="R89" s="33">
        <f t="shared" si="103"/>
        <v>-1734.5082880672458</v>
      </c>
      <c r="S89" s="33">
        <f t="shared" si="103"/>
        <v>-1766.8484538285904</v>
      </c>
      <c r="T89" s="33">
        <f t="shared" si="103"/>
        <v>-1799.8354229051624</v>
      </c>
      <c r="U89" s="33">
        <f t="shared" si="103"/>
        <v>-1833.4821313632658</v>
      </c>
      <c r="V89" s="33">
        <f t="shared" si="103"/>
        <v>-1867.8017739905313</v>
      </c>
      <c r="W89" s="33">
        <f t="shared" si="103"/>
        <v>-1902.8078094703419</v>
      </c>
      <c r="X89" s="33">
        <f t="shared" si="103"/>
        <v>-1938.5139656597487</v>
      </c>
      <c r="Y89" s="33">
        <f t="shared" si="103"/>
        <v>-1974.9342449729438</v>
      </c>
      <c r="Z89" s="33">
        <f t="shared" si="103"/>
        <v>-2012.0829298724029</v>
      </c>
      <c r="AA89" s="33">
        <f t="shared" si="103"/>
        <v>-2049.9745884698509</v>
      </c>
      <c r="AB89" s="33">
        <f t="shared" si="103"/>
        <v>-2088.6240802392476</v>
      </c>
      <c r="AC89" s="33">
        <f t="shared" si="103"/>
        <v>-2128.046561844033</v>
      </c>
      <c r="AD89" s="33">
        <f t="shared" si="103"/>
        <v>-2168.2574930809133</v>
      </c>
      <c r="AE89" s="33">
        <f t="shared" si="103"/>
        <v>-2209.272642942532</v>
      </c>
      <c r="AF89" s="33">
        <f t="shared" si="103"/>
        <v>-2251.1080958013822</v>
      </c>
      <c r="AG89" s="33">
        <f t="shared" si="103"/>
        <v>-2293.7802577174098</v>
      </c>
      <c r="AH89" s="33">
        <f t="shared" si="103"/>
        <v>-2337.3058628717581</v>
      </c>
      <c r="AI89" s="33">
        <f t="shared" si="103"/>
        <v>0</v>
      </c>
      <c r="AJ89" s="33">
        <f t="shared" si="103"/>
        <v>0</v>
      </c>
    </row>
    <row r="90" spans="2:36" x14ac:dyDescent="0.2">
      <c r="B90" s="96" t="s">
        <v>85</v>
      </c>
      <c r="C90" s="89"/>
      <c r="D90" s="33"/>
      <c r="E90" s="33">
        <f>+E35</f>
        <v>-1046.6666666666665</v>
      </c>
      <c r="F90" s="33">
        <f t="shared" ref="F90:AJ90" si="104">+F35</f>
        <v>-1069.7916666666665</v>
      </c>
      <c r="G90" s="33">
        <f t="shared" si="104"/>
        <v>-1063.4166666666665</v>
      </c>
      <c r="H90" s="33">
        <f t="shared" si="104"/>
        <v>-1095.1016666666665</v>
      </c>
      <c r="I90" s="33">
        <f t="shared" si="104"/>
        <v>-1127.4203666666667</v>
      </c>
      <c r="J90" s="33">
        <f t="shared" si="104"/>
        <v>-1160.3854406666669</v>
      </c>
      <c r="K90" s="33">
        <f t="shared" si="104"/>
        <v>-1194.0098161466672</v>
      </c>
      <c r="L90" s="33">
        <f t="shared" si="104"/>
        <v>-1333.7118933167671</v>
      </c>
      <c r="M90" s="33">
        <f t="shared" si="104"/>
        <v>-1370.8027978497694</v>
      </c>
      <c r="N90" s="33">
        <f t="shared" si="104"/>
        <v>-1408.6355204734309</v>
      </c>
      <c r="O90" s="33">
        <f t="shared" si="104"/>
        <v>-1447.2248975495663</v>
      </c>
      <c r="P90" s="33">
        <f t="shared" si="104"/>
        <v>-1486.5860621672241</v>
      </c>
      <c r="Q90" s="33">
        <f t="shared" si="104"/>
        <v>-1526.734450077236</v>
      </c>
      <c r="R90" s="33">
        <f t="shared" si="104"/>
        <v>-1567.6858057454469</v>
      </c>
      <c r="S90" s="33">
        <f t="shared" si="104"/>
        <v>-1609.4561885270223</v>
      </c>
      <c r="T90" s="33">
        <f t="shared" si="104"/>
        <v>-1652.0619789642296</v>
      </c>
      <c r="U90" s="33">
        <f t="shared" si="104"/>
        <v>-1695.5198852101812</v>
      </c>
      <c r="V90" s="33">
        <f t="shared" si="104"/>
        <v>-1739.8469495810509</v>
      </c>
      <c r="W90" s="33">
        <f t="shared" si="104"/>
        <v>-1785.0605552393395</v>
      </c>
      <c r="X90" s="33">
        <f t="shared" si="104"/>
        <v>-1831.1784330107926</v>
      </c>
      <c r="Y90" s="33">
        <f t="shared" si="104"/>
        <v>-1878.2186683376754</v>
      </c>
      <c r="Z90" s="33">
        <f t="shared" si="104"/>
        <v>-1926.1997083710953</v>
      </c>
      <c r="AA90" s="33">
        <f t="shared" si="104"/>
        <v>-1975.1403692051845</v>
      </c>
      <c r="AB90" s="33">
        <f t="shared" si="104"/>
        <v>-2025.0598432559541</v>
      </c>
      <c r="AC90" s="33">
        <f t="shared" si="104"/>
        <v>-2075.9777067877403</v>
      </c>
      <c r="AD90" s="33">
        <f t="shared" si="104"/>
        <v>-2127.9139275901621</v>
      </c>
      <c r="AE90" s="33">
        <f t="shared" si="104"/>
        <v>-2180.8888728086317</v>
      </c>
      <c r="AF90" s="33">
        <f t="shared" si="104"/>
        <v>-2234.9233169314712</v>
      </c>
      <c r="AG90" s="33">
        <f t="shared" si="104"/>
        <v>-2290.0384499367678</v>
      </c>
      <c r="AH90" s="33">
        <f t="shared" si="104"/>
        <v>-2346.2558856021701</v>
      </c>
      <c r="AI90" s="33">
        <f t="shared" si="104"/>
        <v>0</v>
      </c>
      <c r="AJ90" s="33">
        <f t="shared" si="104"/>
        <v>0</v>
      </c>
    </row>
    <row r="91" spans="2:36" x14ac:dyDescent="0.2">
      <c r="B91" s="36" t="s">
        <v>88</v>
      </c>
      <c r="C91" s="36"/>
      <c r="D91" s="36">
        <f>+SUM(E91:AI91)</f>
        <v>-106450.71924093312</v>
      </c>
      <c r="E91" s="36">
        <f t="shared" ref="E91:AI91" si="105">+SUM(E88:E90)/(1+$C$93)^E86</f>
        <v>-68074.422248335293</v>
      </c>
      <c r="F91" s="36">
        <f t="shared" si="105"/>
        <v>-2176.0073055224539</v>
      </c>
      <c r="G91" s="36">
        <f t="shared" si="105"/>
        <v>-2061.4887808556059</v>
      </c>
      <c r="H91" s="36">
        <f t="shared" si="105"/>
        <v>-1983.0036272390125</v>
      </c>
      <c r="I91" s="36">
        <f t="shared" si="105"/>
        <v>-1907.3688659565316</v>
      </c>
      <c r="J91" s="36">
        <f t="shared" si="105"/>
        <v>-1834.4898923139442</v>
      </c>
      <c r="K91" s="36">
        <f t="shared" si="105"/>
        <v>-1764.2746365332123</v>
      </c>
      <c r="L91" s="36">
        <f t="shared" si="105"/>
        <v>-1760.9238493459015</v>
      </c>
      <c r="M91" s="36">
        <f t="shared" si="105"/>
        <v>-1693.1257034829864</v>
      </c>
      <c r="N91" s="36">
        <f t="shared" si="105"/>
        <v>-1627.8387748540174</v>
      </c>
      <c r="O91" s="36">
        <f t="shared" si="105"/>
        <v>-1564.9763937994403</v>
      </c>
      <c r="P91" s="36">
        <f t="shared" si="105"/>
        <v>-1504.4544596743012</v>
      </c>
      <c r="Q91" s="36">
        <f t="shared" si="105"/>
        <v>-1446.1913948519536</v>
      </c>
      <c r="R91" s="36">
        <f t="shared" si="105"/>
        <v>-1390.10809704397</v>
      </c>
      <c r="S91" s="36">
        <f t="shared" si="105"/>
        <v>-1336.1278902197937</v>
      </c>
      <c r="T91" s="36">
        <f t="shared" si="105"/>
        <v>-1284.1764743851506</v>
      </c>
      <c r="U91" s="36">
        <f t="shared" si="105"/>
        <v>-1234.181874455528</v>
      </c>
      <c r="V91" s="36">
        <f t="shared" si="105"/>
        <v>-1186.0743884399594</v>
      </c>
      <c r="W91" s="36">
        <f t="shared" si="105"/>
        <v>-1139.7865351308251</v>
      </c>
      <c r="X91" s="36">
        <f t="shared" si="105"/>
        <v>-1095.253001477307</v>
      </c>
      <c r="Y91" s="36">
        <f t="shared" si="105"/>
        <v>-1052.4105898034018</v>
      </c>
      <c r="Z91" s="36">
        <f t="shared" si="105"/>
        <v>-1011.1981650159131</v>
      </c>
      <c r="AA91" s="36">
        <f t="shared" si="105"/>
        <v>-971.55660193352833</v>
      </c>
      <c r="AB91" s="36">
        <f t="shared" si="105"/>
        <v>-933.4287328548719</v>
      </c>
      <c r="AC91" s="36">
        <f t="shared" si="105"/>
        <v>-896.75929547119938</v>
      </c>
      <c r="AD91" s="36">
        <f t="shared" si="105"/>
        <v>-861.49488121814341</v>
      </c>
      <c r="AE91" s="36">
        <f t="shared" si="105"/>
        <v>-827.58388415052082</v>
      </c>
      <c r="AF91" s="36">
        <f t="shared" si="105"/>
        <v>-794.97645041464807</v>
      </c>
      <c r="AG91" s="36">
        <f t="shared" si="105"/>
        <v>-763.62442838379241</v>
      </c>
      <c r="AH91" s="36">
        <f t="shared" si="105"/>
        <v>-733.48131951428286</v>
      </c>
      <c r="AI91" s="36">
        <f t="shared" si="105"/>
        <v>460.06930174435132</v>
      </c>
      <c r="AJ91" s="36"/>
    </row>
    <row r="92" spans="2:36" x14ac:dyDescent="0.2">
      <c r="B92" s="36" t="s">
        <v>89</v>
      </c>
      <c r="C92" s="36"/>
      <c r="D92" s="36">
        <f>+SUM(E92:AJ92)</f>
        <v>1554487.9707942158</v>
      </c>
      <c r="E92" s="36">
        <f>+(E4*Hipótesis!$E$7*Hipótesis!$E$10)/(1+$C$93)^E86</f>
        <v>110458.28437132786</v>
      </c>
      <c r="F92" s="36">
        <f>+(F4*Hipótesis!$E$7*Hipótesis!$E$10)/(1+$C$93)^F86</f>
        <v>103838.57520218835</v>
      </c>
      <c r="G92" s="36">
        <f>+(G4*Hipótesis!$E$7*Hipótesis!$E$10)/(1+$C$93)^G86</f>
        <v>97615.58185869646</v>
      </c>
      <c r="H92" s="36">
        <f>+(H4*Hipótesis!$E$7*Hipótesis!$E$10)/(1+$C$93)^H86</f>
        <v>91765.529361876819</v>
      </c>
      <c r="I92" s="36">
        <f>+(I4*Hipótesis!$E$7*Hipótesis!$E$10)/(1+$C$93)^I86</f>
        <v>86266.067555230838</v>
      </c>
      <c r="J92" s="36">
        <f>+(J4*Hipótesis!$E$7*Hipótesis!$E$10)/(1+$C$93)^J86</f>
        <v>81096.185715845699</v>
      </c>
      <c r="K92" s="36">
        <f>+(K4*Hipótesis!$E$7*Hipótesis!$E$10)/(1+$C$93)^K86</f>
        <v>76236.132282816165</v>
      </c>
      <c r="L92" s="36">
        <f>+(L4*Hipótesis!$E$7*Hipótesis!$E$10)/(1+$C$93)^L86</f>
        <v>71667.339396301919</v>
      </c>
      <c r="M92" s="36">
        <f>+(M4*Hipótesis!$E$7*Hipótesis!$E$10)/(1+$C$93)^M86</f>
        <v>67372.351958920728</v>
      </c>
      <c r="N92" s="36">
        <f>+(N4*Hipótesis!$E$7*Hipótesis!$E$10)/(1+$C$93)^N86</f>
        <v>63334.760948456627</v>
      </c>
      <c r="O92" s="36">
        <f>+(O4*Hipótesis!$E$7*Hipótesis!$E$10)/(1+$C$93)^O86</f>
        <v>59539.140727103761</v>
      </c>
      <c r="P92" s="36">
        <f>+(P4*Hipótesis!$E$7*Hipótesis!$E$10)/(1+$C$93)^P86</f>
        <v>55970.990107735612</v>
      </c>
      <c r="Q92" s="36">
        <f>+(Q4*Hipótesis!$E$7*Hipótesis!$E$10)/(1+$C$93)^Q86</f>
        <v>52616.676952042879</v>
      </c>
      <c r="R92" s="36">
        <f>+(R4*Hipótesis!$E$7*Hipótesis!$E$10)/(1+$C$93)^R86</f>
        <v>49463.386088876985</v>
      </c>
      <c r="S92" s="36">
        <f>+(S4*Hipótesis!$E$7*Hipótesis!$E$10)/(1+$C$93)^S86</f>
        <v>46499.070353820905</v>
      </c>
      <c r="T92" s="36">
        <f>+(T4*Hipótesis!$E$7*Hipótesis!$E$10)/(1+$C$93)^T86</f>
        <v>43712.404562933873</v>
      </c>
      <c r="U92" s="36">
        <f>+(U4*Hipótesis!$E$7*Hipótesis!$E$10)/(1+$C$93)^U86</f>
        <v>41092.7422448262</v>
      </c>
      <c r="V92" s="36">
        <f>+(V4*Hipótesis!$E$7*Hipótesis!$E$10)/(1+$C$93)^V86</f>
        <v>38630.074965759071</v>
      </c>
      <c r="W92" s="36">
        <f>+(W4*Hipótesis!$E$7*Hipótesis!$E$10)/(1+$C$93)^W86</f>
        <v>36314.994092370449</v>
      </c>
      <c r="X92" s="36">
        <f>+(X4*Hipótesis!$E$7*Hipótesis!$E$10)/(1+$C$93)^X86</f>
        <v>34138.654845941674</v>
      </c>
      <c r="Y92" s="36">
        <f>+(Y4*Hipótesis!$E$7*Hipótesis!$E$10)/(1+$C$93)^Y86</f>
        <v>32092.742510873482</v>
      </c>
      <c r="Z92" s="36">
        <f>+(Z4*Hipótesis!$E$7*Hipótesis!$E$10)/(1+$C$93)^Z86</f>
        <v>30169.4406682712</v>
      </c>
      <c r="AA92" s="36">
        <f>+(AA4*Hipótesis!$E$7*Hipótesis!$E$10)/(1+$C$93)^AA86</f>
        <v>28361.40133327492</v>
      </c>
      <c r="AB92" s="36">
        <f>+(AB4*Hipótesis!$E$7*Hipótesis!$E$10)/(1+$C$93)^AB86</f>
        <v>26661.716882044588</v>
      </c>
      <c r="AC92" s="36">
        <f>+(AC4*Hipótesis!$E$7*Hipótesis!$E$10)/(1+$C$93)^AC86</f>
        <v>25063.893661146496</v>
      </c>
      <c r="AD92" s="36">
        <f>+(AD4*Hipótesis!$E$7*Hipótesis!$E$10)/(1+$C$93)^AD86</f>
        <v>23561.827178516098</v>
      </c>
      <c r="AE92" s="36">
        <f>+(AE4*Hipótesis!$E$7*Hipótesis!$E$10)/(1+$C$93)^AE86</f>
        <v>22149.778781213721</v>
      </c>
      <c r="AF92" s="36">
        <f>+(AF4*Hipótesis!$E$7*Hipótesis!$E$10)/(1+$C$93)^AF86</f>
        <v>20822.353730870716</v>
      </c>
      <c r="AG92" s="36">
        <f>+(AG4*Hipótesis!$E$7*Hipótesis!$E$10)/(1+$C$93)^AG86</f>
        <v>19574.480593062952</v>
      </c>
      <c r="AH92" s="36">
        <f>+(AH4*Hipótesis!$E$7*Hipótesis!$E$10)/(1+$C$93)^AH86</f>
        <v>18401.391861868819</v>
      </c>
      <c r="AI92" s="36">
        <f>+AI4*Hipótesis!$E$7*Hipótesis!$E$10</f>
        <v>0</v>
      </c>
      <c r="AJ92" s="36">
        <f>+AJ4*Hipótesis!$E$7*Hipótesis!$E$10</f>
        <v>0</v>
      </c>
    </row>
    <row r="93" spans="2:36" x14ac:dyDescent="0.2">
      <c r="B93" s="97" t="s">
        <v>86</v>
      </c>
      <c r="C93" s="98">
        <f>+Hipótesis!E26</f>
        <v>6.3750000000000001E-2</v>
      </c>
    </row>
    <row r="94" spans="2:36" x14ac:dyDescent="0.2">
      <c r="B94" s="99" t="s">
        <v>90</v>
      </c>
      <c r="C94" s="100">
        <f>-D91/(D92/1000)</f>
        <v>68.479603085346199</v>
      </c>
    </row>
  </sheetData>
  <pageMargins left="0.7" right="0.7" top="0.75" bottom="0.75" header="0.3" footer="0.3"/>
  <pageSetup paperSize="9" orientation="portrait" r:id="rId1"/>
  <headerFooter>
    <oddFooter>&amp;C&amp;1#&amp;"Calibri"&amp;12&amp;K008000Internal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17"/>
  <sheetViews>
    <sheetView showGridLines="0" topLeftCell="A2" workbookViewId="0">
      <selection activeCell="D14" sqref="D14:F14"/>
    </sheetView>
  </sheetViews>
  <sheetFormatPr defaultColWidth="11.42578125" defaultRowHeight="12.75" x14ac:dyDescent="0.2"/>
  <cols>
    <col min="1" max="1" width="4.5703125" customWidth="1"/>
    <col min="2" max="2" width="4.140625" customWidth="1"/>
    <col min="3" max="3" width="22.7109375" customWidth="1"/>
    <col min="4" max="4" width="17.42578125" customWidth="1"/>
    <col min="5" max="5" width="17.28515625" customWidth="1"/>
    <col min="6" max="6" width="17" customWidth="1"/>
    <col min="7" max="7" width="10.7109375" customWidth="1"/>
    <col min="8" max="8" width="16.42578125" customWidth="1"/>
    <col min="9" max="9" width="15.85546875" customWidth="1"/>
    <col min="10" max="10" width="15.5703125" customWidth="1"/>
    <col min="11" max="11" width="3.5703125" customWidth="1"/>
  </cols>
  <sheetData>
    <row r="1" spans="2:11" ht="13.5" thickBot="1" x14ac:dyDescent="0.25"/>
    <row r="2" spans="2:11" ht="18" x14ac:dyDescent="0.25">
      <c r="B2" s="1"/>
      <c r="C2" s="2"/>
      <c r="D2" s="2"/>
      <c r="E2" s="2"/>
      <c r="F2" s="2"/>
      <c r="G2" s="2"/>
      <c r="H2" s="2"/>
      <c r="I2" s="2"/>
      <c r="J2" s="2"/>
      <c r="K2" s="3"/>
    </row>
    <row r="3" spans="2:11" ht="18" x14ac:dyDescent="0.25">
      <c r="B3" s="4"/>
      <c r="C3" s="130" t="s">
        <v>10</v>
      </c>
      <c r="D3" s="130"/>
      <c r="E3" s="130"/>
      <c r="F3" s="130"/>
      <c r="G3" s="130"/>
      <c r="H3" s="130"/>
      <c r="I3" s="130"/>
      <c r="J3" s="130"/>
      <c r="K3" s="5"/>
    </row>
    <row r="4" spans="2:11" ht="18" x14ac:dyDescent="0.25">
      <c r="B4" s="4"/>
      <c r="C4" s="6"/>
      <c r="D4" s="6"/>
      <c r="E4" s="6"/>
      <c r="F4" s="6"/>
      <c r="G4" s="6"/>
      <c r="H4" s="6"/>
      <c r="I4" s="6"/>
      <c r="J4" s="6"/>
      <c r="K4" s="5"/>
    </row>
    <row r="5" spans="2:11" ht="18" x14ac:dyDescent="0.25">
      <c r="B5" s="4"/>
      <c r="C5" s="7"/>
      <c r="D5" s="8">
        <f>+FC!E3</f>
        <v>2026</v>
      </c>
      <c r="E5" s="8">
        <f>+FC!F3</f>
        <v>2027</v>
      </c>
      <c r="F5" s="8">
        <f>+FC!G3</f>
        <v>2028</v>
      </c>
      <c r="G5" s="9"/>
      <c r="H5" s="8">
        <f>+D5</f>
        <v>2026</v>
      </c>
      <c r="I5" s="8">
        <f t="shared" ref="I5:J5" si="0">+E5</f>
        <v>2027</v>
      </c>
      <c r="J5" s="8">
        <f t="shared" si="0"/>
        <v>2028</v>
      </c>
      <c r="K5" s="5"/>
    </row>
    <row r="6" spans="2:11" ht="24" customHeight="1" x14ac:dyDescent="0.3">
      <c r="B6" s="4"/>
      <c r="C6" s="10" t="s">
        <v>0</v>
      </c>
      <c r="D6" s="11">
        <f>+FC!E14</f>
        <v>7637.5</v>
      </c>
      <c r="E6" s="11">
        <f>+FC!F14</f>
        <v>7637.5</v>
      </c>
      <c r="F6" s="11">
        <f>+FC!G14</f>
        <v>7637.5</v>
      </c>
      <c r="G6" s="9"/>
      <c r="H6" s="12">
        <f>D6/$D$6</f>
        <v>1</v>
      </c>
      <c r="I6" s="12">
        <f>E6/$E$6</f>
        <v>1</v>
      </c>
      <c r="J6" s="12">
        <f>F6/$F$6</f>
        <v>1</v>
      </c>
      <c r="K6" s="5"/>
    </row>
    <row r="7" spans="2:11" ht="24" customHeight="1" x14ac:dyDescent="0.3">
      <c r="B7" s="4"/>
      <c r="C7" s="13" t="s">
        <v>1</v>
      </c>
      <c r="D7" s="14">
        <f>+FC!E15</f>
        <v>-117.5</v>
      </c>
      <c r="E7" s="14">
        <f>+FC!F15</f>
        <v>-117.5</v>
      </c>
      <c r="F7" s="14">
        <f>+FC!G15</f>
        <v>-117.5</v>
      </c>
      <c r="G7" s="9"/>
      <c r="H7" s="15">
        <f t="shared" ref="H7:H16" si="1">D7/$D$6</f>
        <v>-1.5384615384615385E-2</v>
      </c>
      <c r="I7" s="15">
        <f t="shared" ref="I7:I16" si="2">E7/$E$6</f>
        <v>-1.5384615384615385E-2</v>
      </c>
      <c r="J7" s="15">
        <f t="shared" ref="J7:J16" si="3">F7/$F$6</f>
        <v>-1.5384615384615385E-2</v>
      </c>
      <c r="K7" s="5"/>
    </row>
    <row r="8" spans="2:11" ht="24" customHeight="1" x14ac:dyDescent="0.3">
      <c r="B8" s="4"/>
      <c r="C8" s="10" t="s">
        <v>2</v>
      </c>
      <c r="D8" s="11">
        <f>D6+D7</f>
        <v>7520</v>
      </c>
      <c r="E8" s="11">
        <f t="shared" ref="E8:F8" si="4">E6+E7</f>
        <v>7520</v>
      </c>
      <c r="F8" s="11">
        <f t="shared" si="4"/>
        <v>7520</v>
      </c>
      <c r="G8" s="9"/>
      <c r="H8" s="12">
        <f t="shared" si="1"/>
        <v>0.98461538461538467</v>
      </c>
      <c r="I8" s="12">
        <f t="shared" si="2"/>
        <v>0.98461538461538467</v>
      </c>
      <c r="J8" s="12">
        <f t="shared" si="3"/>
        <v>0.98461538461538467</v>
      </c>
      <c r="K8" s="5"/>
    </row>
    <row r="9" spans="2:11" ht="24" customHeight="1" x14ac:dyDescent="0.3">
      <c r="B9" s="4"/>
      <c r="C9" s="13" t="s">
        <v>16</v>
      </c>
      <c r="D9" s="14">
        <f>-FC!E33</f>
        <v>-1250</v>
      </c>
      <c r="E9" s="14">
        <f>-FC!F33</f>
        <v>-1275</v>
      </c>
      <c r="F9" s="14">
        <f>-FC!G33</f>
        <v>-1300.5</v>
      </c>
      <c r="G9" s="9"/>
      <c r="H9" s="15">
        <f t="shared" si="1"/>
        <v>-0.16366612111292964</v>
      </c>
      <c r="I9" s="15">
        <f t="shared" si="2"/>
        <v>-0.16693944353518822</v>
      </c>
      <c r="J9" s="15">
        <f t="shared" si="3"/>
        <v>-0.17027823240589199</v>
      </c>
      <c r="K9" s="5"/>
    </row>
    <row r="10" spans="2:11" ht="24" customHeight="1" x14ac:dyDescent="0.3">
      <c r="B10" s="4"/>
      <c r="C10" s="10" t="s">
        <v>3</v>
      </c>
      <c r="D10" s="11">
        <f>+D8+D9</f>
        <v>6270</v>
      </c>
      <c r="E10" s="11">
        <f t="shared" ref="E10:F10" si="5">+E8+E9</f>
        <v>6245</v>
      </c>
      <c r="F10" s="11">
        <f t="shared" si="5"/>
        <v>6219.5</v>
      </c>
      <c r="G10" s="9"/>
      <c r="H10" s="12">
        <f t="shared" si="1"/>
        <v>0.82094926350245501</v>
      </c>
      <c r="I10" s="12">
        <f t="shared" si="2"/>
        <v>0.81767594108019637</v>
      </c>
      <c r="J10" s="12">
        <f t="shared" si="3"/>
        <v>0.81433715220949265</v>
      </c>
      <c r="K10" s="5"/>
    </row>
    <row r="11" spans="2:11" ht="24" customHeight="1" x14ac:dyDescent="0.3">
      <c r="B11" s="4"/>
      <c r="C11" s="13" t="s">
        <v>4</v>
      </c>
      <c r="D11" s="14">
        <f>-FC!E19</f>
        <v>-2083.3333333333335</v>
      </c>
      <c r="E11" s="14">
        <f>-FC!F19</f>
        <v>-2083.3333333333335</v>
      </c>
      <c r="F11" s="14">
        <f>-FC!G19</f>
        <v>-2083.3333333333335</v>
      </c>
      <c r="G11" s="9"/>
      <c r="H11" s="15">
        <f t="shared" si="1"/>
        <v>-0.27277686852154936</v>
      </c>
      <c r="I11" s="15">
        <f t="shared" si="2"/>
        <v>-0.27277686852154936</v>
      </c>
      <c r="J11" s="15">
        <f t="shared" si="3"/>
        <v>-0.27277686852154936</v>
      </c>
      <c r="K11" s="5"/>
    </row>
    <row r="12" spans="2:11" ht="24" customHeight="1" x14ac:dyDescent="0.3">
      <c r="B12" s="4"/>
      <c r="C12" s="16" t="s">
        <v>5</v>
      </c>
      <c r="D12" s="11">
        <f>+D10+D11</f>
        <v>4186.6666666666661</v>
      </c>
      <c r="E12" s="11">
        <f t="shared" ref="E12:F12" si="6">+E10+E11</f>
        <v>4161.6666666666661</v>
      </c>
      <c r="F12" s="11">
        <f t="shared" si="6"/>
        <v>4136.1666666666661</v>
      </c>
      <c r="G12" s="9"/>
      <c r="H12" s="17">
        <f t="shared" si="1"/>
        <v>0.54817239498090553</v>
      </c>
      <c r="I12" s="17">
        <f t="shared" si="2"/>
        <v>0.544899072558647</v>
      </c>
      <c r="J12" s="17">
        <f t="shared" si="3"/>
        <v>0.54156028368794318</v>
      </c>
      <c r="K12" s="5"/>
    </row>
    <row r="13" spans="2:11" ht="24" customHeight="1" x14ac:dyDescent="0.3">
      <c r="B13" s="4"/>
      <c r="C13" s="13" t="s">
        <v>6</v>
      </c>
      <c r="D13" s="14">
        <f>-FC!E21</f>
        <v>-1257.8124999999998</v>
      </c>
      <c r="E13" s="14">
        <f>-FC!F21</f>
        <v>-1148.4375</v>
      </c>
      <c r="F13" s="14">
        <f>-FC!G21</f>
        <v>-1039.0624999999998</v>
      </c>
      <c r="G13" s="9"/>
      <c r="H13" s="15">
        <f t="shared" si="1"/>
        <v>-0.16468903436988541</v>
      </c>
      <c r="I13" s="15">
        <f t="shared" si="2"/>
        <v>-0.1503682487725041</v>
      </c>
      <c r="J13" s="15">
        <f t="shared" si="3"/>
        <v>-0.13604746317512273</v>
      </c>
      <c r="K13" s="5"/>
    </row>
    <row r="14" spans="2:11" ht="24" customHeight="1" x14ac:dyDescent="0.3">
      <c r="B14" s="4"/>
      <c r="C14" s="10" t="s">
        <v>7</v>
      </c>
      <c r="D14" s="11">
        <f>+D12+D13</f>
        <v>2928.8541666666661</v>
      </c>
      <c r="E14" s="11">
        <f t="shared" ref="E14:F14" si="7">+E12+E13</f>
        <v>3013.2291666666661</v>
      </c>
      <c r="F14" s="11">
        <f t="shared" si="7"/>
        <v>3097.1041666666661</v>
      </c>
      <c r="G14" s="9"/>
      <c r="H14" s="12">
        <f t="shared" si="1"/>
        <v>0.38348336061102012</v>
      </c>
      <c r="I14" s="12">
        <f t="shared" si="2"/>
        <v>0.39453082378614285</v>
      </c>
      <c r="J14" s="12">
        <f t="shared" si="3"/>
        <v>0.40551282051282045</v>
      </c>
      <c r="K14" s="5"/>
    </row>
    <row r="15" spans="2:11" ht="24" customHeight="1" x14ac:dyDescent="0.3">
      <c r="B15" s="4"/>
      <c r="C15" s="13" t="s">
        <v>8</v>
      </c>
      <c r="D15" s="14">
        <f>+FC!E23</f>
        <v>-732.21354166666652</v>
      </c>
      <c r="E15" s="14">
        <f>+FC!F23</f>
        <v>-782.68229166666652</v>
      </c>
      <c r="F15" s="14">
        <f>+FC!G23</f>
        <v>-803.65104166666652</v>
      </c>
      <c r="G15" s="9"/>
      <c r="H15" s="15">
        <f t="shared" si="1"/>
        <v>-9.587084015275503E-2</v>
      </c>
      <c r="I15" s="15">
        <f t="shared" si="2"/>
        <v>-0.10247885979268956</v>
      </c>
      <c r="J15" s="15">
        <f t="shared" si="3"/>
        <v>-0.10522435897435896</v>
      </c>
      <c r="K15" s="5"/>
    </row>
    <row r="16" spans="2:11" ht="24" customHeight="1" x14ac:dyDescent="0.3">
      <c r="B16" s="4"/>
      <c r="C16" s="10" t="s">
        <v>9</v>
      </c>
      <c r="D16" s="11">
        <f>+D14+D15</f>
        <v>2196.6406249999995</v>
      </c>
      <c r="E16" s="11">
        <f t="shared" ref="E16:F16" si="8">+E14+E15</f>
        <v>2230.5468749999995</v>
      </c>
      <c r="F16" s="11">
        <f t="shared" si="8"/>
        <v>2293.4531249999995</v>
      </c>
      <c r="G16" s="9"/>
      <c r="H16" s="12">
        <f t="shared" si="1"/>
        <v>0.28761252045826508</v>
      </c>
      <c r="I16" s="12">
        <f t="shared" si="2"/>
        <v>0.29205196399345329</v>
      </c>
      <c r="J16" s="12">
        <f t="shared" si="3"/>
        <v>0.3002884615384615</v>
      </c>
      <c r="K16" s="5"/>
    </row>
    <row r="17" spans="2:11" ht="18.75" thickBot="1" x14ac:dyDescent="0.3">
      <c r="B17" s="18"/>
      <c r="C17" s="19"/>
      <c r="D17" s="19"/>
      <c r="E17" s="19"/>
      <c r="F17" s="19"/>
      <c r="G17" s="19"/>
      <c r="H17" s="19"/>
      <c r="I17" s="19"/>
      <c r="J17" s="19"/>
      <c r="K17" s="20"/>
    </row>
  </sheetData>
  <mergeCells count="1">
    <mergeCell ref="C3:J3"/>
  </mergeCells>
  <pageMargins left="0.7" right="0.7" top="0.75" bottom="0.75" header="0.3" footer="0.3"/>
  <pageSetup paperSize="9" orientation="portrait" r:id="rId1"/>
  <headerFooter>
    <oddFooter>&amp;C&amp;1#&amp;"Calibri"&amp;12&amp;K008000Internal Use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42"/>
  <sheetViews>
    <sheetView workbookViewId="0">
      <selection activeCell="A6" sqref="A6"/>
    </sheetView>
  </sheetViews>
  <sheetFormatPr defaultColWidth="11.42578125" defaultRowHeight="12.75" x14ac:dyDescent="0.2"/>
  <cols>
    <col min="1" max="1" width="11.42578125" style="65"/>
    <col min="2" max="2" width="19" style="65" customWidth="1"/>
    <col min="3" max="3" width="15.42578125" style="65" customWidth="1"/>
    <col min="4" max="4" width="16.85546875" style="65" customWidth="1"/>
    <col min="5" max="5" width="6.42578125" style="65" customWidth="1"/>
    <col min="6" max="6" width="15.28515625" style="65" bestFit="1" customWidth="1"/>
    <col min="7" max="7" width="12.42578125" style="65" bestFit="1" customWidth="1"/>
    <col min="8" max="16384" width="11.42578125" style="65"/>
  </cols>
  <sheetData>
    <row r="2" spans="1:7" x14ac:dyDescent="0.2">
      <c r="B2" s="65" t="str">
        <f>+Hipótesis!E6</f>
        <v>Eólica</v>
      </c>
    </row>
    <row r="4" spans="1:7" x14ac:dyDescent="0.2">
      <c r="B4" s="77" t="s">
        <v>62</v>
      </c>
      <c r="C4" s="79" t="s">
        <v>63</v>
      </c>
      <c r="D4" s="78" t="s">
        <v>64</v>
      </c>
      <c r="F4" s="65" t="s">
        <v>95</v>
      </c>
      <c r="G4" s="65" t="s">
        <v>96</v>
      </c>
    </row>
    <row r="5" spans="1:7" x14ac:dyDescent="0.2">
      <c r="A5" s="71">
        <v>2026</v>
      </c>
      <c r="B5" s="74">
        <f>+C5</f>
        <v>65</v>
      </c>
      <c r="C5" s="74">
        <f>65*F5*G5</f>
        <v>65</v>
      </c>
      <c r="D5" s="74">
        <f>+C5</f>
        <v>65</v>
      </c>
      <c r="F5" s="115">
        <v>1</v>
      </c>
      <c r="G5" s="114">
        <f>+IF(B2="PV",0.5,1)</f>
        <v>1</v>
      </c>
    </row>
    <row r="6" spans="1:7" x14ac:dyDescent="0.2">
      <c r="A6" s="72">
        <f>+A5+1</f>
        <v>2027</v>
      </c>
      <c r="B6" s="75">
        <f>+C6*0.8</f>
        <v>52</v>
      </c>
      <c r="C6" s="75">
        <f>+C5*F6*G6/G5</f>
        <v>65</v>
      </c>
      <c r="D6" s="75">
        <f>+C6*1.2</f>
        <v>78</v>
      </c>
      <c r="F6" s="115">
        <v>1</v>
      </c>
      <c r="G6" s="116">
        <f>+IF($B$2="PV",+G5*1.05,1)</f>
        <v>1</v>
      </c>
    </row>
    <row r="7" spans="1:7" x14ac:dyDescent="0.2">
      <c r="A7" s="72">
        <f t="shared" ref="A7:A42" si="0">+A6+1</f>
        <v>2028</v>
      </c>
      <c r="B7" s="75">
        <f t="shared" ref="B7:B26" si="1">+C7*0.8</f>
        <v>52</v>
      </c>
      <c r="C7" s="75">
        <f t="shared" ref="C7:C42" si="2">+C6*F7*G7/G6</f>
        <v>65</v>
      </c>
      <c r="D7" s="75">
        <f t="shared" ref="D7:D26" si="3">+C7*1.2</f>
        <v>78</v>
      </c>
      <c r="F7" s="115">
        <v>1</v>
      </c>
      <c r="G7" s="116">
        <f t="shared" ref="G7:G11" si="4">+IF($B$2="PV",+G6*1.05,1)</f>
        <v>1</v>
      </c>
    </row>
    <row r="8" spans="1:7" x14ac:dyDescent="0.2">
      <c r="A8" s="72">
        <f t="shared" si="0"/>
        <v>2029</v>
      </c>
      <c r="B8" s="75">
        <f t="shared" si="1"/>
        <v>53.04</v>
      </c>
      <c r="C8" s="75">
        <f t="shared" si="2"/>
        <v>66.3</v>
      </c>
      <c r="D8" s="75">
        <f t="shared" si="3"/>
        <v>79.559999999999988</v>
      </c>
      <c r="F8" s="115">
        <f>1+Hipótesis!$E$21%</f>
        <v>1.02</v>
      </c>
      <c r="G8" s="116">
        <f t="shared" si="4"/>
        <v>1</v>
      </c>
    </row>
    <row r="9" spans="1:7" x14ac:dyDescent="0.2">
      <c r="A9" s="72">
        <f t="shared" si="0"/>
        <v>2030</v>
      </c>
      <c r="B9" s="75">
        <f t="shared" si="1"/>
        <v>54.100800000000007</v>
      </c>
      <c r="C9" s="75">
        <f t="shared" si="2"/>
        <v>67.626000000000005</v>
      </c>
      <c r="D9" s="75">
        <f t="shared" si="3"/>
        <v>81.151200000000003</v>
      </c>
      <c r="F9" s="115">
        <f>1+Hipótesis!$E$21%</f>
        <v>1.02</v>
      </c>
      <c r="G9" s="116">
        <f t="shared" si="4"/>
        <v>1</v>
      </c>
    </row>
    <row r="10" spans="1:7" x14ac:dyDescent="0.2">
      <c r="A10" s="72">
        <f t="shared" si="0"/>
        <v>2031</v>
      </c>
      <c r="B10" s="75">
        <f t="shared" si="1"/>
        <v>55.182816000000003</v>
      </c>
      <c r="C10" s="75">
        <f t="shared" si="2"/>
        <v>68.978520000000003</v>
      </c>
      <c r="D10" s="75">
        <f t="shared" si="3"/>
        <v>82.774224000000004</v>
      </c>
      <c r="F10" s="115">
        <f>1+Hipótesis!$E$21%</f>
        <v>1.02</v>
      </c>
      <c r="G10" s="116">
        <f t="shared" si="4"/>
        <v>1</v>
      </c>
    </row>
    <row r="11" spans="1:7" x14ac:dyDescent="0.2">
      <c r="A11" s="72">
        <f t="shared" si="0"/>
        <v>2032</v>
      </c>
      <c r="B11" s="75">
        <f t="shared" si="1"/>
        <v>56.286472320000009</v>
      </c>
      <c r="C11" s="75">
        <f t="shared" si="2"/>
        <v>70.358090400000009</v>
      </c>
      <c r="D11" s="75">
        <f t="shared" si="3"/>
        <v>84.429708480000002</v>
      </c>
      <c r="F11" s="115">
        <f>1+Hipótesis!$E$21%</f>
        <v>1.02</v>
      </c>
      <c r="G11" s="116">
        <f t="shared" si="4"/>
        <v>1</v>
      </c>
    </row>
    <row r="12" spans="1:7" x14ac:dyDescent="0.2">
      <c r="A12" s="72">
        <f t="shared" si="0"/>
        <v>2033</v>
      </c>
      <c r="B12" s="75">
        <f t="shared" si="1"/>
        <v>60.282811854720016</v>
      </c>
      <c r="C12" s="75">
        <f t="shared" si="2"/>
        <v>75.353514818400015</v>
      </c>
      <c r="D12" s="75">
        <f t="shared" si="3"/>
        <v>90.424217782080021</v>
      </c>
      <c r="F12" s="115">
        <f>1+Hipótesis!$E$21%</f>
        <v>1.02</v>
      </c>
      <c r="G12" s="114">
        <f t="shared" ref="G12" si="5">+G11*1.05</f>
        <v>1.05</v>
      </c>
    </row>
    <row r="13" spans="1:7" x14ac:dyDescent="0.2">
      <c r="A13" s="72">
        <f t="shared" si="0"/>
        <v>2034</v>
      </c>
      <c r="B13" s="75">
        <f t="shared" si="1"/>
        <v>61.488468091814411</v>
      </c>
      <c r="C13" s="75">
        <f t="shared" si="2"/>
        <v>76.860585114768014</v>
      </c>
      <c r="D13" s="75">
        <f t="shared" si="3"/>
        <v>92.232702137721617</v>
      </c>
      <c r="F13" s="115">
        <f>1+Hipótesis!$E$21%</f>
        <v>1.02</v>
      </c>
      <c r="G13" s="114">
        <f>+G12</f>
        <v>1.05</v>
      </c>
    </row>
    <row r="14" spans="1:7" x14ac:dyDescent="0.2">
      <c r="A14" s="72">
        <f t="shared" si="0"/>
        <v>2035</v>
      </c>
      <c r="B14" s="75">
        <f t="shared" si="1"/>
        <v>62.718237453650708</v>
      </c>
      <c r="C14" s="75">
        <f t="shared" si="2"/>
        <v>78.39779681706338</v>
      </c>
      <c r="D14" s="75">
        <f t="shared" si="3"/>
        <v>94.077356180476059</v>
      </c>
      <c r="F14" s="115">
        <f>1+Hipótesis!$E$21%</f>
        <v>1.02</v>
      </c>
      <c r="G14" s="114">
        <f t="shared" ref="G14:G42" si="6">+G13</f>
        <v>1.05</v>
      </c>
    </row>
    <row r="15" spans="1:7" x14ac:dyDescent="0.2">
      <c r="A15" s="72">
        <f t="shared" si="0"/>
        <v>2036</v>
      </c>
      <c r="B15" s="75">
        <f t="shared" si="1"/>
        <v>63.972602202723721</v>
      </c>
      <c r="C15" s="75">
        <f t="shared" si="2"/>
        <v>79.965752753404644</v>
      </c>
      <c r="D15" s="75">
        <f t="shared" si="3"/>
        <v>95.958903304085567</v>
      </c>
      <c r="F15" s="115">
        <f>1+Hipótesis!$E$21%</f>
        <v>1.02</v>
      </c>
      <c r="G15" s="114">
        <f t="shared" si="6"/>
        <v>1.05</v>
      </c>
    </row>
    <row r="16" spans="1:7" x14ac:dyDescent="0.2">
      <c r="A16" s="72">
        <f t="shared" si="0"/>
        <v>2037</v>
      </c>
      <c r="B16" s="75">
        <f t="shared" si="1"/>
        <v>65.252054246778187</v>
      </c>
      <c r="C16" s="75">
        <f t="shared" si="2"/>
        <v>81.565067808472733</v>
      </c>
      <c r="D16" s="75">
        <f t="shared" si="3"/>
        <v>97.87808137016728</v>
      </c>
      <c r="F16" s="115">
        <f>1+Hipótesis!$E$21%</f>
        <v>1.02</v>
      </c>
      <c r="G16" s="114">
        <f t="shared" si="6"/>
        <v>1.05</v>
      </c>
    </row>
    <row r="17" spans="1:7" x14ac:dyDescent="0.2">
      <c r="A17" s="73">
        <f t="shared" si="0"/>
        <v>2038</v>
      </c>
      <c r="B17" s="76">
        <f t="shared" si="1"/>
        <v>66.557095331713754</v>
      </c>
      <c r="C17" s="76">
        <f t="shared" si="2"/>
        <v>83.196369164642192</v>
      </c>
      <c r="D17" s="76">
        <f t="shared" si="3"/>
        <v>99.835642997570631</v>
      </c>
      <c r="F17" s="115">
        <f>1+Hipótesis!$E$21%</f>
        <v>1.02</v>
      </c>
      <c r="G17" s="114">
        <f t="shared" si="6"/>
        <v>1.05</v>
      </c>
    </row>
    <row r="18" spans="1:7" x14ac:dyDescent="0.2">
      <c r="A18" s="72">
        <f t="shared" si="0"/>
        <v>2039</v>
      </c>
      <c r="B18" s="75">
        <f t="shared" si="1"/>
        <v>67.888237238348026</v>
      </c>
      <c r="C18" s="75">
        <f t="shared" si="2"/>
        <v>84.860296547935036</v>
      </c>
      <c r="D18" s="75">
        <f t="shared" si="3"/>
        <v>101.83235585752205</v>
      </c>
      <c r="F18" s="115">
        <f>1+Hipótesis!$E$21%</f>
        <v>1.02</v>
      </c>
      <c r="G18" s="114">
        <f t="shared" si="6"/>
        <v>1.05</v>
      </c>
    </row>
    <row r="19" spans="1:7" x14ac:dyDescent="0.2">
      <c r="A19" s="72">
        <f t="shared" si="0"/>
        <v>2040</v>
      </c>
      <c r="B19" s="75">
        <f t="shared" si="1"/>
        <v>69.246001983114994</v>
      </c>
      <c r="C19" s="75">
        <f t="shared" si="2"/>
        <v>86.557502478893738</v>
      </c>
      <c r="D19" s="75">
        <f t="shared" si="3"/>
        <v>103.86900297467248</v>
      </c>
      <c r="F19" s="115">
        <f>1+Hipótesis!$E$21%</f>
        <v>1.02</v>
      </c>
      <c r="G19" s="114">
        <f t="shared" si="6"/>
        <v>1.05</v>
      </c>
    </row>
    <row r="20" spans="1:7" x14ac:dyDescent="0.2">
      <c r="A20" s="72">
        <f t="shared" si="0"/>
        <v>2041</v>
      </c>
      <c r="B20" s="75">
        <f t="shared" si="1"/>
        <v>70.630922022777298</v>
      </c>
      <c r="C20" s="75">
        <f t="shared" si="2"/>
        <v>88.288652528471616</v>
      </c>
      <c r="D20" s="75">
        <f t="shared" si="3"/>
        <v>105.94638303416593</v>
      </c>
      <c r="F20" s="115">
        <f>1+Hipótesis!$E$21%</f>
        <v>1.02</v>
      </c>
      <c r="G20" s="114">
        <f t="shared" si="6"/>
        <v>1.05</v>
      </c>
    </row>
    <row r="21" spans="1:7" x14ac:dyDescent="0.2">
      <c r="A21" s="72">
        <f t="shared" si="0"/>
        <v>2042</v>
      </c>
      <c r="B21" s="75">
        <f t="shared" si="1"/>
        <v>72.043540463232844</v>
      </c>
      <c r="C21" s="75">
        <f t="shared" si="2"/>
        <v>90.054425579041052</v>
      </c>
      <c r="D21" s="75">
        <f t="shared" si="3"/>
        <v>108.06531069484926</v>
      </c>
      <c r="F21" s="115">
        <f>1+Hipótesis!$E$21%</f>
        <v>1.02</v>
      </c>
      <c r="G21" s="114">
        <f t="shared" si="6"/>
        <v>1.05</v>
      </c>
    </row>
    <row r="22" spans="1:7" x14ac:dyDescent="0.2">
      <c r="A22" s="72">
        <f t="shared" si="0"/>
        <v>2043</v>
      </c>
      <c r="B22" s="75">
        <f t="shared" si="1"/>
        <v>73.48441127249751</v>
      </c>
      <c r="C22" s="75">
        <f t="shared" si="2"/>
        <v>91.855514090621881</v>
      </c>
      <c r="D22" s="75">
        <f t="shared" si="3"/>
        <v>110.22661690874625</v>
      </c>
      <c r="F22" s="115">
        <f>1+Hipótesis!$E$21%</f>
        <v>1.02</v>
      </c>
      <c r="G22" s="114">
        <f t="shared" si="6"/>
        <v>1.05</v>
      </c>
    </row>
    <row r="23" spans="1:7" x14ac:dyDescent="0.2">
      <c r="A23" s="72">
        <f t="shared" si="0"/>
        <v>2044</v>
      </c>
      <c r="B23" s="75">
        <f t="shared" si="1"/>
        <v>74.954099497947468</v>
      </c>
      <c r="C23" s="75">
        <f t="shared" si="2"/>
        <v>93.692624372434324</v>
      </c>
      <c r="D23" s="75">
        <f t="shared" si="3"/>
        <v>112.43114924692118</v>
      </c>
      <c r="F23" s="115">
        <f>1+Hipótesis!$E$21%</f>
        <v>1.02</v>
      </c>
      <c r="G23" s="114">
        <f t="shared" si="6"/>
        <v>1.05</v>
      </c>
    </row>
    <row r="24" spans="1:7" x14ac:dyDescent="0.2">
      <c r="A24" s="72">
        <f t="shared" si="0"/>
        <v>2045</v>
      </c>
      <c r="B24" s="75">
        <f t="shared" si="1"/>
        <v>76.453181487906406</v>
      </c>
      <c r="C24" s="75">
        <f t="shared" si="2"/>
        <v>95.566476859883011</v>
      </c>
      <c r="D24" s="75">
        <f t="shared" si="3"/>
        <v>114.67977223185962</v>
      </c>
      <c r="F24" s="115">
        <f>1+Hipótesis!$E$21%</f>
        <v>1.02</v>
      </c>
      <c r="G24" s="114">
        <f t="shared" si="6"/>
        <v>1.05</v>
      </c>
    </row>
    <row r="25" spans="1:7" x14ac:dyDescent="0.2">
      <c r="A25" s="73">
        <f t="shared" si="0"/>
        <v>2046</v>
      </c>
      <c r="B25" s="76">
        <f t="shared" si="1"/>
        <v>77.982245117664547</v>
      </c>
      <c r="C25" s="76">
        <f t="shared" si="2"/>
        <v>97.47780639708067</v>
      </c>
      <c r="D25" s="76">
        <f t="shared" si="3"/>
        <v>116.97336767649679</v>
      </c>
      <c r="F25" s="115">
        <f>1+Hipótesis!$E$21%</f>
        <v>1.02</v>
      </c>
      <c r="G25" s="114">
        <f t="shared" si="6"/>
        <v>1.05</v>
      </c>
    </row>
    <row r="26" spans="1:7" x14ac:dyDescent="0.2">
      <c r="A26" s="72">
        <f t="shared" si="0"/>
        <v>2047</v>
      </c>
      <c r="B26" s="75">
        <f t="shared" si="1"/>
        <v>79.541890020017831</v>
      </c>
      <c r="C26" s="75">
        <f t="shared" si="2"/>
        <v>99.427362525022289</v>
      </c>
      <c r="D26" s="75">
        <f t="shared" si="3"/>
        <v>119.31283503002675</v>
      </c>
      <c r="F26" s="115">
        <f>1+Hipótesis!$E$21%</f>
        <v>1.02</v>
      </c>
      <c r="G26" s="114">
        <f t="shared" si="6"/>
        <v>1.05</v>
      </c>
    </row>
    <row r="27" spans="1:7" x14ac:dyDescent="0.2">
      <c r="A27" s="72">
        <f t="shared" si="0"/>
        <v>2048</v>
      </c>
      <c r="B27" s="75">
        <f t="shared" ref="B27:B33" si="7">+C27*0.8</f>
        <v>81.132727820418197</v>
      </c>
      <c r="C27" s="75">
        <f t="shared" si="2"/>
        <v>101.41590977552274</v>
      </c>
      <c r="D27" s="75">
        <f t="shared" ref="D27:D33" si="8">+C27*1.2</f>
        <v>121.69909173062727</v>
      </c>
      <c r="F27" s="115">
        <f>1+Hipótesis!$E$21%</f>
        <v>1.02</v>
      </c>
      <c r="G27" s="114">
        <f t="shared" si="6"/>
        <v>1.05</v>
      </c>
    </row>
    <row r="28" spans="1:7" x14ac:dyDescent="0.2">
      <c r="A28" s="72">
        <f t="shared" si="0"/>
        <v>2049</v>
      </c>
      <c r="B28" s="75">
        <f t="shared" si="7"/>
        <v>82.75538237682656</v>
      </c>
      <c r="C28" s="75">
        <f t="shared" si="2"/>
        <v>103.44422797103319</v>
      </c>
      <c r="D28" s="75">
        <f t="shared" si="8"/>
        <v>124.13307356523981</v>
      </c>
      <c r="F28" s="115">
        <f>1+Hipótesis!$E$21%</f>
        <v>1.02</v>
      </c>
      <c r="G28" s="114">
        <f t="shared" si="6"/>
        <v>1.05</v>
      </c>
    </row>
    <row r="29" spans="1:7" x14ac:dyDescent="0.2">
      <c r="A29" s="72">
        <f t="shared" si="0"/>
        <v>2050</v>
      </c>
      <c r="B29" s="75">
        <f t="shared" si="7"/>
        <v>84.410490024363085</v>
      </c>
      <c r="C29" s="75">
        <f t="shared" si="2"/>
        <v>105.51311253045385</v>
      </c>
      <c r="D29" s="75">
        <f t="shared" si="8"/>
        <v>126.61573503654462</v>
      </c>
      <c r="F29" s="115">
        <f>1+Hipótesis!$E$21%</f>
        <v>1.02</v>
      </c>
      <c r="G29" s="114">
        <f t="shared" si="6"/>
        <v>1.05</v>
      </c>
    </row>
    <row r="30" spans="1:7" x14ac:dyDescent="0.2">
      <c r="A30" s="72">
        <f t="shared" si="0"/>
        <v>2051</v>
      </c>
      <c r="B30" s="75">
        <f t="shared" si="7"/>
        <v>86.098699824850357</v>
      </c>
      <c r="C30" s="75">
        <f t="shared" si="2"/>
        <v>107.62337478106294</v>
      </c>
      <c r="D30" s="75">
        <f t="shared" si="8"/>
        <v>129.14804973727553</v>
      </c>
      <c r="F30" s="115">
        <f>1+Hipótesis!$E$21%</f>
        <v>1.02</v>
      </c>
      <c r="G30" s="114">
        <f t="shared" si="6"/>
        <v>1.05</v>
      </c>
    </row>
    <row r="31" spans="1:7" x14ac:dyDescent="0.2">
      <c r="A31" s="72">
        <f t="shared" si="0"/>
        <v>2052</v>
      </c>
      <c r="B31" s="75">
        <f t="shared" si="7"/>
        <v>87.82067382134737</v>
      </c>
      <c r="C31" s="75">
        <f t="shared" si="2"/>
        <v>109.7758422766842</v>
      </c>
      <c r="D31" s="75">
        <f t="shared" si="8"/>
        <v>131.73101073202105</v>
      </c>
      <c r="F31" s="115">
        <f>1+Hipótesis!$E$21%</f>
        <v>1.02</v>
      </c>
      <c r="G31" s="114">
        <f t="shared" si="6"/>
        <v>1.05</v>
      </c>
    </row>
    <row r="32" spans="1:7" x14ac:dyDescent="0.2">
      <c r="A32" s="72">
        <f t="shared" si="0"/>
        <v>2053</v>
      </c>
      <c r="B32" s="75">
        <f t="shared" si="7"/>
        <v>89.577087297774312</v>
      </c>
      <c r="C32" s="75">
        <f t="shared" si="2"/>
        <v>111.97135912221789</v>
      </c>
      <c r="D32" s="75">
        <f t="shared" si="8"/>
        <v>134.36563094666147</v>
      </c>
      <c r="F32" s="115">
        <f>1+Hipótesis!$E$21%</f>
        <v>1.02</v>
      </c>
      <c r="G32" s="114">
        <f t="shared" si="6"/>
        <v>1.05</v>
      </c>
    </row>
    <row r="33" spans="1:7" x14ac:dyDescent="0.2">
      <c r="A33" s="72">
        <f t="shared" si="0"/>
        <v>2054</v>
      </c>
      <c r="B33" s="75">
        <f t="shared" si="7"/>
        <v>91.368629043729811</v>
      </c>
      <c r="C33" s="75">
        <f t="shared" si="2"/>
        <v>114.21078630466225</v>
      </c>
      <c r="D33" s="75">
        <f t="shared" si="8"/>
        <v>137.05294356559469</v>
      </c>
      <c r="F33" s="115">
        <f>1+Hipótesis!$E$21%</f>
        <v>1.02</v>
      </c>
      <c r="G33" s="114">
        <f t="shared" si="6"/>
        <v>1.05</v>
      </c>
    </row>
    <row r="34" spans="1:7" x14ac:dyDescent="0.2">
      <c r="A34" s="72">
        <f t="shared" si="0"/>
        <v>2055</v>
      </c>
      <c r="B34" s="75">
        <f t="shared" ref="B34:B42" si="9">+C34*0.8</f>
        <v>93.196001624604406</v>
      </c>
      <c r="C34" s="75">
        <f t="shared" si="2"/>
        <v>116.4950020307555</v>
      </c>
      <c r="D34" s="75">
        <f t="shared" ref="D34:D42" si="10">+C34*1.2</f>
        <v>139.7940024369066</v>
      </c>
      <c r="F34" s="115">
        <f>1+Hipótesis!$E$21%</f>
        <v>1.02</v>
      </c>
      <c r="G34" s="114">
        <f t="shared" si="6"/>
        <v>1.05</v>
      </c>
    </row>
    <row r="35" spans="1:7" x14ac:dyDescent="0.2">
      <c r="A35" s="72">
        <f t="shared" si="0"/>
        <v>2056</v>
      </c>
      <c r="B35" s="75">
        <f t="shared" si="9"/>
        <v>95.059921657096496</v>
      </c>
      <c r="C35" s="75">
        <f t="shared" si="2"/>
        <v>118.82490207137062</v>
      </c>
      <c r="D35" s="75">
        <f t="shared" si="10"/>
        <v>142.58988248564472</v>
      </c>
      <c r="F35" s="115">
        <f>1+Hipótesis!$E$21%</f>
        <v>1.02</v>
      </c>
      <c r="G35" s="114">
        <f t="shared" si="6"/>
        <v>1.05</v>
      </c>
    </row>
    <row r="36" spans="1:7" x14ac:dyDescent="0.2">
      <c r="A36" s="72">
        <f t="shared" si="0"/>
        <v>2057</v>
      </c>
      <c r="B36" s="75">
        <f t="shared" si="9"/>
        <v>96.961120090238424</v>
      </c>
      <c r="C36" s="75">
        <f t="shared" si="2"/>
        <v>121.20140011279803</v>
      </c>
      <c r="D36" s="75">
        <f t="shared" si="10"/>
        <v>145.44168013535761</v>
      </c>
      <c r="F36" s="115">
        <f>1+Hipótesis!$E$21%</f>
        <v>1.02</v>
      </c>
      <c r="G36" s="114">
        <f t="shared" si="6"/>
        <v>1.05</v>
      </c>
    </row>
    <row r="37" spans="1:7" x14ac:dyDescent="0.2">
      <c r="A37" s="72">
        <f t="shared" si="0"/>
        <v>2058</v>
      </c>
      <c r="B37" s="75">
        <f t="shared" si="9"/>
        <v>98.900342492043194</v>
      </c>
      <c r="C37" s="75">
        <f t="shared" si="2"/>
        <v>123.62542811505398</v>
      </c>
      <c r="D37" s="75">
        <f t="shared" si="10"/>
        <v>148.35051373806476</v>
      </c>
      <c r="F37" s="115">
        <f>1+Hipótesis!$E$21%</f>
        <v>1.02</v>
      </c>
      <c r="G37" s="114">
        <f t="shared" si="6"/>
        <v>1.05</v>
      </c>
    </row>
    <row r="38" spans="1:7" x14ac:dyDescent="0.2">
      <c r="A38" s="72">
        <f t="shared" si="0"/>
        <v>2059</v>
      </c>
      <c r="B38" s="75">
        <f t="shared" si="9"/>
        <v>100.87834934188407</v>
      </c>
      <c r="C38" s="75">
        <f t="shared" si="2"/>
        <v>126.09793667735508</v>
      </c>
      <c r="D38" s="75">
        <f t="shared" si="10"/>
        <v>151.31752401282608</v>
      </c>
      <c r="F38" s="115">
        <f>1+Hipótesis!$E$21%</f>
        <v>1.02</v>
      </c>
      <c r="G38" s="114">
        <f t="shared" si="6"/>
        <v>1.05</v>
      </c>
    </row>
    <row r="39" spans="1:7" x14ac:dyDescent="0.2">
      <c r="A39" s="72">
        <f t="shared" si="0"/>
        <v>2060</v>
      </c>
      <c r="B39" s="75">
        <f t="shared" si="9"/>
        <v>102.89591632872175</v>
      </c>
      <c r="C39" s="75">
        <f t="shared" si="2"/>
        <v>128.61989541090219</v>
      </c>
      <c r="D39" s="75">
        <f t="shared" si="10"/>
        <v>154.34387449308261</v>
      </c>
      <c r="F39" s="115">
        <f>1+Hipótesis!$E$21%</f>
        <v>1.02</v>
      </c>
      <c r="G39" s="114">
        <f t="shared" si="6"/>
        <v>1.05</v>
      </c>
    </row>
    <row r="40" spans="1:7" x14ac:dyDescent="0.2">
      <c r="A40" s="72">
        <f t="shared" si="0"/>
        <v>2061</v>
      </c>
      <c r="B40" s="75">
        <f t="shared" si="9"/>
        <v>104.95383465529619</v>
      </c>
      <c r="C40" s="75">
        <f t="shared" si="2"/>
        <v>131.19229331912024</v>
      </c>
      <c r="D40" s="75">
        <f t="shared" si="10"/>
        <v>157.43075198294429</v>
      </c>
      <c r="F40" s="115">
        <f>1+Hipótesis!$E$21%</f>
        <v>1.02</v>
      </c>
      <c r="G40" s="114">
        <f t="shared" si="6"/>
        <v>1.05</v>
      </c>
    </row>
    <row r="41" spans="1:7" x14ac:dyDescent="0.2">
      <c r="A41" s="72">
        <f t="shared" si="0"/>
        <v>2062</v>
      </c>
      <c r="B41" s="75">
        <f t="shared" si="9"/>
        <v>107.05291134840212</v>
      </c>
      <c r="C41" s="75">
        <f t="shared" si="2"/>
        <v>133.81613918550264</v>
      </c>
      <c r="D41" s="75">
        <f t="shared" si="10"/>
        <v>160.57936702260315</v>
      </c>
      <c r="F41" s="115">
        <f>1+Hipótesis!$E$21%</f>
        <v>1.02</v>
      </c>
      <c r="G41" s="114">
        <f t="shared" si="6"/>
        <v>1.05</v>
      </c>
    </row>
    <row r="42" spans="1:7" x14ac:dyDescent="0.2">
      <c r="A42" s="73">
        <f t="shared" si="0"/>
        <v>2063</v>
      </c>
      <c r="B42" s="76">
        <f t="shared" si="9"/>
        <v>109.19396957537015</v>
      </c>
      <c r="C42" s="76">
        <f t="shared" si="2"/>
        <v>136.49246196921268</v>
      </c>
      <c r="D42" s="76">
        <f t="shared" si="10"/>
        <v>163.79095436305522</v>
      </c>
      <c r="F42" s="115">
        <f>1+Hipótesis!$E$21%</f>
        <v>1.02</v>
      </c>
      <c r="G42" s="114">
        <f t="shared" si="6"/>
        <v>1.05</v>
      </c>
    </row>
  </sheetData>
  <pageMargins left="0.7" right="0.7" top="0.75" bottom="0.75" header="0.3" footer="0.3"/>
  <pageSetup paperSize="9" orientation="portrait" r:id="rId1"/>
  <headerFooter>
    <oddFooter>&amp;C&amp;1#&amp;"Calibri"&amp;12&amp;K008000Internal Use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Hipótesis</vt:lpstr>
      <vt:lpstr>FC</vt:lpstr>
      <vt:lpstr>P&amp;L</vt:lpstr>
      <vt:lpstr>Senda de precios mercado</vt:lpstr>
    </vt:vector>
  </TitlesOfParts>
  <Company>IBERDROLA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Collado Alonso, Pablo</dc:creator>
  <cp:lastModifiedBy>Castresana Lopez, Felipe</cp:lastModifiedBy>
  <dcterms:created xsi:type="dcterms:W3CDTF">2011-04-18T14:04:05Z</dcterms:created>
  <dcterms:modified xsi:type="dcterms:W3CDTF">2025-10-10T14:32:07Z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  <property fmtid="{D5CDD505-2E9C-101B-9397-08002B2CF9AE}" pid="9" name="MSIP_Label_019c027e-33b7-45fc-a572-8ffa5d09ec36_Enabled">
    <vt:lpwstr>true</vt:lpwstr>
  </property>
  <property fmtid="{D5CDD505-2E9C-101B-9397-08002B2CF9AE}" pid="10" name="MSIP_Label_019c027e-33b7-45fc-a572-8ffa5d09ec36_SetDate">
    <vt:lpwstr>2021-10-15T15:06:14Z</vt:lpwstr>
  </property>
  <property fmtid="{D5CDD505-2E9C-101B-9397-08002B2CF9AE}" pid="11" name="MSIP_Label_019c027e-33b7-45fc-a572-8ffa5d09ec36_Method">
    <vt:lpwstr>Standard</vt:lpwstr>
  </property>
  <property fmtid="{D5CDD505-2E9C-101B-9397-08002B2CF9AE}" pid="12" name="MSIP_Label_019c027e-33b7-45fc-a572-8ffa5d09ec36_Name">
    <vt:lpwstr>Internal Use</vt:lpwstr>
  </property>
  <property fmtid="{D5CDD505-2E9C-101B-9397-08002B2CF9AE}" pid="13" name="MSIP_Label_019c027e-33b7-45fc-a572-8ffa5d09ec36_SiteId">
    <vt:lpwstr>031a09bc-a2bf-44df-888e-4e09355b7a24</vt:lpwstr>
  </property>
  <property fmtid="{D5CDD505-2E9C-101B-9397-08002B2CF9AE}" pid="14" name="MSIP_Label_019c027e-33b7-45fc-a572-8ffa5d09ec36_ActionId">
    <vt:lpwstr>557a7dca-04eb-434e-a629-ed3f021be488</vt:lpwstr>
  </property>
  <property fmtid="{D5CDD505-2E9C-101B-9397-08002B2CF9AE}" pid="15" name="MSIP_Label_019c027e-33b7-45fc-a572-8ffa5d09ec36_ContentBits">
    <vt:lpwstr>2</vt:lpwstr>
  </property>
</Properties>
</file>