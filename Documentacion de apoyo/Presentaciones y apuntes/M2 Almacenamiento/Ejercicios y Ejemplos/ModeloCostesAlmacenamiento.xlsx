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1" defaultThemeVersion="124226"/>
  <xr:revisionPtr revIDLastSave="0" documentId="13_ncr:1_{72B49D17-8B5D-4299-B6D0-C770B199057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Volúmenes (1)" sheetId="10" r:id="rId1"/>
    <sheet name="Economía (2)" sheetId="9" r:id="rId2"/>
    <sheet name="Solar-H2 (3)" sheetId="4" r:id="rId3"/>
  </sheets>
  <definedNames>
    <definedName name="solver_adj" localSheetId="2" hidden="1">'Solar-H2 (3)'!$F$4</definedName>
    <definedName name="solver_cvg" localSheetId="2" hidden="1">0.0001</definedName>
    <definedName name="solver_drv" localSheetId="2" hidden="1">1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lhs1" localSheetId="2" hidden="1">'Solar-H2 (3)'!$F$4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1</definedName>
    <definedName name="solver_nwt" localSheetId="2" hidden="1">1</definedName>
    <definedName name="solver_opt" localSheetId="2" hidden="1">'Solar-H2 (3)'!$G$4</definedName>
    <definedName name="solver_pre" localSheetId="2" hidden="1">0.000001</definedName>
    <definedName name="solver_rbv" localSheetId="2" hidden="1">1</definedName>
    <definedName name="solver_rel1" localSheetId="2" hidden="1">3</definedName>
    <definedName name="solver_rhs1" localSheetId="2" hidden="1">1</definedName>
    <definedName name="solver_rlx" localSheetId="2" hidden="1">2</definedName>
    <definedName name="solver_rsd" localSheetId="2" hidden="1">0</definedName>
    <definedName name="solver_scl" localSheetId="2" hidden="1">1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3</definedName>
    <definedName name="solver_val" localSheetId="2" hidden="1">0</definedName>
    <definedName name="solver_ver" localSheetId="2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3" i="10" l="1"/>
  <c r="D13" i="10"/>
  <c r="D7" i="10"/>
  <c r="E6" i="10"/>
  <c r="E7" i="10" s="1"/>
  <c r="G6" i="10"/>
  <c r="G7" i="10" s="1"/>
  <c r="F6" i="10"/>
  <c r="F7" i="10" s="1"/>
  <c r="C7" i="10"/>
  <c r="H7" i="10"/>
  <c r="H9" i="10" s="1"/>
  <c r="H10" i="10" s="1"/>
  <c r="K7" i="9"/>
  <c r="K8" i="9" s="1"/>
  <c r="N21" i="9"/>
  <c r="M21" i="9"/>
  <c r="L21" i="9"/>
  <c r="K21" i="9"/>
  <c r="J21" i="9"/>
  <c r="I21" i="9"/>
  <c r="H21" i="9"/>
  <c r="G21" i="9"/>
  <c r="F21" i="9"/>
  <c r="E21" i="9"/>
  <c r="N16" i="9"/>
  <c r="M16" i="9"/>
  <c r="L16" i="9"/>
  <c r="K16" i="9"/>
  <c r="J16" i="9"/>
  <c r="I16" i="9"/>
  <c r="H16" i="9"/>
  <c r="G16" i="9"/>
  <c r="F16" i="9"/>
  <c r="E16" i="9"/>
  <c r="Q38" i="4"/>
  <c r="Q39" i="4" s="1"/>
  <c r="Q40" i="4" s="1"/>
  <c r="C9" i="10" l="1"/>
  <c r="C10" i="10" s="1"/>
  <c r="C13" i="10"/>
  <c r="E8" i="10"/>
  <c r="C8" i="10"/>
  <c r="E9" i="10"/>
  <c r="E10" i="10" s="1"/>
  <c r="G8" i="10"/>
  <c r="F8" i="10"/>
  <c r="F9" i="10"/>
  <c r="F10" i="10" s="1"/>
  <c r="D8" i="10"/>
  <c r="G9" i="10"/>
  <c r="G10" i="10" s="1"/>
  <c r="D9" i="10"/>
  <c r="D10" i="10" s="1"/>
  <c r="H8" i="10"/>
  <c r="K19" i="9"/>
  <c r="L7" i="9"/>
  <c r="E7" i="9"/>
  <c r="M7" i="9"/>
  <c r="F7" i="9"/>
  <c r="G7" i="9"/>
  <c r="N7" i="9"/>
  <c r="H7" i="9"/>
  <c r="J7" i="9"/>
  <c r="I7" i="9"/>
  <c r="G8" i="9" l="1"/>
  <c r="G19" i="9" s="1"/>
  <c r="G20" i="9" s="1"/>
  <c r="G22" i="9" s="1"/>
  <c r="G23" i="9" s="1"/>
  <c r="L8" i="9"/>
  <c r="L19" i="9" s="1"/>
  <c r="H8" i="9"/>
  <c r="H19" i="9" s="1"/>
  <c r="H20" i="9" s="1"/>
  <c r="H22" i="9" s="1"/>
  <c r="H23" i="9" s="1"/>
  <c r="N8" i="9"/>
  <c r="N19" i="9" s="1"/>
  <c r="N20" i="9" s="1"/>
  <c r="N22" i="9" s="1"/>
  <c r="N23" i="9" s="1"/>
  <c r="F8" i="9"/>
  <c r="F19" i="9" s="1"/>
  <c r="F20" i="9" s="1"/>
  <c r="F22" i="9" s="1"/>
  <c r="F23" i="9" s="1"/>
  <c r="M8" i="9"/>
  <c r="M19" i="9" s="1"/>
  <c r="M20" i="9" s="1"/>
  <c r="M22" i="9" s="1"/>
  <c r="M23" i="9" s="1"/>
  <c r="E8" i="9"/>
  <c r="E19" i="9" s="1"/>
  <c r="E20" i="9" s="1"/>
  <c r="E22" i="9" s="1"/>
  <c r="E23" i="9" s="1"/>
  <c r="I8" i="9"/>
  <c r="I19" i="9" s="1"/>
  <c r="J8" i="9"/>
  <c r="J19" i="9" s="1"/>
  <c r="K20" i="9"/>
  <c r="K22" i="9" s="1"/>
  <c r="K23" i="9" s="1"/>
  <c r="I20" i="9" l="1"/>
  <c r="I22" i="9" s="1"/>
  <c r="I23" i="9" s="1"/>
  <c r="J20" i="9"/>
  <c r="J22" i="9" s="1"/>
  <c r="J23" i="9" s="1"/>
  <c r="L20" i="9"/>
  <c r="L22" i="9" s="1"/>
  <c r="L23" i="9" s="1"/>
  <c r="U15" i="4" l="1"/>
  <c r="V14" i="4" s="1"/>
  <c r="B9" i="4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G5" i="4"/>
  <c r="T4" i="4"/>
  <c r="T5" i="4" s="1"/>
  <c r="T6" i="4" s="1"/>
  <c r="T7" i="4" s="1"/>
  <c r="T8" i="4" s="1"/>
  <c r="T9" i="4" s="1"/>
  <c r="T10" i="4" s="1"/>
  <c r="T11" i="4" s="1"/>
  <c r="T12" i="4" s="1"/>
  <c r="T13" i="4" s="1"/>
  <c r="T14" i="4" s="1"/>
  <c r="G4" i="4"/>
  <c r="C4" i="4"/>
  <c r="V3" i="4"/>
  <c r="L3" i="4"/>
  <c r="V6" i="4" l="1"/>
  <c r="V7" i="4"/>
  <c r="O6" i="4"/>
  <c r="Q13" i="4" s="1"/>
  <c r="V8" i="4"/>
  <c r="C10" i="4"/>
  <c r="L11" i="4"/>
  <c r="Q11" i="4" s="1"/>
  <c r="V13" i="4"/>
  <c r="B36" i="4"/>
  <c r="B37" i="4" s="1"/>
  <c r="B38" i="4" s="1"/>
  <c r="C35" i="4"/>
  <c r="H5" i="4"/>
  <c r="H6" i="4" s="1"/>
  <c r="C20" i="4"/>
  <c r="C30" i="4"/>
  <c r="C15" i="4"/>
  <c r="C32" i="4"/>
  <c r="C22" i="4"/>
  <c r="C11" i="4"/>
  <c r="C29" i="4"/>
  <c r="C21" i="4"/>
  <c r="C28" i="4"/>
  <c r="C14" i="4"/>
  <c r="C8" i="4"/>
  <c r="H4" i="4"/>
  <c r="O24" i="4" s="1"/>
  <c r="Q24" i="4" s="1"/>
  <c r="C25" i="4"/>
  <c r="C37" i="4"/>
  <c r="C19" i="4"/>
  <c r="C12" i="4"/>
  <c r="C34" i="4"/>
  <c r="C26" i="4"/>
  <c r="C24" i="4"/>
  <c r="C16" i="4"/>
  <c r="C13" i="4"/>
  <c r="C31" i="4"/>
  <c r="C18" i="4"/>
  <c r="C33" i="4"/>
  <c r="C23" i="4"/>
  <c r="C9" i="4"/>
  <c r="C17" i="4"/>
  <c r="C27" i="4"/>
  <c r="V11" i="4"/>
  <c r="V10" i="4"/>
  <c r="V5" i="4"/>
  <c r="V12" i="4"/>
  <c r="V4" i="4"/>
  <c r="V9" i="4"/>
  <c r="C36" i="4" l="1"/>
  <c r="L4" i="4"/>
  <c r="H3" i="4"/>
  <c r="I5" i="4"/>
  <c r="D18" i="4" s="1"/>
  <c r="D21" i="4"/>
  <c r="D11" i="4"/>
  <c r="B39" i="4"/>
  <c r="C38" i="4"/>
  <c r="D37" i="4" l="1"/>
  <c r="D34" i="4"/>
  <c r="D38" i="4"/>
  <c r="D20" i="4"/>
  <c r="D32" i="4"/>
  <c r="D13" i="4"/>
  <c r="D23" i="4"/>
  <c r="D19" i="4"/>
  <c r="D17" i="4"/>
  <c r="D35" i="4"/>
  <c r="D26" i="4"/>
  <c r="L8" i="4"/>
  <c r="L10" i="4" s="1"/>
  <c r="Q10" i="4" s="1"/>
  <c r="L12" i="4"/>
  <c r="Q12" i="4" s="1"/>
  <c r="Q8" i="4"/>
  <c r="D10" i="4"/>
  <c r="I3" i="4"/>
  <c r="I6" i="4" s="1"/>
  <c r="D8" i="4"/>
  <c r="D9" i="4"/>
  <c r="D36" i="4"/>
  <c r="D30" i="4"/>
  <c r="D14" i="4"/>
  <c r="D24" i="4"/>
  <c r="D29" i="4"/>
  <c r="D16" i="4"/>
  <c r="D33" i="4"/>
  <c r="D22" i="4"/>
  <c r="D25" i="4"/>
  <c r="D31" i="4"/>
  <c r="D28" i="4"/>
  <c r="B40" i="4"/>
  <c r="C39" i="4"/>
  <c r="D39" i="4" s="1"/>
  <c r="D12" i="4"/>
  <c r="D15" i="4"/>
  <c r="D27" i="4"/>
  <c r="B41" i="4" l="1"/>
  <c r="C40" i="4"/>
  <c r="D40" i="4" s="1"/>
  <c r="Q9" i="4"/>
  <c r="Q14" i="4" s="1"/>
  <c r="B42" i="4" l="1"/>
  <c r="C41" i="4"/>
  <c r="D41" i="4" s="1"/>
  <c r="B43" i="4" l="1"/>
  <c r="C42" i="4"/>
  <c r="D42" i="4" s="1"/>
  <c r="B44" i="4" l="1"/>
  <c r="C43" i="4"/>
  <c r="D43" i="4" s="1"/>
  <c r="B45" i="4" l="1"/>
  <c r="C44" i="4"/>
  <c r="D44" i="4" s="1"/>
  <c r="B46" i="4" l="1"/>
  <c r="C45" i="4"/>
  <c r="D45" i="4" s="1"/>
  <c r="B47" i="4" l="1"/>
  <c r="C46" i="4"/>
  <c r="D46" i="4" s="1"/>
  <c r="B48" i="4" l="1"/>
  <c r="C47" i="4"/>
  <c r="D47" i="4" s="1"/>
  <c r="B49" i="4" l="1"/>
  <c r="C48" i="4"/>
  <c r="D48" i="4" s="1"/>
  <c r="B50" i="4" l="1"/>
  <c r="C49" i="4"/>
  <c r="D49" i="4" s="1"/>
  <c r="B51" i="4" l="1"/>
  <c r="C50" i="4"/>
  <c r="D50" i="4" s="1"/>
  <c r="B52" i="4" l="1"/>
  <c r="C51" i="4"/>
  <c r="D51" i="4" s="1"/>
  <c r="B53" i="4" l="1"/>
  <c r="C52" i="4"/>
  <c r="D52" i="4" s="1"/>
  <c r="B54" i="4" l="1"/>
  <c r="C53" i="4"/>
  <c r="D53" i="4" s="1"/>
  <c r="B55" i="4" l="1"/>
  <c r="C54" i="4"/>
  <c r="D54" i="4" s="1"/>
  <c r="B56" i="4" l="1"/>
  <c r="C55" i="4"/>
  <c r="D55" i="4" s="1"/>
  <c r="B57" i="4" l="1"/>
  <c r="C56" i="4"/>
  <c r="D56" i="4" s="1"/>
  <c r="B58" i="4" l="1"/>
  <c r="C57" i="4"/>
  <c r="D57" i="4" s="1"/>
  <c r="B59" i="4" l="1"/>
  <c r="C58" i="4"/>
  <c r="D58" i="4" s="1"/>
  <c r="B60" i="4" l="1"/>
  <c r="C59" i="4"/>
  <c r="D59" i="4" s="1"/>
  <c r="B61" i="4" l="1"/>
  <c r="C60" i="4"/>
  <c r="D60" i="4" s="1"/>
  <c r="B62" i="4" l="1"/>
  <c r="C61" i="4"/>
  <c r="D61" i="4" s="1"/>
  <c r="B63" i="4" l="1"/>
  <c r="C62" i="4"/>
  <c r="D62" i="4" s="1"/>
  <c r="B64" i="4" l="1"/>
  <c r="C63" i="4"/>
  <c r="D63" i="4" s="1"/>
  <c r="B65" i="4" l="1"/>
  <c r="C64" i="4"/>
  <c r="D64" i="4" s="1"/>
  <c r="B66" i="4" l="1"/>
  <c r="C65" i="4"/>
  <c r="D65" i="4" s="1"/>
  <c r="B67" i="4" l="1"/>
  <c r="C66" i="4"/>
  <c r="D66" i="4" s="1"/>
  <c r="B68" i="4" l="1"/>
  <c r="C67" i="4"/>
  <c r="D67" i="4" s="1"/>
  <c r="B69" i="4" l="1"/>
  <c r="C68" i="4"/>
  <c r="D68" i="4" s="1"/>
  <c r="B70" i="4" l="1"/>
  <c r="C69" i="4"/>
  <c r="D69" i="4" s="1"/>
  <c r="B71" i="4" l="1"/>
  <c r="C70" i="4"/>
  <c r="D70" i="4" s="1"/>
  <c r="B72" i="4" l="1"/>
  <c r="C71" i="4"/>
  <c r="D71" i="4" s="1"/>
  <c r="B73" i="4" l="1"/>
  <c r="C72" i="4"/>
  <c r="D72" i="4" s="1"/>
  <c r="B74" i="4" l="1"/>
  <c r="C73" i="4"/>
  <c r="D73" i="4" s="1"/>
  <c r="B75" i="4" l="1"/>
  <c r="C74" i="4"/>
  <c r="D74" i="4" s="1"/>
  <c r="B76" i="4" l="1"/>
  <c r="C75" i="4"/>
  <c r="D75" i="4" s="1"/>
  <c r="B77" i="4" l="1"/>
  <c r="C76" i="4"/>
  <c r="D76" i="4" s="1"/>
  <c r="B78" i="4" l="1"/>
  <c r="C77" i="4"/>
  <c r="D77" i="4" s="1"/>
  <c r="B79" i="4" l="1"/>
  <c r="C78" i="4"/>
  <c r="D78" i="4" s="1"/>
  <c r="B80" i="4" l="1"/>
  <c r="C79" i="4"/>
  <c r="D79" i="4" s="1"/>
  <c r="B81" i="4" l="1"/>
  <c r="C81" i="4" s="1"/>
  <c r="D81" i="4" s="1"/>
  <c r="C80" i="4"/>
  <c r="D80" i="4" s="1"/>
</calcChain>
</file>

<file path=xl/sharedStrings.xml><?xml version="1.0" encoding="utf-8"?>
<sst xmlns="http://schemas.openxmlformats.org/spreadsheetml/2006/main" count="159" uniqueCount="123">
  <si>
    <t>HESS</t>
  </si>
  <si>
    <r>
      <t>Coste específico (energía), C</t>
    </r>
    <r>
      <rPr>
        <vertAlign val="subscript"/>
        <sz val="10"/>
        <color theme="1"/>
        <rFont val="Calibri"/>
        <family val="2"/>
        <scheme val="minor"/>
      </rPr>
      <t xml:space="preserve">e </t>
    </r>
    <r>
      <rPr>
        <sz val="10"/>
        <color theme="1"/>
        <rFont val="Calibri"/>
        <family val="2"/>
        <scheme val="minor"/>
      </rPr>
      <t>(€</t>
    </r>
    <r>
      <rPr>
        <sz val="10"/>
        <color theme="1"/>
        <rFont val="Arial"/>
        <family val="2"/>
      </rPr>
      <t>/</t>
    </r>
    <r>
      <rPr>
        <sz val="10"/>
        <color theme="1"/>
        <rFont val="Calibri"/>
        <family val="2"/>
      </rPr>
      <t>kWh)</t>
    </r>
  </si>
  <si>
    <r>
      <t>Coste específico (potencia), C</t>
    </r>
    <r>
      <rPr>
        <vertAlign val="subscript"/>
        <sz val="10"/>
        <color theme="1"/>
        <rFont val="Calibri"/>
        <family val="2"/>
        <scheme val="minor"/>
      </rPr>
      <t xml:space="preserve">p </t>
    </r>
    <r>
      <rPr>
        <sz val="10"/>
        <color theme="1"/>
        <rFont val="Calibri"/>
        <family val="2"/>
        <scheme val="minor"/>
      </rPr>
      <t>(€/kW)</t>
    </r>
  </si>
  <si>
    <t>Amortización (vida útil), n (años)</t>
  </si>
  <si>
    <r>
      <t xml:space="preserve">Inversión (€/año):  </t>
    </r>
    <r>
      <rPr>
        <b/>
        <sz val="10"/>
        <color theme="1"/>
        <rFont val="Calibri"/>
        <family val="2"/>
        <scheme val="minor"/>
      </rPr>
      <t>C</t>
    </r>
    <r>
      <rPr>
        <b/>
        <vertAlign val="subscript"/>
        <sz val="10"/>
        <color theme="1"/>
        <rFont val="Calibri"/>
        <family val="2"/>
        <scheme val="minor"/>
      </rPr>
      <t xml:space="preserve">I </t>
    </r>
    <r>
      <rPr>
        <sz val="10"/>
        <color theme="1"/>
        <rFont val="Calibri"/>
        <family val="2"/>
        <scheme val="minor"/>
      </rPr>
      <t>= (C</t>
    </r>
    <r>
      <rPr>
        <vertAlign val="subscript"/>
        <sz val="10"/>
        <color theme="1"/>
        <rFont val="Calibri"/>
        <family val="2"/>
        <scheme val="minor"/>
      </rPr>
      <t>e</t>
    </r>
    <r>
      <rPr>
        <sz val="10"/>
        <color theme="1"/>
        <rFont val="Calibri"/>
        <family val="2"/>
        <scheme val="minor"/>
      </rPr>
      <t>·E</t>
    </r>
    <r>
      <rPr>
        <vertAlign val="subscript"/>
        <sz val="8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+</t>
    </r>
    <r>
      <rPr>
        <vertAlign val="subscript"/>
        <sz val="8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C</t>
    </r>
    <r>
      <rPr>
        <vertAlign val="subscript"/>
        <sz val="10"/>
        <color theme="1"/>
        <rFont val="Calibri"/>
        <family val="2"/>
        <scheme val="minor"/>
      </rPr>
      <t>p</t>
    </r>
    <r>
      <rPr>
        <sz val="10"/>
        <color theme="1"/>
        <rFont val="Calibri"/>
        <family val="2"/>
        <scheme val="minor"/>
      </rPr>
      <t>·P)/n</t>
    </r>
  </si>
  <si>
    <r>
      <t>O</t>
    </r>
    <r>
      <rPr>
        <sz val="9"/>
        <color theme="1"/>
        <rFont val="Calibri"/>
        <family val="2"/>
        <scheme val="minor"/>
      </rPr>
      <t>&amp;</t>
    </r>
    <r>
      <rPr>
        <sz val="10"/>
        <color theme="1"/>
        <rFont val="Calibri"/>
        <family val="2"/>
        <scheme val="minor"/>
      </rPr>
      <t>M (fracción del capital/año), k</t>
    </r>
  </si>
  <si>
    <r>
      <t xml:space="preserve">Operación (€/año):  </t>
    </r>
    <r>
      <rPr>
        <b/>
        <sz val="10"/>
        <color theme="1"/>
        <rFont val="Calibri"/>
        <family val="2"/>
        <scheme val="minor"/>
      </rPr>
      <t>C</t>
    </r>
    <r>
      <rPr>
        <b/>
        <vertAlign val="subscript"/>
        <sz val="10"/>
        <color theme="1"/>
        <rFont val="Calibri"/>
        <family val="2"/>
        <scheme val="minor"/>
      </rPr>
      <t>OM</t>
    </r>
    <r>
      <rPr>
        <vertAlign val="subscript"/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= k·C</t>
    </r>
    <r>
      <rPr>
        <vertAlign val="subscript"/>
        <sz val="10"/>
        <color theme="1"/>
        <rFont val="Calibri"/>
        <family val="2"/>
        <scheme val="minor"/>
      </rPr>
      <t>I</t>
    </r>
  </si>
  <si>
    <r>
      <t xml:space="preserve">Rendimiento energético, </t>
    </r>
    <r>
      <rPr>
        <sz val="10"/>
        <color theme="1"/>
        <rFont val="Symbol"/>
        <family val="1"/>
        <charset val="2"/>
      </rPr>
      <t>h</t>
    </r>
    <r>
      <rPr>
        <sz val="10"/>
        <color theme="1"/>
        <rFont val="Calibri"/>
        <family val="2"/>
      </rPr>
      <t xml:space="preserve">  </t>
    </r>
  </si>
  <si>
    <r>
      <t xml:space="preserve">Energía consumida (€/año):  </t>
    </r>
    <r>
      <rPr>
        <b/>
        <sz val="10"/>
        <color theme="1"/>
        <rFont val="Calibri"/>
        <family val="2"/>
        <scheme val="minor"/>
      </rPr>
      <t>C</t>
    </r>
    <r>
      <rPr>
        <b/>
        <vertAlign val="subscript"/>
        <sz val="10"/>
        <color theme="1"/>
        <rFont val="Calibri"/>
        <family val="2"/>
        <scheme val="minor"/>
      </rPr>
      <t xml:space="preserve">E </t>
    </r>
    <r>
      <rPr>
        <sz val="10"/>
        <color theme="1"/>
        <rFont val="Calibri"/>
        <family val="2"/>
        <scheme val="minor"/>
      </rPr>
      <t>= C</t>
    </r>
    <r>
      <rPr>
        <vertAlign val="subscript"/>
        <sz val="10"/>
        <color theme="1"/>
        <rFont val="Calibri"/>
        <family val="2"/>
        <scheme val="minor"/>
      </rPr>
      <t>w</t>
    </r>
    <r>
      <rPr>
        <sz val="10"/>
        <color theme="1"/>
        <rFont val="Calibri"/>
        <family val="2"/>
        <scheme val="minor"/>
      </rPr>
      <t>·E</t>
    </r>
    <r>
      <rPr>
        <vertAlign val="subscript"/>
        <sz val="10"/>
        <color theme="1"/>
        <rFont val="Calibri"/>
        <family val="2"/>
        <scheme val="minor"/>
      </rPr>
      <t>i</t>
    </r>
  </si>
  <si>
    <r>
      <t>Profundidad de descarga, D</t>
    </r>
    <r>
      <rPr>
        <vertAlign val="subscript"/>
        <sz val="10"/>
        <color theme="1"/>
        <rFont val="Calibri"/>
        <family val="2"/>
      </rPr>
      <t>max</t>
    </r>
  </si>
  <si>
    <r>
      <rPr>
        <b/>
        <sz val="10"/>
        <color theme="1"/>
        <rFont val="Calibri"/>
        <family val="2"/>
        <scheme val="minor"/>
      </rPr>
      <t>Coste total</t>
    </r>
    <r>
      <rPr>
        <sz val="10"/>
        <color theme="1"/>
        <rFont val="Calibri"/>
        <family val="2"/>
        <scheme val="minor"/>
      </rPr>
      <t xml:space="preserve"> (€/año):  </t>
    </r>
    <r>
      <rPr>
        <b/>
        <sz val="10"/>
        <color theme="1"/>
        <rFont val="Calibri"/>
        <family val="2"/>
        <scheme val="minor"/>
      </rPr>
      <t>C</t>
    </r>
    <r>
      <rPr>
        <b/>
        <vertAlign val="subscript"/>
        <sz val="10"/>
        <color theme="1"/>
        <rFont val="Calibri"/>
        <family val="2"/>
        <scheme val="minor"/>
      </rPr>
      <t xml:space="preserve">T </t>
    </r>
    <r>
      <rPr>
        <b/>
        <sz val="10"/>
        <color theme="1"/>
        <rFont val="Calibri"/>
        <family val="2"/>
        <scheme val="minor"/>
      </rPr>
      <t>= C</t>
    </r>
    <r>
      <rPr>
        <b/>
        <vertAlign val="subscript"/>
        <sz val="10"/>
        <color theme="1"/>
        <rFont val="Calibri"/>
        <family val="2"/>
        <scheme val="minor"/>
      </rPr>
      <t>I</t>
    </r>
    <r>
      <rPr>
        <b/>
        <sz val="10"/>
        <color theme="1"/>
        <rFont val="Calibri"/>
        <family val="2"/>
        <scheme val="minor"/>
      </rPr>
      <t xml:space="preserve"> + C</t>
    </r>
    <r>
      <rPr>
        <b/>
        <vertAlign val="subscript"/>
        <sz val="10"/>
        <color theme="1"/>
        <rFont val="Calibri"/>
        <family val="2"/>
        <scheme val="minor"/>
      </rPr>
      <t>OM</t>
    </r>
    <r>
      <rPr>
        <b/>
        <sz val="10"/>
        <color theme="1"/>
        <rFont val="Calibri"/>
        <family val="2"/>
        <scheme val="minor"/>
      </rPr>
      <t xml:space="preserve"> + C</t>
    </r>
    <r>
      <rPr>
        <b/>
        <vertAlign val="subscript"/>
        <sz val="10"/>
        <color theme="1"/>
        <rFont val="Calibri"/>
        <family val="2"/>
        <scheme val="minor"/>
      </rPr>
      <t>E</t>
    </r>
  </si>
  <si>
    <r>
      <rPr>
        <b/>
        <sz val="10"/>
        <color theme="1"/>
        <rFont val="Calibri"/>
        <family val="2"/>
        <scheme val="minor"/>
      </rPr>
      <t xml:space="preserve"> LCOE</t>
    </r>
    <r>
      <rPr>
        <sz val="10"/>
        <color theme="1"/>
        <rFont val="Calibri"/>
        <family val="2"/>
        <scheme val="minor"/>
      </rPr>
      <t xml:space="preserve"> (€/kWh) = C</t>
    </r>
    <r>
      <rPr>
        <vertAlign val="subscript"/>
        <sz val="10"/>
        <color theme="1"/>
        <rFont val="Calibri"/>
        <family val="2"/>
        <scheme val="minor"/>
      </rPr>
      <t>T</t>
    </r>
    <r>
      <rPr>
        <sz val="10"/>
        <color theme="1"/>
        <rFont val="Calibri"/>
        <family val="2"/>
        <scheme val="minor"/>
      </rPr>
      <t>/E</t>
    </r>
    <r>
      <rPr>
        <vertAlign val="subscript"/>
        <sz val="10"/>
        <color theme="1"/>
        <rFont val="Calibri"/>
        <family val="2"/>
        <scheme val="minor"/>
      </rPr>
      <t>a</t>
    </r>
    <r>
      <rPr>
        <sz val="10"/>
        <color theme="1"/>
        <rFont val="Calibri"/>
        <family val="2"/>
        <scheme val="minor"/>
      </rPr>
      <t xml:space="preserve"> </t>
    </r>
  </si>
  <si>
    <t>m/GJ:</t>
  </si>
  <si>
    <r>
      <t>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/GJ:</t>
    </r>
  </si>
  <si>
    <t>PHS</t>
  </si>
  <si>
    <t>CAES</t>
  </si>
  <si>
    <r>
      <t>H</t>
    </r>
    <r>
      <rPr>
        <b/>
        <u/>
        <vertAlign val="subscript"/>
        <sz val="11"/>
        <color theme="1"/>
        <rFont val="Calibri"/>
        <family val="2"/>
        <scheme val="minor"/>
      </rPr>
      <t>2</t>
    </r>
  </si>
  <si>
    <r>
      <t>CH</t>
    </r>
    <r>
      <rPr>
        <b/>
        <u/>
        <vertAlign val="subscript"/>
        <sz val="11"/>
        <color theme="1"/>
        <rFont val="Calibri"/>
        <family val="2"/>
        <scheme val="minor"/>
      </rPr>
      <t>4</t>
    </r>
  </si>
  <si>
    <r>
      <t>CH</t>
    </r>
    <r>
      <rPr>
        <b/>
        <u/>
        <vertAlign val="subscript"/>
        <sz val="11"/>
        <color theme="1"/>
        <rFont val="Calibri"/>
        <family val="2"/>
        <scheme val="minor"/>
      </rPr>
      <t>3</t>
    </r>
    <r>
      <rPr>
        <b/>
        <u/>
        <sz val="11"/>
        <color theme="1"/>
        <rFont val="Calibri"/>
        <family val="2"/>
        <scheme val="minor"/>
      </rPr>
      <t>OH</t>
    </r>
  </si>
  <si>
    <r>
      <t>P</t>
    </r>
    <r>
      <rPr>
        <vertAlign val="superscript"/>
        <sz val="11"/>
        <color theme="1"/>
        <rFont val="Calibri"/>
        <family val="2"/>
        <scheme val="minor"/>
      </rPr>
      <t xml:space="preserve">max </t>
    </r>
    <r>
      <rPr>
        <sz val="11"/>
        <color theme="1"/>
        <rFont val="Calibri"/>
        <family val="2"/>
        <scheme val="minor"/>
      </rPr>
      <t>(</t>
    </r>
    <r>
      <rPr>
        <sz val="10"/>
        <color theme="1"/>
        <rFont val="Calibri"/>
        <family val="2"/>
        <scheme val="minor"/>
      </rPr>
      <t>kWh/m</t>
    </r>
    <r>
      <rPr>
        <vertAlign val="superscript"/>
        <sz val="10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d):</t>
    </r>
  </si>
  <si>
    <t>h :</t>
  </si>
  <si>
    <t>f(t) = 0</t>
  </si>
  <si>
    <r>
      <t>LR (L/P</t>
    </r>
    <r>
      <rPr>
        <vertAlign val="subscript"/>
        <sz val="9"/>
        <color theme="1"/>
        <rFont val="Calibri"/>
        <family val="2"/>
        <scheme val="minor"/>
      </rPr>
      <t>PV</t>
    </r>
    <r>
      <rPr>
        <vertAlign val="superscript"/>
        <sz val="9"/>
        <color theme="1"/>
        <rFont val="Calibri"/>
        <family val="2"/>
        <scheme val="minor"/>
      </rPr>
      <t>max</t>
    </r>
    <r>
      <rPr>
        <sz val="11"/>
        <color theme="1"/>
        <rFont val="Calibri"/>
        <family val="2"/>
        <scheme val="minor"/>
      </rPr>
      <t>)</t>
    </r>
  </si>
  <si>
    <r>
      <t>LR</t>
    </r>
    <r>
      <rPr>
        <vertAlign val="superscript"/>
        <sz val="9"/>
        <color theme="1"/>
        <rFont val="Calibri"/>
        <family val="2"/>
        <scheme val="minor"/>
      </rPr>
      <t>avg</t>
    </r>
  </si>
  <si>
    <t>L (kWh/d) :</t>
  </si>
  <si>
    <t>Batteries</t>
  </si>
  <si>
    <t>month</t>
  </si>
  <si>
    <t>t (d)</t>
  </si>
  <si>
    <r>
      <t>H (</t>
    </r>
    <r>
      <rPr>
        <sz val="10"/>
        <color theme="1"/>
        <rFont val="Calibri"/>
        <family val="2"/>
        <scheme val="minor"/>
      </rPr>
      <t>kWh/m</t>
    </r>
    <r>
      <rPr>
        <vertAlign val="superscript"/>
        <sz val="10"/>
        <color theme="1"/>
        <rFont val="Calibri"/>
        <family val="2"/>
        <scheme val="minor"/>
      </rPr>
      <t>2</t>
    </r>
    <r>
      <rPr>
        <sz val="10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)</t>
    </r>
  </si>
  <si>
    <r>
      <t>H/H</t>
    </r>
    <r>
      <rPr>
        <vertAlign val="superscript"/>
        <sz val="9"/>
        <color theme="1"/>
        <rFont val="Calibri"/>
        <family val="2"/>
        <scheme val="minor"/>
      </rPr>
      <t>max</t>
    </r>
  </si>
  <si>
    <r>
      <t>P</t>
    </r>
    <r>
      <rPr>
        <vertAlign val="superscript"/>
        <sz val="11"/>
        <color theme="1"/>
        <rFont val="Calibri"/>
        <family val="2"/>
        <scheme val="minor"/>
      </rPr>
      <t>min</t>
    </r>
    <r>
      <rPr>
        <vertAlign val="subscript"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(</t>
    </r>
    <r>
      <rPr>
        <sz val="10"/>
        <color theme="1"/>
        <rFont val="Calibri"/>
        <family val="2"/>
        <scheme val="minor"/>
      </rPr>
      <t>kWh/m</t>
    </r>
    <r>
      <rPr>
        <vertAlign val="superscript"/>
        <sz val="10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d):</t>
    </r>
  </si>
  <si>
    <r>
      <t>t</t>
    </r>
    <r>
      <rPr>
        <vertAlign val="subscript"/>
        <sz val="11"/>
        <color theme="1"/>
        <rFont val="Calibri"/>
        <family val="2"/>
        <scheme val="minor"/>
      </rPr>
      <t xml:space="preserve">0 </t>
    </r>
    <r>
      <rPr>
        <sz val="11"/>
        <color theme="1"/>
        <rFont val="Calibri"/>
        <family val="2"/>
        <scheme val="minor"/>
      </rPr>
      <t>=</t>
    </r>
  </si>
  <si>
    <t>L (kW) =</t>
  </si>
  <si>
    <t>D (d) :</t>
  </si>
  <si>
    <t>jan</t>
  </si>
  <si>
    <t>SR (LR-CR) =</t>
  </si>
  <si>
    <r>
      <t>t</t>
    </r>
    <r>
      <rPr>
        <vertAlign val="subscript"/>
        <sz val="11"/>
        <color theme="1"/>
        <rFont val="Calibri"/>
        <family val="2"/>
        <scheme val="minor"/>
      </rPr>
      <t xml:space="preserve">1 </t>
    </r>
    <r>
      <rPr>
        <sz val="11"/>
        <color theme="1"/>
        <rFont val="Calibri"/>
        <family val="2"/>
        <scheme val="minor"/>
      </rPr>
      <t>=</t>
    </r>
  </si>
  <si>
    <t>CR</t>
  </si>
  <si>
    <r>
      <t>P</t>
    </r>
    <r>
      <rPr>
        <vertAlign val="subscript"/>
        <sz val="9"/>
        <color theme="1"/>
        <rFont val="Calibri"/>
        <family val="2"/>
        <scheme val="minor"/>
      </rPr>
      <t>PV</t>
    </r>
    <r>
      <rPr>
        <vertAlign val="superscript"/>
        <sz val="9"/>
        <color theme="1"/>
        <rFont val="Calibri"/>
        <family val="2"/>
        <scheme val="minor"/>
      </rPr>
      <t xml:space="preserve">max </t>
    </r>
    <r>
      <rPr>
        <sz val="11"/>
        <color theme="1"/>
        <rFont val="Calibri"/>
        <family val="2"/>
        <scheme val="minor"/>
      </rPr>
      <t>(kW) =</t>
    </r>
  </si>
  <si>
    <t>DOD :</t>
  </si>
  <si>
    <t>feb</t>
  </si>
  <si>
    <r>
      <t>t</t>
    </r>
    <r>
      <rPr>
        <vertAlign val="subscript"/>
        <sz val="11"/>
        <color theme="1"/>
        <rFont val="Calibri"/>
        <family val="2"/>
        <scheme val="minor"/>
      </rPr>
      <t xml:space="preserve">2 </t>
    </r>
    <r>
      <rPr>
        <sz val="11"/>
        <color theme="1"/>
        <rFont val="Calibri"/>
        <family val="2"/>
        <scheme val="minor"/>
      </rPr>
      <t>=</t>
    </r>
  </si>
  <si>
    <r>
      <rPr>
        <sz val="11"/>
        <color theme="1"/>
        <rFont val="Symbol"/>
        <family val="1"/>
        <charset val="2"/>
      </rPr>
      <t>h</t>
    </r>
    <r>
      <rPr>
        <vertAlign val="subscript"/>
        <sz val="10"/>
        <color theme="1"/>
        <rFont val="Calibri"/>
        <family val="2"/>
        <scheme val="minor"/>
      </rPr>
      <t xml:space="preserve">EL </t>
    </r>
    <r>
      <rPr>
        <sz val="11"/>
        <color theme="1"/>
        <rFont val="Calibri"/>
        <family val="2"/>
        <scheme val="minor"/>
      </rPr>
      <t>:</t>
    </r>
  </si>
  <si>
    <r>
      <rPr>
        <sz val="11"/>
        <color theme="1"/>
        <rFont val="Symbol"/>
        <family val="1"/>
        <charset val="2"/>
      </rPr>
      <t>h</t>
    </r>
    <r>
      <rPr>
        <vertAlign val="subscript"/>
        <sz val="10"/>
        <color theme="1"/>
        <rFont val="Calibri"/>
        <family val="2"/>
        <scheme val="minor"/>
      </rPr>
      <t xml:space="preserve">B </t>
    </r>
    <r>
      <rPr>
        <sz val="11"/>
        <color theme="1"/>
        <rFont val="Calibri"/>
        <family val="2"/>
        <scheme val="minor"/>
      </rPr>
      <t>:</t>
    </r>
  </si>
  <si>
    <t>mar</t>
  </si>
  <si>
    <r>
      <t>t</t>
    </r>
    <r>
      <rPr>
        <vertAlign val="subscript"/>
        <sz val="11"/>
        <color theme="1"/>
        <rFont val="Calibri"/>
        <family val="2"/>
        <scheme val="minor"/>
      </rPr>
      <t xml:space="preserve">F </t>
    </r>
    <r>
      <rPr>
        <sz val="11"/>
        <color theme="1"/>
        <rFont val="Calibri"/>
        <family val="2"/>
        <scheme val="minor"/>
      </rPr>
      <t>=</t>
    </r>
  </si>
  <si>
    <r>
      <rPr>
        <sz val="11"/>
        <color theme="1"/>
        <rFont val="Symbol"/>
        <family val="1"/>
        <charset val="2"/>
      </rPr>
      <t>h</t>
    </r>
    <r>
      <rPr>
        <vertAlign val="subscript"/>
        <sz val="10"/>
        <color theme="1"/>
        <rFont val="Calibri"/>
        <family val="2"/>
        <scheme val="minor"/>
      </rPr>
      <t xml:space="preserve">FC </t>
    </r>
    <r>
      <rPr>
        <sz val="11"/>
        <color theme="1"/>
        <rFont val="Calibri"/>
        <family val="2"/>
        <scheme val="minor"/>
      </rPr>
      <t>:</t>
    </r>
  </si>
  <si>
    <r>
      <t>S</t>
    </r>
    <r>
      <rPr>
        <vertAlign val="subscript"/>
        <sz val="10"/>
        <color theme="1"/>
        <rFont val="Calibri"/>
        <family val="2"/>
        <scheme val="minor"/>
      </rPr>
      <t xml:space="preserve">B </t>
    </r>
    <r>
      <rPr>
        <sz val="11"/>
        <color theme="1"/>
        <rFont val="Calibri"/>
        <family val="2"/>
        <scheme val="minor"/>
      </rPr>
      <t>(kWh) =</t>
    </r>
  </si>
  <si>
    <t>apr</t>
  </si>
  <si>
    <r>
      <t>P</t>
    </r>
    <r>
      <rPr>
        <vertAlign val="subscript"/>
        <sz val="9"/>
        <color theme="1"/>
        <rFont val="Calibri"/>
        <family val="2"/>
        <scheme val="minor"/>
      </rPr>
      <t>PV</t>
    </r>
    <r>
      <rPr>
        <sz val="11"/>
        <color theme="1"/>
        <rFont val="Calibri"/>
        <family val="2"/>
        <scheme val="minor"/>
      </rPr>
      <t>/P</t>
    </r>
    <r>
      <rPr>
        <vertAlign val="subscript"/>
        <sz val="9"/>
        <color theme="1"/>
        <rFont val="Calibri"/>
        <family val="2"/>
        <scheme val="minor"/>
      </rPr>
      <t>PV</t>
    </r>
    <r>
      <rPr>
        <vertAlign val="superscript"/>
        <sz val="9"/>
        <color theme="1"/>
        <rFont val="Calibri"/>
        <family val="2"/>
        <scheme val="minor"/>
      </rPr>
      <t>max</t>
    </r>
  </si>
  <si>
    <t>(+ CR)</t>
  </si>
  <si>
    <t>lifetime (a)</t>
  </si>
  <si>
    <r>
      <t>Balance</t>
    </r>
    <r>
      <rPr>
        <u/>
        <sz val="8"/>
        <color theme="1"/>
        <rFont val="Calibri"/>
        <family val="2"/>
        <scheme val="minor"/>
      </rPr>
      <t xml:space="preserve"> </t>
    </r>
    <r>
      <rPr>
        <u/>
        <sz val="10"/>
        <color theme="1"/>
        <rFont val="Calibri"/>
        <family val="2"/>
        <scheme val="minor"/>
      </rPr>
      <t>($/a)</t>
    </r>
  </si>
  <si>
    <t>may</t>
  </si>
  <si>
    <r>
      <t>S</t>
    </r>
    <r>
      <rPr>
        <vertAlign val="subscript"/>
        <sz val="9"/>
        <color theme="1"/>
        <rFont val="Calibri"/>
        <family val="2"/>
        <scheme val="minor"/>
      </rPr>
      <t xml:space="preserve">PV </t>
    </r>
    <r>
      <rPr>
        <sz val="11"/>
        <color theme="1"/>
        <rFont val="Calibri"/>
        <family val="2"/>
        <scheme val="minor"/>
      </rPr>
      <t>= 5,5*P</t>
    </r>
    <r>
      <rPr>
        <vertAlign val="subscript"/>
        <sz val="11"/>
        <color theme="1"/>
        <rFont val="Calibri"/>
        <family val="2"/>
        <scheme val="minor"/>
      </rPr>
      <t>PV</t>
    </r>
    <r>
      <rPr>
        <vertAlign val="superscript"/>
        <sz val="11"/>
        <color theme="1"/>
        <rFont val="Calibri"/>
        <family val="2"/>
        <scheme val="minor"/>
      </rPr>
      <t xml:space="preserve">max </t>
    </r>
    <r>
      <rPr>
        <sz val="11"/>
        <color theme="1"/>
        <rFont val="Calibri"/>
        <family val="2"/>
        <scheme val="minor"/>
      </rPr>
      <t>(kW)</t>
    </r>
  </si>
  <si>
    <r>
      <t>Cf</t>
    </r>
    <r>
      <rPr>
        <vertAlign val="subscript"/>
        <sz val="11"/>
        <color theme="1"/>
        <rFont val="Calibri"/>
        <family val="2"/>
        <scheme val="minor"/>
      </rPr>
      <t xml:space="preserve">PV </t>
    </r>
    <r>
      <rPr>
        <sz val="11"/>
        <color theme="1"/>
        <rFont val="Calibri"/>
        <family val="2"/>
        <scheme val="minor"/>
      </rPr>
      <t>($/W</t>
    </r>
    <r>
      <rPr>
        <vertAlign val="subscript"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>) :</t>
    </r>
  </si>
  <si>
    <t>jun</t>
  </si>
  <si>
    <t>Power electronics</t>
  </si>
  <si>
    <r>
      <t>Cf</t>
    </r>
    <r>
      <rPr>
        <vertAlign val="subscript"/>
        <sz val="11"/>
        <color theme="1"/>
        <rFont val="Calibri"/>
        <family val="2"/>
        <scheme val="minor"/>
      </rPr>
      <t xml:space="preserve">PE </t>
    </r>
    <r>
      <rPr>
        <sz val="11"/>
        <color theme="1"/>
        <rFont val="Calibri"/>
        <family val="2"/>
        <scheme val="minor"/>
      </rPr>
      <t>($/W</t>
    </r>
    <r>
      <rPr>
        <vertAlign val="subscript"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>) :</t>
    </r>
  </si>
  <si>
    <t>jul</t>
  </si>
  <si>
    <r>
      <t>S</t>
    </r>
    <r>
      <rPr>
        <vertAlign val="subscript"/>
        <sz val="9"/>
        <color theme="1"/>
        <rFont val="Calibri"/>
        <family val="2"/>
        <scheme val="minor"/>
      </rPr>
      <t xml:space="preserve">EL </t>
    </r>
    <r>
      <rPr>
        <sz val="11"/>
        <color theme="1"/>
        <rFont val="Calibri"/>
        <family val="2"/>
        <scheme val="minor"/>
      </rPr>
      <t>= S</t>
    </r>
    <r>
      <rPr>
        <vertAlign val="subscript"/>
        <sz val="11"/>
        <color theme="1"/>
        <rFont val="Calibri"/>
        <family val="2"/>
        <scheme val="minor"/>
      </rPr>
      <t>PV</t>
    </r>
    <r>
      <rPr>
        <sz val="11"/>
        <color theme="1"/>
        <rFont val="Calibri"/>
        <family val="2"/>
        <scheme val="minor"/>
      </rPr>
      <t>-L (kW)</t>
    </r>
  </si>
  <si>
    <r>
      <t>Cf</t>
    </r>
    <r>
      <rPr>
        <vertAlign val="subscript"/>
        <sz val="11"/>
        <color theme="1"/>
        <rFont val="Calibri"/>
        <family val="2"/>
        <scheme val="minor"/>
      </rPr>
      <t xml:space="preserve">EL </t>
    </r>
    <r>
      <rPr>
        <sz val="11"/>
        <color theme="1"/>
        <rFont val="Calibri"/>
        <family val="2"/>
        <scheme val="minor"/>
      </rPr>
      <t>($/kW) :</t>
    </r>
  </si>
  <si>
    <t>aug</t>
  </si>
  <si>
    <r>
      <t>S</t>
    </r>
    <r>
      <rPr>
        <vertAlign val="subscript"/>
        <sz val="9"/>
        <color theme="1"/>
        <rFont val="Calibri"/>
        <family val="2"/>
        <scheme val="minor"/>
      </rPr>
      <t xml:space="preserve">FC </t>
    </r>
    <r>
      <rPr>
        <sz val="11"/>
        <color theme="1"/>
        <rFont val="Calibri"/>
        <family val="2"/>
        <scheme val="minor"/>
      </rPr>
      <t>= 2,5·L (kW)</t>
    </r>
  </si>
  <si>
    <r>
      <t>Cf</t>
    </r>
    <r>
      <rPr>
        <vertAlign val="subscript"/>
        <sz val="11"/>
        <color theme="1"/>
        <rFont val="Calibri"/>
        <family val="2"/>
        <scheme val="minor"/>
      </rPr>
      <t xml:space="preserve">PC </t>
    </r>
    <r>
      <rPr>
        <sz val="11"/>
        <color theme="1"/>
        <rFont val="Calibri"/>
        <family val="2"/>
        <scheme val="minor"/>
      </rPr>
      <t>($/kW) :</t>
    </r>
  </si>
  <si>
    <t>sep</t>
  </si>
  <si>
    <r>
      <t>S</t>
    </r>
    <r>
      <rPr>
        <vertAlign val="subscript"/>
        <sz val="9"/>
        <color theme="1"/>
        <rFont val="Calibri"/>
        <family val="2"/>
        <scheme val="minor"/>
      </rPr>
      <t>T</t>
    </r>
    <r>
      <rPr>
        <vertAlign val="superscript"/>
        <sz val="9"/>
        <color theme="1"/>
        <rFont val="Calibri"/>
        <family val="2"/>
        <scheme val="minor"/>
      </rPr>
      <t xml:space="preserve">   </t>
    </r>
    <r>
      <rPr>
        <sz val="11"/>
        <color theme="1"/>
        <rFont val="Calibri"/>
        <family val="2"/>
        <scheme val="minor"/>
      </rPr>
      <t>(kg) =</t>
    </r>
  </si>
  <si>
    <r>
      <t>Cf</t>
    </r>
    <r>
      <rPr>
        <vertAlign val="subscript"/>
        <sz val="11"/>
        <color theme="1"/>
        <rFont val="Calibri"/>
        <family val="2"/>
        <scheme val="minor"/>
      </rPr>
      <t xml:space="preserve">T   </t>
    </r>
    <r>
      <rPr>
        <sz val="11"/>
        <color theme="1"/>
        <rFont val="Calibri"/>
        <family val="2"/>
        <scheme val="minor"/>
      </rPr>
      <t>($/kg) :</t>
    </r>
  </si>
  <si>
    <t>oct</t>
  </si>
  <si>
    <r>
      <t>Cf</t>
    </r>
    <r>
      <rPr>
        <vertAlign val="subscript"/>
        <sz val="11"/>
        <color theme="1"/>
        <rFont val="Calibri"/>
        <family val="2"/>
        <scheme val="minor"/>
      </rPr>
      <t xml:space="preserve">B </t>
    </r>
    <r>
      <rPr>
        <sz val="11"/>
        <color theme="1"/>
        <rFont val="Calibri"/>
        <family val="2"/>
        <scheme val="minor"/>
      </rPr>
      <t>($/kWh):</t>
    </r>
  </si>
  <si>
    <t>nov</t>
  </si>
  <si>
    <t>Benefit ($/a) :</t>
  </si>
  <si>
    <t>dec</t>
  </si>
  <si>
    <t>Max:</t>
  </si>
  <si>
    <r>
      <rPr>
        <sz val="11"/>
        <color theme="1"/>
        <rFont val="Symbol"/>
        <family val="1"/>
        <charset val="2"/>
      </rPr>
      <t>h</t>
    </r>
    <r>
      <rPr>
        <vertAlign val="subscript"/>
        <sz val="10"/>
        <color theme="1"/>
        <rFont val="Calibri"/>
        <family val="2"/>
        <scheme val="minor"/>
      </rPr>
      <t xml:space="preserve">PV </t>
    </r>
    <r>
      <rPr>
        <sz val="11"/>
        <color theme="1"/>
        <rFont val="Calibri"/>
        <family val="2"/>
        <scheme val="minor"/>
      </rPr>
      <t>:</t>
    </r>
  </si>
  <si>
    <r>
      <t>L (</t>
    </r>
    <r>
      <rPr>
        <sz val="10"/>
        <color theme="1"/>
        <rFont val="Calibri"/>
        <family val="2"/>
        <scheme val="minor"/>
      </rPr>
      <t>kWh/m</t>
    </r>
    <r>
      <rPr>
        <vertAlign val="superscript"/>
        <sz val="10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d)</t>
    </r>
    <r>
      <rPr>
        <vertAlign val="subscript"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=</t>
    </r>
  </si>
  <si>
    <r>
      <t>S</t>
    </r>
    <r>
      <rPr>
        <vertAlign val="subscript"/>
        <sz val="9"/>
        <color theme="1"/>
        <rFont val="Calibri"/>
        <family val="2"/>
        <scheme val="minor"/>
      </rPr>
      <t>PV</t>
    </r>
    <r>
      <rPr>
        <vertAlign val="superscript"/>
        <sz val="9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(m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 =</t>
    </r>
  </si>
  <si>
    <r>
      <t xml:space="preserve">profundidad de descarga, </t>
    </r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Calibri"/>
        <family val="2"/>
        <scheme val="minor"/>
      </rPr>
      <t>:</t>
    </r>
  </si>
  <si>
    <r>
      <t>Carga de la batería, P</t>
    </r>
    <r>
      <rPr>
        <vertAlign val="subscript"/>
        <sz val="11"/>
        <color theme="1"/>
        <rFont val="Calibri"/>
        <family val="2"/>
        <scheme val="minor"/>
      </rPr>
      <t xml:space="preserve">2 </t>
    </r>
    <r>
      <rPr>
        <sz val="11"/>
        <color theme="1"/>
        <rFont val="Calibri"/>
        <family val="2"/>
        <scheme val="minor"/>
      </rPr>
      <t>(kW)</t>
    </r>
  </si>
  <si>
    <r>
      <t xml:space="preserve">eficiencia de la batería, </t>
    </r>
    <r>
      <rPr>
        <sz val="11"/>
        <color theme="1"/>
        <rFont val="Symbol"/>
        <family val="1"/>
        <charset val="2"/>
      </rPr>
      <t>h=</t>
    </r>
    <r>
      <rPr>
        <sz val="11"/>
        <color theme="1"/>
        <rFont val="Calibri"/>
        <family val="2"/>
        <scheme val="minor"/>
      </rPr>
      <t>P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/P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:</t>
    </r>
  </si>
  <si>
    <r>
      <t>P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= P/(1+1/</t>
    </r>
    <r>
      <rPr>
        <sz val="11"/>
        <color theme="1"/>
        <rFont val="Symbol"/>
        <family val="1"/>
        <charset val="2"/>
      </rPr>
      <t>h</t>
    </r>
    <r>
      <rPr>
        <sz val="11"/>
        <color theme="1"/>
        <rFont val="Calibri"/>
        <family val="2"/>
        <scheme val="minor"/>
      </rPr>
      <t>):</t>
    </r>
  </si>
  <si>
    <r>
      <t>P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= P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/</t>
    </r>
    <r>
      <rPr>
        <sz val="11"/>
        <color theme="1"/>
        <rFont val="Symbol"/>
        <family val="1"/>
        <charset val="2"/>
      </rPr>
      <t>h</t>
    </r>
    <r>
      <rPr>
        <sz val="11"/>
        <color theme="1"/>
        <rFont val="Calibri"/>
        <family val="2"/>
        <scheme val="minor"/>
      </rPr>
      <t>:</t>
    </r>
  </si>
  <si>
    <t>periodo diurno, t (h/día):</t>
  </si>
  <si>
    <r>
      <t>Generación FV media, P=</t>
    </r>
    <r>
      <rPr>
        <vertAlign val="sub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P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+P</t>
    </r>
    <r>
      <rPr>
        <vertAlign val="subscript"/>
        <sz val="11"/>
        <color theme="1"/>
        <rFont val="Calibri"/>
        <family val="2"/>
        <scheme val="minor"/>
      </rPr>
      <t xml:space="preserve">2 </t>
    </r>
    <r>
      <rPr>
        <sz val="11"/>
        <color theme="1"/>
        <rFont val="Calibri"/>
        <family val="2"/>
        <scheme val="minor"/>
      </rPr>
      <t>(kW):</t>
    </r>
  </si>
  <si>
    <t>Tamaño de la batería, S (kWh)</t>
  </si>
  <si>
    <r>
      <t>S= P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t/</t>
    </r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Calibri"/>
        <family val="2"/>
        <scheme val="minor"/>
      </rPr>
      <t>:</t>
    </r>
  </si>
  <si>
    <t xml:space="preserve">  Caso de estudio simplificado de baterías sin estacionalidad:</t>
  </si>
  <si>
    <t>https://doi.org/10.1016/j.ijhydene.2023.05.057</t>
  </si>
  <si>
    <t>https://doi.org/10.1016/j.ijhydene.2011.09.102</t>
  </si>
  <si>
    <r>
      <t>Consumo horario fijo, P</t>
    </r>
    <r>
      <rPr>
        <vertAlign val="subscript"/>
        <sz val="11"/>
        <color theme="1"/>
        <rFont val="Calibri"/>
        <family val="2"/>
        <scheme val="minor"/>
      </rPr>
      <t xml:space="preserve">1 </t>
    </r>
    <r>
      <rPr>
        <sz val="11"/>
        <color theme="1"/>
        <rFont val="Calibri"/>
        <family val="2"/>
        <scheme val="minor"/>
      </rPr>
      <t>(kW)</t>
    </r>
  </si>
  <si>
    <r>
      <t xml:space="preserve">Tiempo de descarga, h </t>
    </r>
    <r>
      <rPr>
        <sz val="10.5"/>
        <color theme="1"/>
        <rFont val="Calibri"/>
        <family val="2"/>
      </rPr>
      <t>(horas):</t>
    </r>
  </si>
  <si>
    <t>Li-ion</t>
  </si>
  <si>
    <t>Na-S</t>
  </si>
  <si>
    <t>VRB</t>
  </si>
  <si>
    <t>SCESS</t>
  </si>
  <si>
    <t>SMES</t>
  </si>
  <si>
    <t>Flywheel</t>
  </si>
  <si>
    <t>Pb-Ac</t>
  </si>
  <si>
    <r>
      <t xml:space="preserve">EVALUACIÓN ECONÓMICA </t>
    </r>
    <r>
      <rPr>
        <b/>
        <u/>
        <sz val="10"/>
        <color theme="1"/>
        <rFont val="Calibri"/>
        <family val="2"/>
        <scheme val="minor"/>
      </rPr>
      <t>DE</t>
    </r>
    <r>
      <rPr>
        <b/>
        <u/>
        <sz val="10.5"/>
        <color theme="1"/>
        <rFont val="Calibri"/>
        <family val="2"/>
        <scheme val="minor"/>
      </rPr>
      <t xml:space="preserve"> SISTEMAS </t>
    </r>
    <r>
      <rPr>
        <b/>
        <u/>
        <sz val="10"/>
        <color theme="1"/>
        <rFont val="Calibri"/>
        <family val="2"/>
        <scheme val="minor"/>
      </rPr>
      <t>DE</t>
    </r>
    <r>
      <rPr>
        <b/>
        <u/>
        <sz val="10.5"/>
        <color theme="1"/>
        <rFont val="Calibri"/>
        <family val="2"/>
        <scheme val="minor"/>
      </rPr>
      <t xml:space="preserve"> ALMACENAMIENTO DE ENERGÍA</t>
    </r>
  </si>
  <si>
    <r>
      <t>Considerando los costes de capital (</t>
    </r>
    <r>
      <rPr>
        <sz val="9"/>
        <color theme="1"/>
        <rFont val="Calibri"/>
        <family val="2"/>
        <scheme val="minor"/>
      </rPr>
      <t>vs. capacidad</t>
    </r>
    <r>
      <rPr>
        <sz val="8.5"/>
        <color theme="1"/>
        <rFont val="Calibri"/>
        <family val="2"/>
        <scheme val="minor"/>
      </rPr>
      <t xml:space="preserve"> y</t>
    </r>
    <r>
      <rPr>
        <sz val="9"/>
        <color theme="1"/>
        <rFont val="Calibri"/>
        <family val="2"/>
        <scheme val="minor"/>
      </rPr>
      <t xml:space="preserve"> potencia</t>
    </r>
    <r>
      <rPr>
        <b/>
        <sz val="9"/>
        <color theme="1"/>
        <rFont val="Calibri"/>
        <family val="2"/>
        <scheme val="minor"/>
      </rPr>
      <t>), operación (</t>
    </r>
    <r>
      <rPr>
        <sz val="9"/>
        <color theme="1"/>
        <rFont val="Calibri"/>
        <family val="2"/>
        <scheme val="minor"/>
      </rPr>
      <t>O</t>
    </r>
    <r>
      <rPr>
        <sz val="8"/>
        <color theme="1"/>
        <rFont val="Calibri"/>
        <family val="2"/>
        <scheme val="minor"/>
      </rPr>
      <t>&amp;</t>
    </r>
    <r>
      <rPr>
        <sz val="9"/>
        <color theme="1"/>
        <rFont val="Calibri"/>
        <family val="2"/>
        <scheme val="minor"/>
      </rPr>
      <t>M</t>
    </r>
    <r>
      <rPr>
        <b/>
        <sz val="9"/>
        <color theme="1"/>
        <rFont val="Calibri"/>
        <family val="2"/>
        <scheme val="minor"/>
      </rPr>
      <t>) y energía; con el precio de la electricidad, la vida útil, la eficiencia del sistema (</t>
    </r>
    <r>
      <rPr>
        <sz val="9"/>
        <color theme="1"/>
        <rFont val="Calibri"/>
        <family val="2"/>
        <scheme val="minor"/>
      </rPr>
      <t>round-trip</t>
    </r>
    <r>
      <rPr>
        <b/>
        <sz val="9"/>
        <color theme="1"/>
        <rFont val="Calibri"/>
        <family val="2"/>
        <scheme val="minor"/>
      </rPr>
      <t>) y los ciclos de descarga (</t>
    </r>
    <r>
      <rPr>
        <sz val="9"/>
        <color theme="1"/>
        <rFont val="Calibri"/>
        <family val="2"/>
        <scheme val="minor"/>
      </rPr>
      <t>tiempo</t>
    </r>
    <r>
      <rPr>
        <sz val="8.5"/>
        <color theme="1"/>
        <rFont val="Calibri"/>
        <family val="2"/>
        <scheme val="minor"/>
      </rPr>
      <t xml:space="preserve"> y </t>
    </r>
    <r>
      <rPr>
        <sz val="9"/>
        <color theme="1"/>
        <rFont val="Calibri"/>
        <family val="2"/>
        <scheme val="minor"/>
      </rPr>
      <t>profundidad</t>
    </r>
    <r>
      <rPr>
        <b/>
        <sz val="9"/>
        <color theme="1"/>
        <rFont val="Calibri"/>
        <family val="2"/>
        <scheme val="minor"/>
      </rPr>
      <t>)</t>
    </r>
  </si>
  <si>
    <r>
      <rPr>
        <b/>
        <sz val="10"/>
        <color theme="1"/>
        <rFont val="Calibri"/>
        <family val="2"/>
        <scheme val="minor"/>
      </rPr>
      <t>h</t>
    </r>
    <r>
      <rPr>
        <sz val="10"/>
        <color theme="1"/>
        <rFont val="Calibri"/>
        <family val="2"/>
        <scheme val="minor"/>
      </rPr>
      <t xml:space="preserve"> (días)</t>
    </r>
  </si>
  <si>
    <r>
      <t xml:space="preserve">Capacidad, </t>
    </r>
    <r>
      <rPr>
        <b/>
        <sz val="10"/>
        <color theme="1"/>
        <rFont val="Calibri"/>
        <family val="2"/>
      </rPr>
      <t>E</t>
    </r>
    <r>
      <rPr>
        <sz val="8"/>
        <color theme="1"/>
        <rFont val="Calibri"/>
        <family val="2"/>
      </rPr>
      <t xml:space="preserve"> </t>
    </r>
    <r>
      <rPr>
        <sz val="10"/>
        <color theme="1"/>
        <rFont val="Calibri"/>
        <family val="2"/>
      </rPr>
      <t>(MWh)</t>
    </r>
    <r>
      <rPr>
        <sz val="8"/>
        <color theme="1"/>
        <rFont val="Calibri"/>
        <family val="2"/>
      </rPr>
      <t xml:space="preserve"> </t>
    </r>
    <r>
      <rPr>
        <sz val="10"/>
        <color theme="1"/>
        <rFont val="Calibri"/>
        <family val="2"/>
      </rPr>
      <t xml:space="preserve">= </t>
    </r>
    <r>
      <rPr>
        <b/>
        <sz val="10"/>
        <color theme="1"/>
        <rFont val="Calibri"/>
        <family val="2"/>
      </rPr>
      <t>E</t>
    </r>
    <r>
      <rPr>
        <b/>
        <vertAlign val="subscript"/>
        <sz val="10"/>
        <color theme="1"/>
        <rFont val="Calibri"/>
        <family val="2"/>
      </rPr>
      <t>i</t>
    </r>
    <r>
      <rPr>
        <sz val="10"/>
        <color theme="1"/>
        <rFont val="Calibri"/>
        <family val="2"/>
      </rPr>
      <t>·h/(8760·D</t>
    </r>
    <r>
      <rPr>
        <vertAlign val="subscript"/>
        <sz val="10"/>
        <color theme="1"/>
        <rFont val="Calibri"/>
        <family val="2"/>
      </rPr>
      <t>max</t>
    </r>
    <r>
      <rPr>
        <sz val="10"/>
        <color theme="1"/>
        <rFont val="Calibri"/>
        <family val="2"/>
      </rPr>
      <t>)</t>
    </r>
  </si>
  <si>
    <t xml:space="preserve"> Parámetros del modelo</t>
  </si>
  <si>
    <r>
      <rPr>
        <b/>
        <sz val="10.5"/>
        <color theme="1"/>
        <rFont val="Calibri"/>
        <family val="2"/>
        <scheme val="minor"/>
      </rPr>
      <t>Energía inyectada, E</t>
    </r>
    <r>
      <rPr>
        <b/>
        <vertAlign val="subscript"/>
        <sz val="10.5"/>
        <color theme="1"/>
        <rFont val="Calibri"/>
        <family val="2"/>
        <scheme val="minor"/>
      </rPr>
      <t>i</t>
    </r>
    <r>
      <rPr>
        <vertAlign val="subscript"/>
        <sz val="10.5"/>
        <color theme="1"/>
        <rFont val="Calibri"/>
        <family val="2"/>
        <scheme val="minor"/>
      </rPr>
      <t xml:space="preserve"> </t>
    </r>
    <r>
      <rPr>
        <sz val="10.5"/>
        <color theme="1"/>
        <rFont val="Calibri"/>
        <family val="2"/>
        <scheme val="minor"/>
      </rPr>
      <t>(GWh/año):</t>
    </r>
  </si>
  <si>
    <r>
      <rPr>
        <b/>
        <sz val="10.5"/>
        <color theme="1"/>
        <rFont val="Calibri"/>
        <family val="2"/>
        <scheme val="minor"/>
      </rPr>
      <t>Precio de compra</t>
    </r>
    <r>
      <rPr>
        <sz val="10.5"/>
        <color theme="1"/>
        <rFont val="Calibri"/>
        <family val="2"/>
        <scheme val="minor"/>
      </rPr>
      <t>, C</t>
    </r>
    <r>
      <rPr>
        <vertAlign val="subscript"/>
        <sz val="10.5"/>
        <color theme="1"/>
        <rFont val="Calibri"/>
        <family val="2"/>
        <scheme val="minor"/>
      </rPr>
      <t xml:space="preserve">w </t>
    </r>
    <r>
      <rPr>
        <sz val="10.5"/>
        <color theme="1"/>
        <rFont val="Calibri"/>
        <family val="2"/>
        <scheme val="minor"/>
      </rPr>
      <t>(€/kWh) :</t>
    </r>
  </si>
  <si>
    <r>
      <rPr>
        <b/>
        <sz val="10.5"/>
        <color theme="1"/>
        <rFont val="Calibri"/>
        <family val="2"/>
        <scheme val="minor"/>
      </rPr>
      <t xml:space="preserve"> </t>
    </r>
    <r>
      <rPr>
        <b/>
        <u/>
        <sz val="10.5"/>
        <color theme="1"/>
        <rFont val="Calibri"/>
        <family val="2"/>
        <scheme val="minor"/>
      </rPr>
      <t>Ecuaciones de costes</t>
    </r>
  </si>
  <si>
    <r>
      <t>C</t>
    </r>
    <r>
      <rPr>
        <vertAlign val="subscript"/>
        <sz val="10.5"/>
        <color theme="1"/>
        <rFont val="Calibri"/>
        <family val="2"/>
        <scheme val="minor"/>
      </rPr>
      <t xml:space="preserve">w </t>
    </r>
    <r>
      <rPr>
        <sz val="10.5"/>
        <color theme="1"/>
        <rFont val="Calibri"/>
        <family val="2"/>
        <scheme val="minor"/>
      </rPr>
      <t>= 0,05 €/kWh</t>
    </r>
  </si>
  <si>
    <r>
      <t>C</t>
    </r>
    <r>
      <rPr>
        <vertAlign val="subscript"/>
        <sz val="10.5"/>
        <color theme="1"/>
        <rFont val="Calibri"/>
        <family val="2"/>
        <scheme val="minor"/>
      </rPr>
      <t xml:space="preserve">w </t>
    </r>
    <r>
      <rPr>
        <sz val="10.5"/>
        <color theme="1"/>
        <rFont val="Calibri"/>
        <family val="2"/>
        <scheme val="minor"/>
      </rPr>
      <t>= 0,10 €/kWh</t>
    </r>
  </si>
  <si>
    <r>
      <t>C</t>
    </r>
    <r>
      <rPr>
        <vertAlign val="subscript"/>
        <sz val="10.5"/>
        <color theme="1"/>
        <rFont val="Calibri"/>
        <family val="2"/>
        <scheme val="minor"/>
      </rPr>
      <t xml:space="preserve">w </t>
    </r>
    <r>
      <rPr>
        <sz val="10.5"/>
        <color theme="1"/>
        <rFont val="Calibri"/>
        <family val="2"/>
        <scheme val="minor"/>
      </rPr>
      <t>= 0,00 €/kWh</t>
    </r>
  </si>
  <si>
    <r>
      <t xml:space="preserve">Potencia, P (MW) = </t>
    </r>
    <r>
      <rPr>
        <b/>
        <sz val="10"/>
        <color theme="1"/>
        <rFont val="Calibri"/>
        <family val="2"/>
      </rPr>
      <t>E</t>
    </r>
    <r>
      <rPr>
        <sz val="10"/>
        <color theme="1"/>
        <rFont val="Calibri"/>
        <family val="2"/>
      </rPr>
      <t>/</t>
    </r>
    <r>
      <rPr>
        <b/>
        <sz val="10"/>
        <color theme="1"/>
        <rFont val="Calibri"/>
        <family val="2"/>
      </rPr>
      <t>h</t>
    </r>
  </si>
  <si>
    <r>
      <t xml:space="preserve"> Energía descargada, E</t>
    </r>
    <r>
      <rPr>
        <b/>
        <vertAlign val="subscript"/>
        <sz val="10"/>
        <color theme="1"/>
        <rFont val="Calibri"/>
        <family val="2"/>
        <scheme val="minor"/>
      </rPr>
      <t xml:space="preserve">a </t>
    </r>
    <r>
      <rPr>
        <b/>
        <sz val="10"/>
        <color theme="1"/>
        <rFont val="Calibri"/>
        <family val="2"/>
        <scheme val="minor"/>
      </rPr>
      <t>= E</t>
    </r>
    <r>
      <rPr>
        <b/>
        <vertAlign val="subscript"/>
        <sz val="10"/>
        <color theme="1"/>
        <rFont val="Calibri"/>
        <family val="2"/>
        <scheme val="minor"/>
      </rPr>
      <t>i</t>
    </r>
    <r>
      <rPr>
        <sz val="10"/>
        <color theme="1"/>
        <rFont val="Calibri"/>
        <family val="2"/>
        <scheme val="minor"/>
      </rPr>
      <t>·</t>
    </r>
    <r>
      <rPr>
        <sz val="10"/>
        <color theme="1"/>
        <rFont val="Symbol"/>
        <family val="1"/>
        <charset val="2"/>
      </rPr>
      <t>h</t>
    </r>
    <r>
      <rPr>
        <b/>
        <sz val="10"/>
        <color theme="1"/>
        <rFont val="Calibri"/>
        <family val="2"/>
      </rPr>
      <t xml:space="preserve"> </t>
    </r>
    <r>
      <rPr>
        <sz val="10"/>
        <color theme="1"/>
        <rFont val="Calibri"/>
        <family val="2"/>
        <scheme val="minor"/>
      </rPr>
      <t>(MWh/año):</t>
    </r>
  </si>
  <si>
    <t>PCI (MJ/kg):</t>
  </si>
  <si>
    <r>
      <t>densidad de energía (MJ/m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):</t>
    </r>
  </si>
  <si>
    <r>
      <t>comparativa respecto al H</t>
    </r>
    <r>
      <rPr>
        <u/>
        <vertAlign val="subscript"/>
        <sz val="11.5"/>
        <color theme="1"/>
        <rFont val="Calibri"/>
        <family val="2"/>
        <scheme val="minor"/>
      </rPr>
      <t>2</t>
    </r>
    <r>
      <rPr>
        <u/>
        <sz val="11.5"/>
        <color theme="1"/>
        <rFont val="Calibri"/>
        <family val="2"/>
        <scheme val="minor"/>
      </rPr>
      <t>:</t>
    </r>
  </si>
  <si>
    <r>
      <t>condiciones (m, atm,</t>
    </r>
    <r>
      <rPr>
        <sz val="10.5"/>
        <color theme="1"/>
        <rFont val="Symbol"/>
        <family val="1"/>
        <charset val="2"/>
      </rPr>
      <t>°</t>
    </r>
    <r>
      <rPr>
        <sz val="10.5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):</t>
    </r>
  </si>
  <si>
    <r>
      <t>densidad (kg/m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):</t>
    </r>
  </si>
  <si>
    <t>Tamaño de almacenamientos:</t>
  </si>
  <si>
    <r>
      <t>E/V=</t>
    </r>
    <r>
      <rPr>
        <u/>
        <vertAlign val="subscript"/>
        <sz val="9"/>
        <color theme="1"/>
        <rFont val="Calibri"/>
        <family val="2"/>
        <scheme val="minor"/>
      </rPr>
      <t xml:space="preserve"> </t>
    </r>
    <r>
      <rPr>
        <u/>
        <sz val="9"/>
        <color theme="1"/>
        <rFont val="Calibri"/>
        <family val="2"/>
        <scheme val="minor"/>
      </rPr>
      <t>P·ln(P/P</t>
    </r>
    <r>
      <rPr>
        <u/>
        <vertAlign val="subscript"/>
        <sz val="9"/>
        <color theme="1"/>
        <rFont val="Calibri"/>
        <family val="2"/>
        <scheme val="minor"/>
      </rPr>
      <t>o</t>
    </r>
    <r>
      <rPr>
        <u/>
        <sz val="9"/>
        <color theme="1"/>
        <rFont val="Calibri"/>
        <family val="2"/>
        <scheme val="minor"/>
      </rPr>
      <t>)</t>
    </r>
  </si>
  <si>
    <r>
      <t>105</t>
    </r>
    <r>
      <rPr>
        <u/>
        <sz val="8"/>
        <color theme="1"/>
        <rFont val="Calibri"/>
        <family val="2"/>
        <scheme val="minor"/>
      </rPr>
      <t xml:space="preserve"> </t>
    </r>
    <r>
      <rPr>
        <u/>
        <sz val="10.5"/>
        <color theme="1"/>
        <rFont val="Calibri"/>
        <family val="2"/>
        <scheme val="minor"/>
      </rPr>
      <t>Wh/kg</t>
    </r>
  </si>
  <si>
    <r>
      <rPr>
        <b/>
        <sz val="12"/>
        <color theme="1"/>
        <rFont val="Calibri"/>
        <family val="2"/>
        <scheme val="minor"/>
      </rPr>
      <t xml:space="preserve"> </t>
    </r>
    <r>
      <rPr>
        <b/>
        <u/>
        <sz val="12"/>
        <color theme="1"/>
        <rFont val="Calibri"/>
        <family val="2"/>
        <scheme val="minor"/>
      </rPr>
      <t>Techno-ecnomic analysis of solar/hydrogen systems for constant year-round power supply</t>
    </r>
  </si>
  <si>
    <t>https://doi.org/10.1016/j.rser.2025.115971</t>
  </si>
  <si>
    <t>Comparar con ref (Tabla 2):</t>
  </si>
  <si>
    <r>
      <t>kWh/m</t>
    </r>
    <r>
      <rPr>
        <vertAlign val="superscript"/>
        <sz val="10.5"/>
        <color theme="1"/>
        <rFont val="Calibri"/>
        <family val="2"/>
        <scheme val="minor"/>
      </rPr>
      <t>3</t>
    </r>
    <r>
      <rPr>
        <sz val="10.5"/>
        <color theme="1"/>
        <rFont val="Calibri"/>
        <family val="2"/>
        <scheme val="minor"/>
      </rPr>
      <t>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</si>
</sst>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%"/>
    <numFmt numFmtId="166" formatCode="0.000"/>
    <numFmt numFmtId="167" formatCode="0.0000"/>
  </numFmts>
  <fonts count="6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0.5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vertAlign val="subscript"/>
      <sz val="10.5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vertAlign val="subscript"/>
      <sz val="10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8"/>
      <color theme="1"/>
      <name val="Calibri"/>
      <family val="2"/>
    </font>
    <font>
      <b/>
      <vertAlign val="subscript"/>
      <sz val="10"/>
      <color theme="1"/>
      <name val="Calibri"/>
      <family val="2"/>
    </font>
    <font>
      <vertAlign val="subscript"/>
      <sz val="10"/>
      <color theme="1"/>
      <name val="Calibri"/>
      <family val="2"/>
    </font>
    <font>
      <b/>
      <sz val="10"/>
      <color rgb="FFFF0000"/>
      <name val="Calibri"/>
      <family val="2"/>
      <scheme val="minor"/>
    </font>
    <font>
      <sz val="10"/>
      <color theme="1"/>
      <name val="Symbol"/>
      <family val="1"/>
      <charset val="2"/>
    </font>
    <font>
      <sz val="10"/>
      <color rgb="FFC00000"/>
      <name val="Calibri"/>
      <family val="2"/>
      <scheme val="minor"/>
    </font>
    <font>
      <sz val="10"/>
      <color rgb="FFFF0000"/>
      <name val="Calibri"/>
      <family val="2"/>
      <scheme val="minor"/>
    </font>
    <font>
      <vertAlign val="subscript"/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vertAlign val="subscript"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color rgb="FFC00000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u/>
      <vertAlign val="subscript"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  <font>
      <sz val="12"/>
      <color rgb="FF000000"/>
      <name val="Symbol"/>
      <family val="1"/>
      <charset val="2"/>
    </font>
    <font>
      <sz val="11"/>
      <color rgb="FFC00000"/>
      <name val="Calibri"/>
      <family val="2"/>
      <scheme val="minor"/>
    </font>
    <font>
      <sz val="11"/>
      <color rgb="FF0070C0"/>
      <name val="Calibri"/>
      <family val="2"/>
      <scheme val="minor"/>
    </font>
    <font>
      <vertAlign val="subscript"/>
      <sz val="9"/>
      <color theme="1"/>
      <name val="Calibri"/>
      <family val="2"/>
      <scheme val="minor"/>
    </font>
    <font>
      <vertAlign val="superscript"/>
      <sz val="9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sz val="1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0.5"/>
      <color theme="1"/>
      <name val="Calibri"/>
      <family val="2"/>
    </font>
    <font>
      <sz val="10.5"/>
      <color theme="1"/>
      <name val="Calibri"/>
      <family val="2"/>
    </font>
    <font>
      <sz val="8.5"/>
      <color theme="1"/>
      <name val="Calibri"/>
      <family val="2"/>
      <scheme val="minor"/>
    </font>
    <font>
      <b/>
      <vertAlign val="subscript"/>
      <sz val="10.5"/>
      <color theme="1"/>
      <name val="Calibri"/>
      <family val="2"/>
      <scheme val="minor"/>
    </font>
    <font>
      <b/>
      <sz val="10.5"/>
      <color theme="4"/>
      <name val="Calibri"/>
      <family val="2"/>
      <scheme val="minor"/>
    </font>
    <font>
      <sz val="9.5"/>
      <color theme="1"/>
      <name val="Calibri"/>
      <family val="2"/>
      <scheme val="minor"/>
    </font>
    <font>
      <sz val="9.5"/>
      <color rgb="FFFF0000"/>
      <name val="Calibri"/>
      <family val="2"/>
      <scheme val="minor"/>
    </font>
    <font>
      <u/>
      <sz val="11.5"/>
      <color theme="1"/>
      <name val="Calibri"/>
      <family val="2"/>
      <scheme val="minor"/>
    </font>
    <font>
      <u/>
      <vertAlign val="subscript"/>
      <sz val="11.5"/>
      <color theme="1"/>
      <name val="Calibri"/>
      <family val="2"/>
      <scheme val="minor"/>
    </font>
    <font>
      <u/>
      <sz val="11"/>
      <color rgb="FFFF0000"/>
      <name val="Calibri"/>
      <family val="2"/>
      <scheme val="minor"/>
    </font>
    <font>
      <sz val="10.5"/>
      <color theme="1"/>
      <name val="Symbol"/>
      <family val="1"/>
      <charset val="2"/>
    </font>
    <font>
      <u/>
      <sz val="9"/>
      <color theme="1"/>
      <name val="Calibri"/>
      <family val="2"/>
      <scheme val="minor"/>
    </font>
    <font>
      <u/>
      <vertAlign val="subscript"/>
      <sz val="9"/>
      <color theme="1"/>
      <name val="Calibri"/>
      <family val="2"/>
      <scheme val="minor"/>
    </font>
    <font>
      <u/>
      <sz val="10.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0.5"/>
      <color theme="10"/>
      <name val="Calibri"/>
      <family val="2"/>
      <scheme val="minor"/>
    </font>
    <font>
      <vertAlign val="superscript"/>
      <sz val="10.5"/>
      <color theme="1"/>
      <name val="Calibri"/>
      <family val="2"/>
      <scheme val="minor"/>
    </font>
    <font>
      <sz val="10.5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9" fontId="25" fillId="0" borderId="0" applyFont="0" applyFill="0" applyBorder="0" applyAlignment="0" applyProtection="0"/>
    <xf numFmtId="0" fontId="29" fillId="0" borderId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48" fillId="0" borderId="0" applyNumberFormat="0" applyFill="0" applyBorder="0" applyAlignment="0" applyProtection="0"/>
  </cellStyleXfs>
  <cellXfs count="148">
    <xf numFmtId="0" fontId="0" fillId="0" borderId="0" xfId="0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right" indent="1"/>
    </xf>
    <xf numFmtId="0" fontId="8" fillId="0" borderId="0" xfId="0" applyFont="1"/>
    <xf numFmtId="0" fontId="0" fillId="0" borderId="1" xfId="0" applyBorder="1"/>
    <xf numFmtId="0" fontId="8" fillId="0" borderId="1" xfId="0" applyFont="1" applyBorder="1" applyAlignment="1">
      <alignment horizontal="right" indent="1"/>
    </xf>
    <xf numFmtId="0" fontId="10" fillId="0" borderId="0" xfId="0" applyFont="1"/>
    <xf numFmtId="0" fontId="8" fillId="0" borderId="0" xfId="0" applyFont="1" applyAlignment="1">
      <alignment vertical="center"/>
    </xf>
    <xf numFmtId="0" fontId="0" fillId="0" borderId="0" xfId="0" applyAlignment="1">
      <alignment vertical="center"/>
    </xf>
    <xf numFmtId="1" fontId="4" fillId="0" borderId="0" xfId="0" applyNumberFormat="1" applyFont="1" applyAlignment="1">
      <alignment horizontal="right" indent="1"/>
    </xf>
    <xf numFmtId="1" fontId="17" fillId="0" borderId="0" xfId="0" applyNumberFormat="1" applyFont="1" applyAlignment="1">
      <alignment horizontal="right" indent="1"/>
    </xf>
    <xf numFmtId="0" fontId="10" fillId="0" borderId="0" xfId="0" applyFont="1" applyAlignment="1">
      <alignment horizontal="left" indent="1"/>
    </xf>
    <xf numFmtId="1" fontId="18" fillId="0" borderId="0" xfId="0" applyNumberFormat="1" applyFont="1" applyAlignment="1">
      <alignment horizontal="right" indent="1"/>
    </xf>
    <xf numFmtId="1" fontId="17" fillId="0" borderId="0" xfId="0" applyNumberFormat="1" applyFont="1" applyAlignment="1">
      <alignment horizontal="right" indent="2"/>
    </xf>
    <xf numFmtId="164" fontId="4" fillId="0" borderId="0" xfId="0" applyNumberFormat="1" applyFont="1" applyAlignment="1">
      <alignment horizontal="right" indent="1"/>
    </xf>
    <xf numFmtId="0" fontId="21" fillId="0" borderId="0" xfId="0" applyFont="1" applyAlignment="1">
      <alignment horizontal="left" indent="1"/>
    </xf>
    <xf numFmtId="0" fontId="4" fillId="0" borderId="0" xfId="0" applyFont="1" applyAlignment="1">
      <alignment horizontal="left" indent="1"/>
    </xf>
    <xf numFmtId="165" fontId="4" fillId="0" borderId="0" xfId="1" applyNumberFormat="1" applyFont="1" applyAlignment="1">
      <alignment horizontal="right" indent="1"/>
    </xf>
    <xf numFmtId="9" fontId="4" fillId="0" borderId="0" xfId="1" applyFont="1" applyAlignment="1">
      <alignment horizontal="right" indent="1"/>
    </xf>
    <xf numFmtId="1" fontId="18" fillId="0" borderId="1" xfId="0" applyNumberFormat="1" applyFont="1" applyBorder="1" applyAlignment="1">
      <alignment horizontal="right" indent="1"/>
    </xf>
    <xf numFmtId="0" fontId="4" fillId="2" borderId="0" xfId="0" applyFont="1" applyFill="1" applyAlignment="1">
      <alignment horizontal="left"/>
    </xf>
    <xf numFmtId="0" fontId="4" fillId="2" borderId="0" xfId="0" applyFont="1" applyFill="1"/>
    <xf numFmtId="166" fontId="15" fillId="2" borderId="0" xfId="0" applyNumberFormat="1" applyFont="1" applyFill="1" applyAlignment="1">
      <alignment horizontal="right" indent="1"/>
    </xf>
    <xf numFmtId="0" fontId="4" fillId="0" borderId="0" xfId="0" applyFont="1" applyAlignment="1">
      <alignment horizontal="right" indent="1"/>
    </xf>
    <xf numFmtId="0" fontId="28" fillId="0" borderId="0" xfId="0" applyFont="1"/>
    <xf numFmtId="0" fontId="0" fillId="0" borderId="0" xfId="0" applyAlignment="1">
      <alignment horizontal="center"/>
    </xf>
    <xf numFmtId="164" fontId="1" fillId="0" borderId="0" xfId="0" applyNumberFormat="1" applyFont="1" applyAlignment="1">
      <alignment horizontal="right" indent="1"/>
    </xf>
    <xf numFmtId="0" fontId="0" fillId="0" borderId="0" xfId="0" applyAlignment="1">
      <alignment horizontal="right"/>
    </xf>
    <xf numFmtId="2" fontId="1" fillId="0" borderId="0" xfId="0" applyNumberFormat="1" applyFont="1" applyAlignment="1">
      <alignment horizontal="right" indent="1"/>
    </xf>
    <xf numFmtId="1" fontId="1" fillId="0" borderId="0" xfId="0" applyNumberFormat="1" applyFont="1" applyAlignment="1">
      <alignment horizontal="right" indent="1"/>
    </xf>
    <xf numFmtId="0" fontId="1" fillId="0" borderId="0" xfId="0" applyFont="1" applyAlignment="1">
      <alignment horizontal="right" indent="1"/>
    </xf>
    <xf numFmtId="0" fontId="30" fillId="0" borderId="0" xfId="0" applyFont="1" applyAlignment="1">
      <alignment horizontal="center"/>
    </xf>
    <xf numFmtId="0" fontId="33" fillId="0" borderId="0" xfId="0" applyFont="1" applyAlignment="1">
      <alignment horizontal="right"/>
    </xf>
    <xf numFmtId="9" fontId="4" fillId="0" borderId="0" xfId="3" applyFont="1" applyAlignment="1">
      <alignment horizontal="right" indent="1"/>
    </xf>
    <xf numFmtId="10" fontId="4" fillId="0" borderId="0" xfId="3" applyNumberFormat="1" applyFont="1" applyAlignment="1">
      <alignment horizontal="right" indent="1"/>
    </xf>
    <xf numFmtId="166" fontId="0" fillId="0" borderId="2" xfId="0" applyNumberFormat="1" applyBorder="1" applyAlignment="1">
      <alignment horizontal="right" indent="2"/>
    </xf>
    <xf numFmtId="166" fontId="0" fillId="0" borderId="0" xfId="0" applyNumberFormat="1"/>
    <xf numFmtId="0" fontId="38" fillId="0" borderId="0" xfId="0" applyFont="1" applyAlignment="1">
      <alignment horizontal="right" indent="1"/>
    </xf>
    <xf numFmtId="165" fontId="39" fillId="0" borderId="3" xfId="4" applyNumberFormat="1" applyFont="1" applyBorder="1" applyAlignment="1">
      <alignment horizontal="right" indent="2"/>
    </xf>
    <xf numFmtId="0" fontId="40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166" fontId="0" fillId="0" borderId="3" xfId="0" applyNumberFormat="1" applyBorder="1" applyAlignment="1">
      <alignment horizontal="right" indent="2"/>
    </xf>
    <xf numFmtId="0" fontId="28" fillId="0" borderId="0" xfId="0" applyFont="1" applyAlignment="1">
      <alignment horizontal="left"/>
    </xf>
    <xf numFmtId="0" fontId="0" fillId="0" borderId="1" xfId="0" applyBorder="1" applyAlignment="1">
      <alignment horizontal="left" indent="1"/>
    </xf>
    <xf numFmtId="0" fontId="0" fillId="0" borderId="1" xfId="0" applyBorder="1" applyAlignment="1">
      <alignment horizontal="center" vertical="center"/>
    </xf>
    <xf numFmtId="166" fontId="0" fillId="0" borderId="4" xfId="0" applyNumberFormat="1" applyBorder="1" applyAlignment="1">
      <alignment horizontal="right" indent="2"/>
    </xf>
    <xf numFmtId="164" fontId="0" fillId="0" borderId="0" xfId="0" applyNumberFormat="1" applyAlignment="1">
      <alignment horizontal="right" indent="2"/>
    </xf>
    <xf numFmtId="166" fontId="39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right" indent="2"/>
    </xf>
    <xf numFmtId="0" fontId="0" fillId="0" borderId="0" xfId="0" applyAlignment="1">
      <alignment horizontal="left" indent="1"/>
    </xf>
    <xf numFmtId="2" fontId="0" fillId="0" borderId="0" xfId="0" applyNumberFormat="1" applyAlignment="1">
      <alignment horizontal="right" indent="2"/>
    </xf>
    <xf numFmtId="2" fontId="0" fillId="0" borderId="0" xfId="0" applyNumberFormat="1" applyAlignment="1">
      <alignment horizontal="center"/>
    </xf>
    <xf numFmtId="166" fontId="1" fillId="0" borderId="0" xfId="0" applyNumberFormat="1" applyFont="1" applyAlignment="1">
      <alignment horizontal="right" indent="2"/>
    </xf>
    <xf numFmtId="164" fontId="1" fillId="0" borderId="0" xfId="0" applyNumberFormat="1" applyFont="1" applyAlignment="1">
      <alignment horizontal="right" indent="2"/>
    </xf>
    <xf numFmtId="167" fontId="40" fillId="0" borderId="0" xfId="0" applyNumberFormat="1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left"/>
    </xf>
    <xf numFmtId="9" fontId="0" fillId="0" borderId="0" xfId="4" applyFont="1" applyAlignment="1">
      <alignment horizontal="right" indent="2"/>
    </xf>
    <xf numFmtId="166" fontId="1" fillId="0" borderId="4" xfId="0" applyNumberFormat="1" applyFont="1" applyBorder="1" applyAlignment="1">
      <alignment horizontal="center"/>
    </xf>
    <xf numFmtId="0" fontId="0" fillId="0" borderId="0" xfId="0" applyAlignment="1">
      <alignment horizontal="left" vertical="center" indent="1"/>
    </xf>
    <xf numFmtId="9" fontId="0" fillId="0" borderId="0" xfId="4" applyFont="1" applyAlignment="1">
      <alignment horizontal="right" vertical="center" indent="2"/>
    </xf>
    <xf numFmtId="164" fontId="45" fillId="0" borderId="1" xfId="0" applyNumberFormat="1" applyFont="1" applyBorder="1" applyAlignment="1">
      <alignment horizontal="right" indent="2"/>
    </xf>
    <xf numFmtId="0" fontId="40" fillId="0" borderId="1" xfId="0" applyFont="1" applyBorder="1" applyAlignment="1">
      <alignment horizontal="center"/>
    </xf>
    <xf numFmtId="166" fontId="39" fillId="0" borderId="1" xfId="0" applyNumberFormat="1" applyFont="1" applyBorder="1" applyAlignment="1">
      <alignment horizontal="center"/>
    </xf>
    <xf numFmtId="166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left" vertical="top" indent="1"/>
    </xf>
    <xf numFmtId="9" fontId="0" fillId="0" borderId="0" xfId="4" applyFont="1" applyAlignment="1">
      <alignment horizontal="right" vertical="top" indent="2"/>
    </xf>
    <xf numFmtId="164" fontId="45" fillId="0" borderId="0" xfId="0" applyNumberFormat="1" applyFont="1" applyAlignment="1">
      <alignment horizontal="right" indent="2"/>
    </xf>
    <xf numFmtId="167" fontId="1" fillId="0" borderId="0" xfId="0" applyNumberFormat="1" applyFont="1" applyAlignment="1">
      <alignment horizontal="center"/>
    </xf>
    <xf numFmtId="0" fontId="46" fillId="0" borderId="0" xfId="0" applyFont="1" applyAlignment="1">
      <alignment horizontal="center"/>
    </xf>
    <xf numFmtId="0" fontId="0" fillId="0" borderId="0" xfId="0" applyAlignment="1">
      <alignment horizontal="right" vertical="center" indent="1"/>
    </xf>
    <xf numFmtId="2" fontId="1" fillId="0" borderId="0" xfId="0" applyNumberFormat="1" applyFont="1" applyAlignment="1">
      <alignment horizontal="right" vertical="center" indent="2"/>
    </xf>
    <xf numFmtId="0" fontId="0" fillId="0" borderId="0" xfId="0" applyAlignment="1">
      <alignment horizontal="right" indent="2"/>
    </xf>
    <xf numFmtId="0" fontId="0" fillId="0" borderId="1" xfId="0" applyBorder="1" applyAlignment="1">
      <alignment horizontal="right" indent="2"/>
    </xf>
    <xf numFmtId="164" fontId="1" fillId="0" borderId="1" xfId="0" applyNumberFormat="1" applyFont="1" applyBorder="1" applyAlignment="1">
      <alignment horizontal="right" indent="2"/>
    </xf>
    <xf numFmtId="2" fontId="1" fillId="0" borderId="0" xfId="0" applyNumberFormat="1" applyFont="1" applyAlignment="1">
      <alignment horizontal="center"/>
    </xf>
    <xf numFmtId="0" fontId="0" fillId="0" borderId="5" xfId="0" applyBorder="1" applyAlignment="1">
      <alignment horizontal="right" indent="1"/>
    </xf>
    <xf numFmtId="165" fontId="0" fillId="0" borderId="6" xfId="4" applyNumberFormat="1" applyFont="1" applyBorder="1" applyAlignment="1">
      <alignment horizontal="right" indent="2"/>
    </xf>
    <xf numFmtId="0" fontId="0" fillId="0" borderId="6" xfId="0" applyBorder="1"/>
    <xf numFmtId="0" fontId="0" fillId="0" borderId="6" xfId="0" applyBorder="1" applyAlignment="1">
      <alignment horizontal="right"/>
    </xf>
    <xf numFmtId="166" fontId="1" fillId="0" borderId="6" xfId="0" applyNumberFormat="1" applyFont="1" applyBorder="1" applyAlignment="1">
      <alignment horizontal="center"/>
    </xf>
    <xf numFmtId="0" fontId="0" fillId="0" borderId="6" xfId="0" applyBorder="1" applyAlignment="1">
      <alignment horizontal="right" vertical="center"/>
    </xf>
    <xf numFmtId="164" fontId="1" fillId="0" borderId="7" xfId="0" applyNumberFormat="1" applyFont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2" fillId="0" borderId="11" xfId="0" applyFont="1" applyBorder="1" applyAlignment="1">
      <alignment horizontal="left" indent="1"/>
    </xf>
    <xf numFmtId="0" fontId="0" fillId="0" borderId="12" xfId="0" applyBorder="1"/>
    <xf numFmtId="0" fontId="0" fillId="0" borderId="11" xfId="0" applyBorder="1"/>
    <xf numFmtId="164" fontId="32" fillId="0" borderId="12" xfId="0" applyNumberFormat="1" applyFont="1" applyBorder="1" applyAlignment="1">
      <alignment horizontal="left" indent="1"/>
    </xf>
    <xf numFmtId="1" fontId="32" fillId="0" borderId="12" xfId="0" applyNumberFormat="1" applyFont="1" applyBorder="1" applyAlignment="1">
      <alignment horizontal="left" indent="1"/>
    </xf>
    <xf numFmtId="9" fontId="0" fillId="0" borderId="0" xfId="3" applyFont="1" applyBorder="1" applyAlignment="1">
      <alignment horizontal="left" indent="1"/>
    </xf>
    <xf numFmtId="0" fontId="0" fillId="0" borderId="13" xfId="0" applyBorder="1"/>
    <xf numFmtId="0" fontId="0" fillId="0" borderId="14" xfId="0" applyBorder="1"/>
    <xf numFmtId="0" fontId="49" fillId="0" borderId="0" xfId="5" applyFont="1" applyAlignment="1">
      <alignment horizontal="right"/>
    </xf>
    <xf numFmtId="164" fontId="15" fillId="0" borderId="0" xfId="0" applyNumberFormat="1" applyFont="1" applyAlignment="1">
      <alignment horizontal="right" indent="1"/>
    </xf>
    <xf numFmtId="0" fontId="5" fillId="0" borderId="0" xfId="0" applyFont="1" applyAlignment="1">
      <alignment horizontal="right" vertical="center"/>
    </xf>
    <xf numFmtId="0" fontId="50" fillId="0" borderId="0" xfId="0" applyFont="1" applyAlignment="1">
      <alignment horizontal="right"/>
    </xf>
    <xf numFmtId="0" fontId="15" fillId="2" borderId="0" xfId="0" applyFont="1" applyFill="1" applyAlignment="1">
      <alignment horizontal="right" vertical="center" indent="1"/>
    </xf>
    <xf numFmtId="10" fontId="4" fillId="0" borderId="0" xfId="1" applyNumberFormat="1" applyFont="1" applyAlignment="1">
      <alignment horizontal="right" indent="1"/>
    </xf>
    <xf numFmtId="0" fontId="52" fillId="0" borderId="0" xfId="0" applyFont="1"/>
    <xf numFmtId="0" fontId="27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1" fontId="22" fillId="0" borderId="0" xfId="0" applyNumberFormat="1" applyFont="1" applyAlignment="1">
      <alignment horizontal="right" indent="1"/>
    </xf>
    <xf numFmtId="166" fontId="15" fillId="0" borderId="0" xfId="0" applyNumberFormat="1" applyFont="1" applyAlignment="1">
      <alignment horizontal="right" indent="1"/>
    </xf>
    <xf numFmtId="166" fontId="26" fillId="0" borderId="0" xfId="0" applyNumberFormat="1" applyFont="1" applyAlignment="1">
      <alignment horizontal="right" indent="1"/>
    </xf>
    <xf numFmtId="0" fontId="15" fillId="0" borderId="0" xfId="0" applyFont="1" applyAlignment="1">
      <alignment horizontal="right" vertical="center" indent="1"/>
    </xf>
    <xf numFmtId="0" fontId="8" fillId="0" borderId="0" xfId="0" applyFont="1" applyAlignment="1">
      <alignment horizontal="center"/>
    </xf>
    <xf numFmtId="166" fontId="17" fillId="0" borderId="0" xfId="0" applyNumberFormat="1" applyFont="1" applyAlignment="1">
      <alignment horizontal="right" indent="1"/>
    </xf>
    <xf numFmtId="0" fontId="0" fillId="4" borderId="0" xfId="0" applyFill="1"/>
    <xf numFmtId="0" fontId="5" fillId="0" borderId="0" xfId="0" applyFont="1"/>
    <xf numFmtId="0" fontId="5" fillId="0" borderId="0" xfId="0" applyFont="1" applyAlignment="1">
      <alignment horizontal="right"/>
    </xf>
    <xf numFmtId="0" fontId="6" fillId="0" borderId="1" xfId="0" applyFont="1" applyBorder="1"/>
    <xf numFmtId="0" fontId="3" fillId="0" borderId="0" xfId="0" applyFont="1" applyAlignment="1">
      <alignment horizontal="left"/>
    </xf>
    <xf numFmtId="2" fontId="15" fillId="0" borderId="0" xfId="0" applyNumberFormat="1" applyFont="1" applyAlignment="1">
      <alignment horizontal="right" indent="1"/>
    </xf>
    <xf numFmtId="2" fontId="54" fillId="0" borderId="3" xfId="0" applyNumberFormat="1" applyFont="1" applyBorder="1" applyAlignment="1">
      <alignment horizontal="left" indent="2"/>
    </xf>
    <xf numFmtId="0" fontId="6" fillId="0" borderId="0" xfId="0" applyFont="1" applyAlignment="1">
      <alignment horizontal="left" indent="2"/>
    </xf>
    <xf numFmtId="166" fontId="6" fillId="0" borderId="3" xfId="0" applyNumberFormat="1" applyFont="1" applyBorder="1" applyAlignment="1">
      <alignment horizontal="left" indent="2"/>
    </xf>
    <xf numFmtId="0" fontId="5" fillId="4" borderId="0" xfId="0" applyFont="1" applyFill="1" applyAlignment="1">
      <alignment horizontal="left" indent="1"/>
    </xf>
    <xf numFmtId="0" fontId="8" fillId="0" borderId="0" xfId="0" applyFont="1" applyAlignment="1">
      <alignment horizontal="right" indent="1"/>
    </xf>
    <xf numFmtId="165" fontId="4" fillId="0" borderId="0" xfId="1" applyNumberFormat="1" applyFont="1" applyFill="1" applyAlignment="1">
      <alignment horizontal="right" indent="1"/>
    </xf>
    <xf numFmtId="9" fontId="4" fillId="0" borderId="0" xfId="1" applyFont="1" applyFill="1" applyAlignment="1">
      <alignment horizontal="right" indent="1"/>
    </xf>
    <xf numFmtId="0" fontId="8" fillId="0" borderId="0" xfId="0" applyFont="1" applyAlignment="1">
      <alignment horizontal="left" vertical="center"/>
    </xf>
    <xf numFmtId="0" fontId="55" fillId="0" borderId="0" xfId="0" applyFont="1"/>
    <xf numFmtId="0" fontId="55" fillId="0" borderId="0" xfId="0" applyFont="1" applyAlignment="1">
      <alignment horizontal="right" indent="1"/>
    </xf>
    <xf numFmtId="2" fontId="56" fillId="0" borderId="0" xfId="0" applyNumberFormat="1" applyFont="1" applyAlignment="1">
      <alignment horizontal="right" indent="1"/>
    </xf>
    <xf numFmtId="0" fontId="55" fillId="0" borderId="0" xfId="0" applyFont="1" applyAlignment="1">
      <alignment horizontal="left"/>
    </xf>
    <xf numFmtId="0" fontId="5" fillId="0" borderId="0" xfId="0" applyFont="1" applyAlignment="1">
      <alignment horizontal="right" indent="1"/>
    </xf>
    <xf numFmtId="0" fontId="57" fillId="0" borderId="0" xfId="0" applyFont="1" applyAlignment="1">
      <alignment horizontal="right"/>
    </xf>
    <xf numFmtId="166" fontId="59" fillId="0" borderId="0" xfId="0" applyNumberFormat="1" applyFont="1" applyAlignment="1">
      <alignment horizontal="right" indent="1"/>
    </xf>
    <xf numFmtId="2" fontId="59" fillId="0" borderId="0" xfId="0" applyNumberFormat="1" applyFont="1" applyAlignment="1">
      <alignment horizontal="right" indent="1"/>
    </xf>
    <xf numFmtId="164" fontId="59" fillId="0" borderId="0" xfId="0" applyNumberFormat="1" applyFont="1" applyAlignment="1">
      <alignment horizontal="right" indent="1"/>
    </xf>
    <xf numFmtId="0" fontId="61" fillId="0" borderId="0" xfId="0" applyFont="1" applyAlignment="1">
      <alignment horizontal="center" vertical="center"/>
    </xf>
    <xf numFmtId="0" fontId="63" fillId="0" borderId="0" xfId="0" applyFont="1" applyAlignment="1">
      <alignment horizontal="center"/>
    </xf>
    <xf numFmtId="1" fontId="0" fillId="0" borderId="0" xfId="0" applyNumberFormat="1" applyAlignment="1">
      <alignment horizontal="right" vertical="center" indent="1"/>
    </xf>
    <xf numFmtId="0" fontId="49" fillId="0" borderId="0" xfId="5" applyFont="1" applyAlignment="1">
      <alignment horizontal="left" vertical="center" indent="1"/>
    </xf>
    <xf numFmtId="0" fontId="33" fillId="0" borderId="0" xfId="0" applyFont="1" applyAlignment="1">
      <alignment vertical="center"/>
    </xf>
    <xf numFmtId="0" fontId="5" fillId="0" borderId="0" xfId="0" applyFont="1" applyFill="1" applyAlignment="1">
      <alignment horizontal="left" indent="3"/>
    </xf>
    <xf numFmtId="0" fontId="0" fillId="0" borderId="0" xfId="0" applyFill="1"/>
    <xf numFmtId="0" fontId="65" fillId="0" borderId="0" xfId="5" applyFont="1" applyFill="1" applyAlignment="1">
      <alignment horizontal="right"/>
    </xf>
    <xf numFmtId="0" fontId="5" fillId="0" borderId="0" xfId="0" applyFont="1" applyFill="1" applyAlignment="1">
      <alignment horizontal="right"/>
    </xf>
    <xf numFmtId="2" fontId="67" fillId="0" borderId="0" xfId="0" applyNumberFormat="1" applyFont="1" applyFill="1" applyAlignment="1">
      <alignment horizontal="right" indent="1"/>
    </xf>
    <xf numFmtId="164" fontId="67" fillId="0" borderId="0" xfId="0" applyNumberFormat="1" applyFont="1" applyFill="1" applyAlignment="1">
      <alignment horizontal="right" indent="1"/>
    </xf>
    <xf numFmtId="1" fontId="67" fillId="0" borderId="0" xfId="0" applyNumberFormat="1" applyFont="1" applyFill="1" applyAlignment="1">
      <alignment horizontal="right" indent="1"/>
    </xf>
  </cellXfs>
  <cellStyles count="6">
    <cellStyle name="Hipervínculo" xfId="5" builtinId="8"/>
    <cellStyle name="Normal" xfId="0" builtinId="0"/>
    <cellStyle name="Normal 2" xfId="2" xr:uid="{00000000-0005-0000-0000-000001000000}"/>
    <cellStyle name="Porcentaje" xfId="3" builtinId="5"/>
    <cellStyle name="Porcentaje 2" xfId="1" xr:uid="{00000000-0005-0000-0000-000002000000}"/>
    <cellStyle name="Porcentaje 3" xfId="4" xr:uid="{53504180-5680-4FB3-8309-F7EFF4D57F68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7935438187295985E-2"/>
          <c:y val="9.2514089111888423E-2"/>
          <c:w val="0.91349772466264501"/>
          <c:h val="0.82422171790268572"/>
        </c:manualLayout>
      </c:layout>
      <c:bubbleChart>
        <c:varyColors val="0"/>
        <c:ser>
          <c:idx val="0"/>
          <c:order val="0"/>
          <c:tx>
            <c:strRef>
              <c:f>'Volúmenes (1)'!$B$9</c:f>
              <c:strCache>
                <c:ptCount val="1"/>
                <c:pt idx="0">
                  <c:v>m3/GJ: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Pt>
            <c:idx val="1"/>
            <c:invertIfNegative val="0"/>
            <c:bubble3D val="1"/>
            <c:spPr>
              <a:solidFill>
                <a:srgbClr val="FFC00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5673-46EE-B189-EB3F178D0AE5}"/>
              </c:ext>
            </c:extLst>
          </c:dPt>
          <c:dPt>
            <c:idx val="2"/>
            <c:invertIfNegative val="0"/>
            <c:bubble3D val="1"/>
            <c:spPr>
              <a:solidFill>
                <a:srgbClr val="FF000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5673-46EE-B189-EB3F178D0AE5}"/>
              </c:ext>
            </c:extLst>
          </c:dPt>
          <c:dPt>
            <c:idx val="3"/>
            <c:invertIfNegative val="0"/>
            <c:bubble3D val="1"/>
            <c:spPr>
              <a:solidFill>
                <a:srgbClr val="C0000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5673-46EE-B189-EB3F178D0AE5}"/>
              </c:ext>
            </c:extLst>
          </c:dPt>
          <c:dLbls>
            <c:dLbl>
              <c:idx val="0"/>
              <c:layout>
                <c:manualLayout>
                  <c:x val="-8.3333333333333332E-3"/>
                  <c:y val="-0.10185185185185185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673-46EE-B189-EB3F178D0AE5}"/>
                </c:ext>
              </c:extLst>
            </c:dLbl>
            <c:dLbl>
              <c:idx val="1"/>
              <c:layout>
                <c:manualLayout>
                  <c:x val="-8.6585308395056501E-2"/>
                  <c:y val="-0.1257848542887913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673-46EE-B189-EB3F178D0AE5}"/>
                </c:ext>
              </c:extLst>
            </c:dLbl>
            <c:dLbl>
              <c:idx val="2"/>
              <c:layout>
                <c:manualLayout>
                  <c:x val="-0.11666666666666677"/>
                  <c:y val="-0.10185185185185194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673-46EE-B189-EB3F178D0AE5}"/>
                </c:ext>
              </c:extLst>
            </c:dLbl>
            <c:dLbl>
              <c:idx val="3"/>
              <c:layout>
                <c:manualLayout>
                  <c:x val="-0.12357721467644586"/>
                  <c:y val="-9.6219930103906393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673-46EE-B189-EB3F178D0AE5}"/>
                </c:ext>
              </c:extLst>
            </c:dLbl>
            <c:dLbl>
              <c:idx val="4"/>
              <c:layout>
                <c:manualLayout>
                  <c:x val="-8.6720852404523416E-2"/>
                  <c:y val="-9.1284742909259933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673-46EE-B189-EB3F178D0AE5}"/>
                </c:ext>
              </c:extLst>
            </c:dLbl>
            <c:dLbl>
              <c:idx val="5"/>
              <c:layout>
                <c:manualLayout>
                  <c:x val="-8.0928533776807671E-2"/>
                  <c:y val="-9.6061830120013389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673-46EE-B189-EB3F178D0AE5}"/>
                </c:ext>
              </c:extLst>
            </c:dLbl>
            <c:numFmt formatCode="#,##0.00" sourceLinked="0"/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r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'Volúmenes (1)'!$C$3:$H$3</c:f>
              <c:strCache>
                <c:ptCount val="6"/>
                <c:pt idx="0">
                  <c:v>PHS</c:v>
                </c:pt>
                <c:pt idx="1">
                  <c:v>CAES</c:v>
                </c:pt>
                <c:pt idx="2">
                  <c:v>Na-S</c:v>
                </c:pt>
                <c:pt idx="3">
                  <c:v>H2</c:v>
                </c:pt>
                <c:pt idx="4">
                  <c:v>CH4</c:v>
                </c:pt>
                <c:pt idx="5">
                  <c:v>CH3OH</c:v>
                </c:pt>
              </c:strCache>
            </c:strRef>
          </c:xVal>
          <c:yVal>
            <c:numRef>
              <c:f>'Volúmenes (1)'!$C$10:$H$10</c:f>
              <c:numCache>
                <c:formatCode>0.00</c:formatCode>
                <c:ptCount val="6"/>
                <c:pt idx="0">
                  <c:v>6.2454217542159647</c:v>
                </c:pt>
                <c:pt idx="1">
                  <c:v>1.8870630305572187</c:v>
                </c:pt>
                <c:pt idx="2">
                  <c:v>0.76179691622347201</c:v>
                </c:pt>
                <c:pt idx="3">
                  <c:v>0.66849353503119813</c:v>
                </c:pt>
                <c:pt idx="4">
                  <c:v>0.44751159926679318</c:v>
                </c:pt>
                <c:pt idx="5">
                  <c:v>0.24722066364100112</c:v>
                </c:pt>
              </c:numCache>
            </c:numRef>
          </c:yVal>
          <c:bubbleSize>
            <c:numRef>
              <c:f>'Volúmenes (1)'!$C$9:$H$9</c:f>
              <c:numCache>
                <c:formatCode>0.0</c:formatCode>
                <c:ptCount val="6"/>
                <c:pt idx="0" formatCode="0">
                  <c:v>1020.4081632653061</c:v>
                </c:pt>
                <c:pt idx="1">
                  <c:v>28.148018556454325</c:v>
                </c:pt>
                <c:pt idx="2" formatCode="0.00">
                  <c:v>1.8518518518518519</c:v>
                </c:pt>
                <c:pt idx="3" formatCode="0.00">
                  <c:v>1.2513541666666665</c:v>
                </c:pt>
                <c:pt idx="4" formatCode="0.00">
                  <c:v>0.37540625</c:v>
                </c:pt>
                <c:pt idx="5" formatCode="0.00">
                  <c:v>6.3291139240506333E-2</c:v>
                </c:pt>
              </c:numCache>
            </c:numRef>
          </c:bubbleSize>
          <c:bubble3D val="1"/>
          <c:extLst>
            <c:ext xmlns:c16="http://schemas.microsoft.com/office/drawing/2014/chart" uri="{C3380CC4-5D6E-409C-BE32-E72D297353CC}">
              <c16:uniqueId val="{00000008-5673-46EE-B189-EB3F178D0AE5}"/>
            </c:ext>
          </c:extLst>
        </c:ser>
        <c:dLbls>
          <c:dLblPos val="r"/>
          <c:showLegendKey val="0"/>
          <c:showVal val="1"/>
          <c:showCatName val="1"/>
          <c:showSerName val="0"/>
          <c:showPercent val="0"/>
          <c:showBubbleSize val="0"/>
        </c:dLbls>
        <c:bubbleScale val="300"/>
        <c:showNegBubbles val="0"/>
        <c:axId val="528669120"/>
        <c:axId val="528654432"/>
      </c:bubbleChart>
      <c:valAx>
        <c:axId val="528669120"/>
        <c:scaling>
          <c:orientation val="minMax"/>
          <c:max val="6.5"/>
          <c:min val="0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100" b="1"/>
                  <a:t>Capacidad de almacenamiento</a:t>
                </a:r>
                <a:r>
                  <a:rPr lang="es-ES" sz="1100" b="1" baseline="0"/>
                  <a:t> energético</a:t>
                </a:r>
                <a:r>
                  <a:rPr lang="es-ES" sz="1100" b="1"/>
                  <a:t> (</a:t>
                </a:r>
                <a:r>
                  <a:rPr lang="es-ES" sz="1100" b="0"/>
                  <a:t>los volúmes son proporcionales a m</a:t>
                </a:r>
                <a:r>
                  <a:rPr lang="es-ES" sz="1100" b="0" baseline="30000"/>
                  <a:t>3</a:t>
                </a:r>
                <a:r>
                  <a:rPr lang="es-ES" sz="1100" b="0"/>
                  <a:t>/GJ</a:t>
                </a:r>
                <a:r>
                  <a:rPr lang="es-ES" sz="1100" b="1"/>
                  <a:t>)</a:t>
                </a:r>
              </a:p>
            </c:rich>
          </c:tx>
          <c:layout>
            <c:manualLayout>
              <c:xMode val="edge"/>
              <c:yMode val="edge"/>
              <c:x val="0.16117547701666815"/>
              <c:y val="1.459706848402538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28654432"/>
        <c:crosses val="autoZero"/>
        <c:crossBetween val="midCat"/>
        <c:majorUnit val="1"/>
      </c:valAx>
      <c:valAx>
        <c:axId val="5286544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000" b="1"/>
                  <a:t>Radio (</a:t>
                </a:r>
                <a:r>
                  <a:rPr lang="es-ES" sz="1000" b="0"/>
                  <a:t>m/G</a:t>
                </a:r>
                <a:r>
                  <a:rPr lang="es-ES" sz="1000" b="1"/>
                  <a:t>J)</a:t>
                </a:r>
              </a:p>
            </c:rich>
          </c:tx>
          <c:layout>
            <c:manualLayout>
              <c:xMode val="edge"/>
              <c:yMode val="edge"/>
              <c:x val="8.0005011796093397E-3"/>
              <c:y val="0.2464321102642704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28669120"/>
        <c:crosses val="autoZero"/>
        <c:crossBetween val="midCat"/>
      </c:valAx>
      <c:spPr>
        <a:solidFill>
          <a:schemeClr val="bg2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050" b="1"/>
              <a:t>LCOE</a:t>
            </a:r>
            <a:r>
              <a:rPr lang="es-ES" sz="1050" b="1" baseline="0"/>
              <a:t> </a:t>
            </a:r>
            <a:r>
              <a:rPr lang="es-ES" sz="1050" b="0" baseline="0"/>
              <a:t>(</a:t>
            </a:r>
            <a:r>
              <a:rPr lang="es-ES" sz="1050" b="0" baseline="0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€</a:t>
            </a:r>
            <a:r>
              <a:rPr lang="es-ES" sz="1050" b="0" baseline="0"/>
              <a:t>/kWh) vs </a:t>
            </a:r>
            <a:r>
              <a:rPr lang="es-ES" sz="1050" b="1" baseline="0"/>
              <a:t>h</a:t>
            </a:r>
            <a:r>
              <a:rPr lang="es-ES" sz="1050" b="0" baseline="0"/>
              <a:t> (días) para C</a:t>
            </a:r>
            <a:r>
              <a:rPr lang="es-ES" sz="1050" b="0" baseline="-25000"/>
              <a:t>w</a:t>
            </a:r>
            <a:r>
              <a:rPr lang="es-ES" sz="1050" b="1" baseline="-25000"/>
              <a:t> </a:t>
            </a:r>
            <a:r>
              <a:rPr lang="es-ES" sz="1050" b="0" baseline="0"/>
              <a:t>= 0,00 </a:t>
            </a:r>
            <a:r>
              <a:rPr lang="es-ES" sz="1050" b="0" baseline="0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€/k</a:t>
            </a:r>
            <a:r>
              <a:rPr lang="es-ES" sz="1050" b="0" baseline="0"/>
              <a:t>Wh</a:t>
            </a:r>
            <a:endParaRPr lang="es-ES" sz="1050" b="0"/>
          </a:p>
        </c:rich>
      </c:tx>
      <c:layout>
        <c:manualLayout>
          <c:xMode val="edge"/>
          <c:yMode val="edge"/>
          <c:x val="0.15048600174978127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7.9247594050743664E-2"/>
          <c:y val="0.12416666666666666"/>
          <c:w val="0.70679352580927379"/>
          <c:h val="0.7684339457567803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'Economía (2)'!$E$25</c:f>
              <c:strCache>
                <c:ptCount val="1"/>
                <c:pt idx="0">
                  <c:v>PHS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'Economía (2)'!$D$26:$D$29</c:f>
              <c:numCache>
                <c:formatCode>General</c:formatCode>
                <c:ptCount val="4"/>
                <c:pt idx="0">
                  <c:v>0.1</c:v>
                </c:pt>
                <c:pt idx="1">
                  <c:v>1</c:v>
                </c:pt>
                <c:pt idx="2">
                  <c:v>7</c:v>
                </c:pt>
                <c:pt idx="3">
                  <c:v>30</c:v>
                </c:pt>
              </c:numCache>
            </c:numRef>
          </c:xVal>
          <c:yVal>
            <c:numRef>
              <c:f>'Economía (2)'!$E$26:$E$29</c:f>
              <c:numCache>
                <c:formatCode>0.000</c:formatCode>
                <c:ptCount val="4"/>
                <c:pt idx="0">
                  <c:v>6.075777872721717E-3</c:v>
                </c:pt>
                <c:pt idx="1">
                  <c:v>1.1704232571111528E-2</c:v>
                </c:pt>
                <c:pt idx="2">
                  <c:v>4.9227263893710266E-2</c:v>
                </c:pt>
                <c:pt idx="3">
                  <c:v>0.19306555063033878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161-472D-99AC-D269A570E7D7}"/>
            </c:ext>
          </c:extLst>
        </c:ser>
        <c:ser>
          <c:idx val="1"/>
          <c:order val="1"/>
          <c:tx>
            <c:strRef>
              <c:f>'Economía (2)'!$F$25</c:f>
              <c:strCache>
                <c:ptCount val="1"/>
                <c:pt idx="0">
                  <c:v>HESS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'Economía (2)'!$D$26:$D$29</c:f>
              <c:numCache>
                <c:formatCode>General</c:formatCode>
                <c:ptCount val="4"/>
                <c:pt idx="0">
                  <c:v>0.1</c:v>
                </c:pt>
                <c:pt idx="1">
                  <c:v>1</c:v>
                </c:pt>
                <c:pt idx="2">
                  <c:v>7</c:v>
                </c:pt>
                <c:pt idx="3">
                  <c:v>30</c:v>
                </c:pt>
              </c:numCache>
            </c:numRef>
          </c:xVal>
          <c:yVal>
            <c:numRef>
              <c:f>'Economía (2)'!$F$26:$F$29</c:f>
              <c:numCache>
                <c:formatCode>0.000</c:formatCode>
                <c:ptCount val="4"/>
                <c:pt idx="0">
                  <c:v>2.9831771208844036E-2</c:v>
                </c:pt>
                <c:pt idx="1">
                  <c:v>3.6061043018505171E-2</c:v>
                </c:pt>
                <c:pt idx="2">
                  <c:v>7.7589521749579407E-2</c:v>
                </c:pt>
                <c:pt idx="3">
                  <c:v>0.23678202355203079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161-472D-99AC-D269A570E7D7}"/>
            </c:ext>
          </c:extLst>
        </c:ser>
        <c:ser>
          <c:idx val="2"/>
          <c:order val="2"/>
          <c:tx>
            <c:strRef>
              <c:f>'Economía (2)'!$G$25</c:f>
              <c:strCache>
                <c:ptCount val="1"/>
                <c:pt idx="0">
                  <c:v>CAES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'Economía (2)'!$D$26:$D$29</c:f>
              <c:numCache>
                <c:formatCode>General</c:formatCode>
                <c:ptCount val="4"/>
                <c:pt idx="0">
                  <c:v>0.1</c:v>
                </c:pt>
                <c:pt idx="1">
                  <c:v>1</c:v>
                </c:pt>
                <c:pt idx="2">
                  <c:v>7</c:v>
                </c:pt>
                <c:pt idx="3">
                  <c:v>30</c:v>
                </c:pt>
              </c:numCache>
            </c:numRef>
          </c:xVal>
          <c:yVal>
            <c:numRef>
              <c:f>'Economía (2)'!$G$26:$G$29</c:f>
              <c:numCache>
                <c:formatCode>0.000</c:formatCode>
                <c:ptCount val="4"/>
                <c:pt idx="0">
                  <c:v>1.1293822950750819E-2</c:v>
                </c:pt>
                <c:pt idx="1">
                  <c:v>1.6997122985794741E-2</c:v>
                </c:pt>
                <c:pt idx="2">
                  <c:v>5.5019123219420894E-2</c:v>
                </c:pt>
                <c:pt idx="3">
                  <c:v>0.20077012411498785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161-472D-99AC-D269A570E7D7}"/>
            </c:ext>
          </c:extLst>
        </c:ser>
        <c:ser>
          <c:idx val="3"/>
          <c:order val="3"/>
          <c:tx>
            <c:strRef>
              <c:f>'Economía (2)'!$H$25</c:f>
              <c:strCache>
                <c:ptCount val="1"/>
                <c:pt idx="0">
                  <c:v>Pb-Ac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'Economía (2)'!$D$26:$D$29</c:f>
              <c:numCache>
                <c:formatCode>General</c:formatCode>
                <c:ptCount val="4"/>
                <c:pt idx="0">
                  <c:v>0.1</c:v>
                </c:pt>
                <c:pt idx="1">
                  <c:v>1</c:v>
                </c:pt>
                <c:pt idx="2">
                  <c:v>7</c:v>
                </c:pt>
                <c:pt idx="3">
                  <c:v>30</c:v>
                </c:pt>
              </c:numCache>
            </c:numRef>
          </c:xVal>
          <c:yVal>
            <c:numRef>
              <c:f>'Economía (2)'!$H$26:$H$29</c:f>
              <c:numCache>
                <c:formatCode>0.000</c:formatCode>
                <c:ptCount val="4"/>
                <c:pt idx="0">
                  <c:v>2.7324891175306693E-2</c:v>
                </c:pt>
                <c:pt idx="1">
                  <c:v>0.12455480807281363</c:v>
                </c:pt>
                <c:pt idx="2">
                  <c:v>0.77275425405619325</c:v>
                </c:pt>
                <c:pt idx="3">
                  <c:v>3.257518796992481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161-472D-99AC-D269A570E7D7}"/>
            </c:ext>
          </c:extLst>
        </c:ser>
        <c:ser>
          <c:idx val="4"/>
          <c:order val="4"/>
          <c:tx>
            <c:strRef>
              <c:f>'Economía (2)'!$I$25</c:f>
              <c:strCache>
                <c:ptCount val="1"/>
                <c:pt idx="0">
                  <c:v>Li-ion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'Economía (2)'!$D$26:$D$29</c:f>
              <c:numCache>
                <c:formatCode>General</c:formatCode>
                <c:ptCount val="4"/>
                <c:pt idx="0">
                  <c:v>0.1</c:v>
                </c:pt>
                <c:pt idx="1">
                  <c:v>1</c:v>
                </c:pt>
                <c:pt idx="2">
                  <c:v>7</c:v>
                </c:pt>
                <c:pt idx="3">
                  <c:v>30</c:v>
                </c:pt>
              </c:numCache>
            </c:numRef>
          </c:xVal>
          <c:yVal>
            <c:numRef>
              <c:f>'Economía (2)'!$I$26:$I$29</c:f>
              <c:numCache>
                <c:formatCode>0.000</c:formatCode>
                <c:ptCount val="4"/>
                <c:pt idx="0">
                  <c:v>7.3222445363853361E-2</c:v>
                </c:pt>
                <c:pt idx="1">
                  <c:v>0.38795231377036316</c:v>
                </c:pt>
                <c:pt idx="2">
                  <c:v>2.4861514364804287</c:v>
                </c:pt>
                <c:pt idx="3">
                  <c:v>10.52924807353568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161-472D-99AC-D269A570E7D7}"/>
            </c:ext>
          </c:extLst>
        </c:ser>
        <c:ser>
          <c:idx val="5"/>
          <c:order val="5"/>
          <c:tx>
            <c:strRef>
              <c:f>'Economía (2)'!$J$25</c:f>
              <c:strCache>
                <c:ptCount val="1"/>
                <c:pt idx="0">
                  <c:v>Na-S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'Economía (2)'!$D$26:$D$29</c:f>
              <c:numCache>
                <c:formatCode>General</c:formatCode>
                <c:ptCount val="4"/>
                <c:pt idx="0">
                  <c:v>0.1</c:v>
                </c:pt>
                <c:pt idx="1">
                  <c:v>1</c:v>
                </c:pt>
                <c:pt idx="2">
                  <c:v>7</c:v>
                </c:pt>
                <c:pt idx="3">
                  <c:v>30</c:v>
                </c:pt>
              </c:numCache>
            </c:numRef>
          </c:xVal>
          <c:yVal>
            <c:numRef>
              <c:f>'Economía (2)'!$J$26:$J$29</c:f>
              <c:numCache>
                <c:formatCode>0.000</c:formatCode>
                <c:ptCount val="4"/>
                <c:pt idx="0">
                  <c:v>2.8099352234935662E-2</c:v>
                </c:pt>
                <c:pt idx="1">
                  <c:v>0.15790101615939214</c:v>
                </c:pt>
                <c:pt idx="2">
                  <c:v>1.0232454423224351</c:v>
                </c:pt>
                <c:pt idx="3">
                  <c:v>4.3403990759474338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161-472D-99AC-D269A570E7D7}"/>
            </c:ext>
          </c:extLst>
        </c:ser>
        <c:ser>
          <c:idx val="6"/>
          <c:order val="6"/>
          <c:tx>
            <c:strRef>
              <c:f>'Economía (2)'!$K$25</c:f>
              <c:strCache>
                <c:ptCount val="1"/>
                <c:pt idx="0">
                  <c:v>VRB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'Economía (2)'!$D$26:$D$29</c:f>
              <c:numCache>
                <c:formatCode>General</c:formatCode>
                <c:ptCount val="4"/>
                <c:pt idx="0">
                  <c:v>0.1</c:v>
                </c:pt>
                <c:pt idx="1">
                  <c:v>1</c:v>
                </c:pt>
                <c:pt idx="2">
                  <c:v>7</c:v>
                </c:pt>
                <c:pt idx="3">
                  <c:v>30</c:v>
                </c:pt>
              </c:numCache>
            </c:numRef>
          </c:xVal>
          <c:yVal>
            <c:numRef>
              <c:f>'Economía (2)'!$K$26:$K$29</c:f>
              <c:numCache>
                <c:formatCode>0.000</c:formatCode>
                <c:ptCount val="4"/>
                <c:pt idx="0">
                  <c:v>2.8661472912383266E-2</c:v>
                </c:pt>
                <c:pt idx="1">
                  <c:v>0.13943918488308985</c:v>
                </c:pt>
                <c:pt idx="2">
                  <c:v>0.87795726468780055</c:v>
                </c:pt>
                <c:pt idx="3">
                  <c:v>3.7089432372725244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161-472D-99AC-D269A570E7D7}"/>
            </c:ext>
          </c:extLst>
        </c:ser>
        <c:ser>
          <c:idx val="7"/>
          <c:order val="7"/>
          <c:tx>
            <c:strRef>
              <c:f>'Economía (2)'!$L$25</c:f>
              <c:strCache>
                <c:ptCount val="1"/>
                <c:pt idx="0">
                  <c:v>SCESS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'Economía (2)'!$D$26:$D$29</c:f>
              <c:numCache>
                <c:formatCode>General</c:formatCode>
                <c:ptCount val="4"/>
                <c:pt idx="0">
                  <c:v>0.1</c:v>
                </c:pt>
                <c:pt idx="1">
                  <c:v>1</c:v>
                </c:pt>
                <c:pt idx="2">
                  <c:v>7</c:v>
                </c:pt>
                <c:pt idx="3">
                  <c:v>30</c:v>
                </c:pt>
              </c:numCache>
            </c:numRef>
          </c:xVal>
          <c:yVal>
            <c:numRef>
              <c:f>'Economía (2)'!$L$26:$L$29</c:f>
              <c:numCache>
                <c:formatCode>0.000</c:formatCode>
                <c:ptCount val="4"/>
                <c:pt idx="0">
                  <c:v>0.53988408851422565</c:v>
                </c:pt>
                <c:pt idx="1">
                  <c:v>5.3395679662802937</c:v>
                </c:pt>
                <c:pt idx="2">
                  <c:v>37.337460484720758</c:v>
                </c:pt>
                <c:pt idx="3">
                  <c:v>159.99604847207587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161-472D-99AC-D269A570E7D7}"/>
            </c:ext>
          </c:extLst>
        </c:ser>
        <c:ser>
          <c:idx val="8"/>
          <c:order val="8"/>
          <c:tx>
            <c:strRef>
              <c:f>'Economía (2)'!$M$25</c:f>
              <c:strCache>
                <c:ptCount val="1"/>
                <c:pt idx="0">
                  <c:v>SMES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'Economía (2)'!$D$26:$D$29</c:f>
              <c:numCache>
                <c:formatCode>General</c:formatCode>
                <c:ptCount val="4"/>
                <c:pt idx="0">
                  <c:v>0.1</c:v>
                </c:pt>
                <c:pt idx="1">
                  <c:v>1</c:v>
                </c:pt>
                <c:pt idx="2">
                  <c:v>7</c:v>
                </c:pt>
                <c:pt idx="3">
                  <c:v>30</c:v>
                </c:pt>
              </c:numCache>
            </c:numRef>
          </c:xVal>
          <c:yVal>
            <c:numRef>
              <c:f>'Economía (2)'!$M$26:$M$29</c:f>
              <c:numCache>
                <c:formatCode>0.000</c:formatCode>
                <c:ptCount val="4"/>
                <c:pt idx="0">
                  <c:v>0.14865262211152624</c:v>
                </c:pt>
                <c:pt idx="1">
                  <c:v>1.442239172547392</c:v>
                </c:pt>
                <c:pt idx="2">
                  <c:v>10.066149508786493</c:v>
                </c:pt>
                <c:pt idx="3">
                  <c:v>43.124472464369724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5161-472D-99AC-D269A570E7D7}"/>
            </c:ext>
          </c:extLst>
        </c:ser>
        <c:ser>
          <c:idx val="9"/>
          <c:order val="9"/>
          <c:tx>
            <c:strRef>
              <c:f>'Economía (2)'!$N$25</c:f>
              <c:strCache>
                <c:ptCount val="1"/>
                <c:pt idx="0">
                  <c:v>Flywheel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'Economía (2)'!$D$26:$D$29</c:f>
              <c:numCache>
                <c:formatCode>General</c:formatCode>
                <c:ptCount val="4"/>
                <c:pt idx="0">
                  <c:v>0.1</c:v>
                </c:pt>
                <c:pt idx="1">
                  <c:v>1</c:v>
                </c:pt>
                <c:pt idx="2">
                  <c:v>7</c:v>
                </c:pt>
                <c:pt idx="3">
                  <c:v>30</c:v>
                </c:pt>
              </c:numCache>
            </c:numRef>
          </c:xVal>
          <c:yVal>
            <c:numRef>
              <c:f>'Economía (2)'!$N$26:$N$29</c:f>
              <c:numCache>
                <c:formatCode>0.000</c:formatCode>
                <c:ptCount val="4"/>
                <c:pt idx="0">
                  <c:v>6.8975716064757164E-2</c:v>
                </c:pt>
                <c:pt idx="1">
                  <c:v>0.58846513075965123</c:v>
                </c:pt>
                <c:pt idx="2">
                  <c:v>4.0517278953922782</c:v>
                </c:pt>
                <c:pt idx="3">
                  <c:v>17.327568493150682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5161-472D-99AC-D269A570E7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9992447"/>
        <c:axId val="1389991007"/>
      </c:scatterChart>
      <c:valAx>
        <c:axId val="1389992447"/>
        <c:scaling>
          <c:orientation val="minMax"/>
        </c:scaling>
        <c:delete val="0"/>
        <c:axPos val="b"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89991007"/>
        <c:crosses val="autoZero"/>
        <c:crossBetween val="midCat"/>
      </c:valAx>
      <c:valAx>
        <c:axId val="1389991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899924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050" b="1"/>
              <a:t>LCOE</a:t>
            </a:r>
            <a:r>
              <a:rPr lang="es-ES" sz="1050" b="1" baseline="0"/>
              <a:t> </a:t>
            </a:r>
            <a:r>
              <a:rPr lang="es-ES" sz="1050" b="0" baseline="0"/>
              <a:t>(</a:t>
            </a:r>
            <a:r>
              <a:rPr lang="es-ES" sz="1050" b="0" baseline="0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€</a:t>
            </a:r>
            <a:r>
              <a:rPr lang="es-ES" sz="1050" b="0" baseline="0"/>
              <a:t>/kWh) vs </a:t>
            </a:r>
            <a:r>
              <a:rPr lang="es-ES" sz="1050" b="1" baseline="0"/>
              <a:t>h</a:t>
            </a:r>
            <a:r>
              <a:rPr lang="es-ES" sz="1050" b="0" baseline="0"/>
              <a:t> (días) para C</a:t>
            </a:r>
            <a:r>
              <a:rPr lang="es-ES" sz="1050" b="0" baseline="-25000"/>
              <a:t>w</a:t>
            </a:r>
            <a:r>
              <a:rPr lang="es-ES" sz="1050" b="1" baseline="-25000"/>
              <a:t> </a:t>
            </a:r>
            <a:r>
              <a:rPr lang="es-ES" sz="1050" b="0" baseline="0"/>
              <a:t>= 0,05 </a:t>
            </a:r>
            <a:r>
              <a:rPr lang="es-ES" sz="1050" b="0" baseline="0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€/k</a:t>
            </a:r>
            <a:r>
              <a:rPr lang="es-ES" sz="1050" b="0" baseline="0"/>
              <a:t>Wh</a:t>
            </a:r>
            <a:endParaRPr lang="es-ES" sz="1050" b="0"/>
          </a:p>
        </c:rich>
      </c:tx>
      <c:layout>
        <c:manualLayout>
          <c:xMode val="edge"/>
          <c:yMode val="edge"/>
          <c:x val="0.15048600174978127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7.9247594050743664E-2"/>
          <c:y val="0.12416666666666666"/>
          <c:w val="0.70679352580927379"/>
          <c:h val="0.7684339457567803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'Economía (2)'!$E$31</c:f>
              <c:strCache>
                <c:ptCount val="1"/>
                <c:pt idx="0">
                  <c:v>PHS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'Economía (2)'!$D$32:$D$35</c:f>
              <c:numCache>
                <c:formatCode>General</c:formatCode>
                <c:ptCount val="4"/>
                <c:pt idx="0">
                  <c:v>0.1</c:v>
                </c:pt>
                <c:pt idx="1">
                  <c:v>1</c:v>
                </c:pt>
                <c:pt idx="2">
                  <c:v>7</c:v>
                </c:pt>
                <c:pt idx="3">
                  <c:v>30</c:v>
                </c:pt>
              </c:numCache>
            </c:numRef>
          </c:xVal>
          <c:yVal>
            <c:numRef>
              <c:f>'Economía (2)'!$E$32:$E$35</c:f>
              <c:numCache>
                <c:formatCode>0.000</c:formatCode>
                <c:ptCount val="4"/>
                <c:pt idx="0">
                  <c:v>7.5520222317166152E-2</c:v>
                </c:pt>
                <c:pt idx="1">
                  <c:v>8.1148677015555976E-2</c:v>
                </c:pt>
                <c:pt idx="2">
                  <c:v>0.11867170833815471</c:v>
                </c:pt>
                <c:pt idx="3">
                  <c:v>0.26250999507478323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837-4423-95CA-55B157A85EC2}"/>
            </c:ext>
          </c:extLst>
        </c:ser>
        <c:ser>
          <c:idx val="1"/>
          <c:order val="1"/>
          <c:tx>
            <c:strRef>
              <c:f>'Economía (2)'!$F$31</c:f>
              <c:strCache>
                <c:ptCount val="1"/>
                <c:pt idx="0">
                  <c:v>HESS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'Economía (2)'!$D$32:$D$35</c:f>
              <c:numCache>
                <c:formatCode>General</c:formatCode>
                <c:ptCount val="4"/>
                <c:pt idx="0">
                  <c:v>0.1</c:v>
                </c:pt>
                <c:pt idx="1">
                  <c:v>1</c:v>
                </c:pt>
                <c:pt idx="2">
                  <c:v>7</c:v>
                </c:pt>
                <c:pt idx="3">
                  <c:v>30</c:v>
                </c:pt>
              </c:numCache>
            </c:numRef>
          </c:xVal>
          <c:yVal>
            <c:numRef>
              <c:f>'Economía (2)'!$F$32:$F$35</c:f>
              <c:numCache>
                <c:formatCode>0.000</c:formatCode>
                <c:ptCount val="4"/>
                <c:pt idx="0">
                  <c:v>0.16141071857726508</c:v>
                </c:pt>
                <c:pt idx="1">
                  <c:v>0.16763999038692623</c:v>
                </c:pt>
                <c:pt idx="2">
                  <c:v>0.20916846911800044</c:v>
                </c:pt>
                <c:pt idx="3">
                  <c:v>0.36836097092045184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837-4423-95CA-55B157A85EC2}"/>
            </c:ext>
          </c:extLst>
        </c:ser>
        <c:ser>
          <c:idx val="2"/>
          <c:order val="2"/>
          <c:tx>
            <c:strRef>
              <c:f>'Economía (2)'!$G$31</c:f>
              <c:strCache>
                <c:ptCount val="1"/>
                <c:pt idx="0">
                  <c:v>CAES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'Economía (2)'!$D$32:$D$35</c:f>
              <c:numCache>
                <c:formatCode>General</c:formatCode>
                <c:ptCount val="4"/>
                <c:pt idx="0">
                  <c:v>0.1</c:v>
                </c:pt>
                <c:pt idx="1">
                  <c:v>1</c:v>
                </c:pt>
                <c:pt idx="2">
                  <c:v>7</c:v>
                </c:pt>
                <c:pt idx="3">
                  <c:v>30</c:v>
                </c:pt>
              </c:numCache>
            </c:numRef>
          </c:xVal>
          <c:yVal>
            <c:numRef>
              <c:f>'Economía (2)'!$G$32:$G$35</c:f>
              <c:numCache>
                <c:formatCode>0.000</c:formatCode>
                <c:ptCount val="4"/>
                <c:pt idx="0">
                  <c:v>8.1716358162018429E-2</c:v>
                </c:pt>
                <c:pt idx="1">
                  <c:v>8.741965819706235E-2</c:v>
                </c:pt>
                <c:pt idx="2">
                  <c:v>0.1254416584306885</c:v>
                </c:pt>
                <c:pt idx="3">
                  <c:v>0.27119265932625547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837-4423-95CA-55B157A85EC2}"/>
            </c:ext>
          </c:extLst>
        </c:ser>
        <c:ser>
          <c:idx val="3"/>
          <c:order val="3"/>
          <c:tx>
            <c:strRef>
              <c:f>'Economía (2)'!$H$31</c:f>
              <c:strCache>
                <c:ptCount val="1"/>
                <c:pt idx="0">
                  <c:v>Pb-Ac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'Economía (2)'!$D$32:$D$35</c:f>
              <c:numCache>
                <c:formatCode>General</c:formatCode>
                <c:ptCount val="4"/>
                <c:pt idx="0">
                  <c:v>0.1</c:v>
                </c:pt>
                <c:pt idx="1">
                  <c:v>1</c:v>
                </c:pt>
                <c:pt idx="2">
                  <c:v>7</c:v>
                </c:pt>
                <c:pt idx="3">
                  <c:v>30</c:v>
                </c:pt>
              </c:numCache>
            </c:numRef>
          </c:xVal>
          <c:yVal>
            <c:numRef>
              <c:f>'Economía (2)'!$H$32:$H$35</c:f>
              <c:numCache>
                <c:formatCode>0.000</c:formatCode>
                <c:ptCount val="4"/>
                <c:pt idx="0">
                  <c:v>9.3114364859517226E-2</c:v>
                </c:pt>
                <c:pt idx="1">
                  <c:v>0.19034428175702414</c:v>
                </c:pt>
                <c:pt idx="2">
                  <c:v>0.83854372774040375</c:v>
                </c:pt>
                <c:pt idx="3">
                  <c:v>3.3233082706766912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837-4423-95CA-55B157A85EC2}"/>
            </c:ext>
          </c:extLst>
        </c:ser>
        <c:ser>
          <c:idx val="4"/>
          <c:order val="4"/>
          <c:tx>
            <c:strRef>
              <c:f>'Economía (2)'!$I$31</c:f>
              <c:strCache>
                <c:ptCount val="1"/>
                <c:pt idx="0">
                  <c:v>Li-ion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'Economía (2)'!$D$32:$D$35</c:f>
              <c:numCache>
                <c:formatCode>General</c:formatCode>
                <c:ptCount val="4"/>
                <c:pt idx="0">
                  <c:v>0.1</c:v>
                </c:pt>
                <c:pt idx="1">
                  <c:v>1</c:v>
                </c:pt>
                <c:pt idx="2">
                  <c:v>7</c:v>
                </c:pt>
                <c:pt idx="3">
                  <c:v>30</c:v>
                </c:pt>
              </c:numCache>
            </c:numRef>
          </c:xVal>
          <c:yVal>
            <c:numRef>
              <c:f>'Economía (2)'!$I$32:$I$35</c:f>
              <c:numCache>
                <c:formatCode>0.000</c:formatCode>
                <c:ptCount val="4"/>
                <c:pt idx="0">
                  <c:v>0.13136198024757428</c:v>
                </c:pt>
                <c:pt idx="1">
                  <c:v>0.44609184865408408</c:v>
                </c:pt>
                <c:pt idx="2">
                  <c:v>2.5442909713641497</c:v>
                </c:pt>
                <c:pt idx="3">
                  <c:v>10.5873876084194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837-4423-95CA-55B157A85EC2}"/>
            </c:ext>
          </c:extLst>
        </c:ser>
        <c:ser>
          <c:idx val="5"/>
          <c:order val="5"/>
          <c:tx>
            <c:strRef>
              <c:f>'Economía (2)'!$J$31</c:f>
              <c:strCache>
                <c:ptCount val="1"/>
                <c:pt idx="0">
                  <c:v>Na-S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'Economía (2)'!$D$32:$D$35</c:f>
              <c:numCache>
                <c:formatCode>General</c:formatCode>
                <c:ptCount val="4"/>
                <c:pt idx="0">
                  <c:v>0.1</c:v>
                </c:pt>
                <c:pt idx="1">
                  <c:v>1</c:v>
                </c:pt>
                <c:pt idx="2">
                  <c:v>7</c:v>
                </c:pt>
                <c:pt idx="3">
                  <c:v>30</c:v>
                </c:pt>
              </c:numCache>
            </c:numRef>
          </c:xVal>
          <c:yVal>
            <c:numRef>
              <c:f>'Economía (2)'!$J$32:$J$35</c:f>
              <c:numCache>
                <c:formatCode>0.000</c:formatCode>
                <c:ptCount val="4"/>
                <c:pt idx="0">
                  <c:v>8.8340316090357349E-2</c:v>
                </c:pt>
                <c:pt idx="1">
                  <c:v>0.21814198001481383</c:v>
                </c:pt>
                <c:pt idx="2">
                  <c:v>1.0834864061778569</c:v>
                </c:pt>
                <c:pt idx="3">
                  <c:v>4.4006400398028553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837-4423-95CA-55B157A85EC2}"/>
            </c:ext>
          </c:extLst>
        </c:ser>
        <c:ser>
          <c:idx val="6"/>
          <c:order val="6"/>
          <c:tx>
            <c:strRef>
              <c:f>'Economía (2)'!$K$31</c:f>
              <c:strCache>
                <c:ptCount val="1"/>
                <c:pt idx="0">
                  <c:v>VRB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'Economía (2)'!$D$32:$D$35</c:f>
              <c:numCache>
                <c:formatCode>General</c:formatCode>
                <c:ptCount val="4"/>
                <c:pt idx="0">
                  <c:v>0.1</c:v>
                </c:pt>
                <c:pt idx="1">
                  <c:v>1</c:v>
                </c:pt>
                <c:pt idx="2">
                  <c:v>7</c:v>
                </c:pt>
                <c:pt idx="3">
                  <c:v>30</c:v>
                </c:pt>
              </c:numCache>
            </c:numRef>
          </c:xVal>
          <c:yVal>
            <c:numRef>
              <c:f>'Economía (2)'!$K$32:$K$35</c:f>
              <c:numCache>
                <c:formatCode>0.000</c:formatCode>
                <c:ptCount val="4"/>
                <c:pt idx="0">
                  <c:v>9.3596537847448188E-2</c:v>
                </c:pt>
                <c:pt idx="1">
                  <c:v>0.20437424981815477</c:v>
                </c:pt>
                <c:pt idx="2">
                  <c:v>0.94289232962286551</c:v>
                </c:pt>
                <c:pt idx="3">
                  <c:v>3.773878302207589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837-4423-95CA-55B157A85EC2}"/>
            </c:ext>
          </c:extLst>
        </c:ser>
        <c:ser>
          <c:idx val="7"/>
          <c:order val="7"/>
          <c:tx>
            <c:strRef>
              <c:f>'Economía (2)'!$L$31</c:f>
              <c:strCache>
                <c:ptCount val="1"/>
                <c:pt idx="0">
                  <c:v>SCESS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'Economía (2)'!$D$32:$D$35</c:f>
              <c:numCache>
                <c:formatCode>General</c:formatCode>
                <c:ptCount val="4"/>
                <c:pt idx="0">
                  <c:v>0.1</c:v>
                </c:pt>
                <c:pt idx="1">
                  <c:v>1</c:v>
                </c:pt>
                <c:pt idx="2">
                  <c:v>7</c:v>
                </c:pt>
                <c:pt idx="3">
                  <c:v>30</c:v>
                </c:pt>
              </c:numCache>
            </c:numRef>
          </c:xVal>
          <c:yVal>
            <c:numRef>
              <c:f>'Economía (2)'!$L$32:$L$35</c:f>
              <c:numCache>
                <c:formatCode>0.000</c:formatCode>
                <c:ptCount val="4"/>
                <c:pt idx="0">
                  <c:v>0.60398665261678974</c:v>
                </c:pt>
                <c:pt idx="1">
                  <c:v>5.4036705303828585</c:v>
                </c:pt>
                <c:pt idx="2">
                  <c:v>37.40156304882332</c:v>
                </c:pt>
                <c:pt idx="3">
                  <c:v>160.06015103617841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A837-4423-95CA-55B157A85EC2}"/>
            </c:ext>
          </c:extLst>
        </c:ser>
        <c:ser>
          <c:idx val="8"/>
          <c:order val="8"/>
          <c:tx>
            <c:strRef>
              <c:f>'Economía (2)'!$M$31</c:f>
              <c:strCache>
                <c:ptCount val="1"/>
                <c:pt idx="0">
                  <c:v>SMES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'Economía (2)'!$D$32:$D$35</c:f>
              <c:numCache>
                <c:formatCode>General</c:formatCode>
                <c:ptCount val="4"/>
                <c:pt idx="0">
                  <c:v>0.1</c:v>
                </c:pt>
                <c:pt idx="1">
                  <c:v>1</c:v>
                </c:pt>
                <c:pt idx="2">
                  <c:v>7</c:v>
                </c:pt>
                <c:pt idx="3">
                  <c:v>30</c:v>
                </c:pt>
              </c:numCache>
            </c:numRef>
          </c:xVal>
          <c:yVal>
            <c:numRef>
              <c:f>'Economía (2)'!$M$32:$M$35</c:f>
              <c:numCache>
                <c:formatCode>0.000</c:formatCode>
                <c:ptCount val="4"/>
                <c:pt idx="0">
                  <c:v>0.20547080392970807</c:v>
                </c:pt>
                <c:pt idx="1">
                  <c:v>1.4990573543655736</c:v>
                </c:pt>
                <c:pt idx="2">
                  <c:v>10.122967690604675</c:v>
                </c:pt>
                <c:pt idx="3">
                  <c:v>43.181290646187904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A837-4423-95CA-55B157A85EC2}"/>
            </c:ext>
          </c:extLst>
        </c:ser>
        <c:ser>
          <c:idx val="9"/>
          <c:order val="9"/>
          <c:tx>
            <c:strRef>
              <c:f>'Economía (2)'!$N$31</c:f>
              <c:strCache>
                <c:ptCount val="1"/>
                <c:pt idx="0">
                  <c:v>Flywheel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'Economía (2)'!$D$32:$D$35</c:f>
              <c:numCache>
                <c:formatCode>General</c:formatCode>
                <c:ptCount val="4"/>
                <c:pt idx="0">
                  <c:v>0.1</c:v>
                </c:pt>
                <c:pt idx="1">
                  <c:v>1</c:v>
                </c:pt>
                <c:pt idx="2">
                  <c:v>7</c:v>
                </c:pt>
                <c:pt idx="3">
                  <c:v>30</c:v>
                </c:pt>
              </c:numCache>
            </c:numRef>
          </c:xVal>
          <c:yVal>
            <c:numRef>
              <c:f>'Economía (2)'!$N$32:$N$35</c:f>
              <c:numCache>
                <c:formatCode>0.000</c:formatCode>
                <c:ptCount val="4"/>
                <c:pt idx="0">
                  <c:v>0.12579389788293899</c:v>
                </c:pt>
                <c:pt idx="1">
                  <c:v>0.645283312577833</c:v>
                </c:pt>
                <c:pt idx="2">
                  <c:v>4.1085460772104607</c:v>
                </c:pt>
                <c:pt idx="3">
                  <c:v>17.384386674968866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A837-4423-95CA-55B157A85E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9992447"/>
        <c:axId val="1389991007"/>
      </c:scatterChart>
      <c:valAx>
        <c:axId val="1389992447"/>
        <c:scaling>
          <c:orientation val="minMax"/>
        </c:scaling>
        <c:delete val="0"/>
        <c:axPos val="b"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89991007"/>
        <c:crosses val="autoZero"/>
        <c:crossBetween val="midCat"/>
      </c:valAx>
      <c:valAx>
        <c:axId val="1389991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899924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050" b="1"/>
              <a:t>LCOE</a:t>
            </a:r>
            <a:r>
              <a:rPr lang="es-ES" sz="1050"/>
              <a:t> (</a:t>
            </a:r>
            <a:r>
              <a:rPr lang="es-ES" sz="1050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€</a:t>
            </a:r>
            <a:r>
              <a:rPr lang="es-ES" sz="1050"/>
              <a:t>/kWh) vs </a:t>
            </a:r>
            <a:r>
              <a:rPr lang="es-ES" sz="1050" b="1"/>
              <a:t>h</a:t>
            </a:r>
            <a:r>
              <a:rPr lang="es-ES" sz="1050" baseline="-25000"/>
              <a:t> </a:t>
            </a:r>
            <a:r>
              <a:rPr lang="es-ES" sz="1050"/>
              <a:t>(días) para C</a:t>
            </a:r>
            <a:r>
              <a:rPr lang="es-ES" sz="1050" baseline="-25000"/>
              <a:t>w </a:t>
            </a:r>
            <a:r>
              <a:rPr lang="es-ES" sz="1050"/>
              <a:t>= 0,10 </a:t>
            </a:r>
            <a:r>
              <a:rPr lang="es-ES" sz="1050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€/kWh</a:t>
            </a:r>
            <a:endParaRPr lang="es-ES" sz="1050"/>
          </a:p>
        </c:rich>
      </c:tx>
      <c:layout>
        <c:manualLayout>
          <c:xMode val="edge"/>
          <c:yMode val="edge"/>
          <c:x val="0.1774652230971128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7.8372703412073488E-2"/>
          <c:y val="0.13342592592592592"/>
          <c:w val="0.70689063867016622"/>
          <c:h val="0.7591746864975211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'Economía (2)'!$E$37</c:f>
              <c:strCache>
                <c:ptCount val="1"/>
                <c:pt idx="0">
                  <c:v>PHS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'Economía (2)'!$D$38:$D$41</c:f>
              <c:numCache>
                <c:formatCode>General</c:formatCode>
                <c:ptCount val="4"/>
                <c:pt idx="0">
                  <c:v>0.1</c:v>
                </c:pt>
                <c:pt idx="1">
                  <c:v>1</c:v>
                </c:pt>
                <c:pt idx="2">
                  <c:v>7</c:v>
                </c:pt>
                <c:pt idx="3">
                  <c:v>30</c:v>
                </c:pt>
              </c:numCache>
            </c:numRef>
          </c:xVal>
          <c:yVal>
            <c:numRef>
              <c:f>'Economía (2)'!$E$38:$E$41</c:f>
              <c:numCache>
                <c:formatCode>0.000</c:formatCode>
                <c:ptCount val="4"/>
                <c:pt idx="0">
                  <c:v>0.1449646667616106</c:v>
                </c:pt>
                <c:pt idx="1">
                  <c:v>0.1505931214600004</c:v>
                </c:pt>
                <c:pt idx="2">
                  <c:v>0.18811615278259916</c:v>
                </c:pt>
                <c:pt idx="3">
                  <c:v>0.33195443951922765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FCD-4EEC-B215-6FBBC726A467}"/>
            </c:ext>
          </c:extLst>
        </c:ser>
        <c:ser>
          <c:idx val="1"/>
          <c:order val="1"/>
          <c:tx>
            <c:strRef>
              <c:f>'Economía (2)'!$F$37</c:f>
              <c:strCache>
                <c:ptCount val="1"/>
                <c:pt idx="0">
                  <c:v>HESS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'Economía (2)'!$D$38:$D$41</c:f>
              <c:numCache>
                <c:formatCode>General</c:formatCode>
                <c:ptCount val="4"/>
                <c:pt idx="0">
                  <c:v>0.1</c:v>
                </c:pt>
                <c:pt idx="1">
                  <c:v>1</c:v>
                </c:pt>
                <c:pt idx="2">
                  <c:v>7</c:v>
                </c:pt>
                <c:pt idx="3">
                  <c:v>30</c:v>
                </c:pt>
              </c:numCache>
            </c:numRef>
          </c:xVal>
          <c:yVal>
            <c:numRef>
              <c:f>'Economía (2)'!$F$38:$F$41</c:f>
              <c:numCache>
                <c:formatCode>0.000</c:formatCode>
                <c:ptCount val="4"/>
                <c:pt idx="0">
                  <c:v>0.29298966594568615</c:v>
                </c:pt>
                <c:pt idx="1">
                  <c:v>0.2992189377553473</c:v>
                </c:pt>
                <c:pt idx="2">
                  <c:v>0.34074741648642148</c:v>
                </c:pt>
                <c:pt idx="3">
                  <c:v>0.49993991828887291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FCD-4EEC-B215-6FBBC726A467}"/>
            </c:ext>
          </c:extLst>
        </c:ser>
        <c:ser>
          <c:idx val="2"/>
          <c:order val="2"/>
          <c:tx>
            <c:strRef>
              <c:f>'Economía (2)'!$G$37</c:f>
              <c:strCache>
                <c:ptCount val="1"/>
                <c:pt idx="0">
                  <c:v>CAES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'Economía (2)'!$D$38:$D$41</c:f>
              <c:numCache>
                <c:formatCode>General</c:formatCode>
                <c:ptCount val="4"/>
                <c:pt idx="0">
                  <c:v>0.1</c:v>
                </c:pt>
                <c:pt idx="1">
                  <c:v>1</c:v>
                </c:pt>
                <c:pt idx="2">
                  <c:v>7</c:v>
                </c:pt>
                <c:pt idx="3">
                  <c:v>30</c:v>
                </c:pt>
              </c:numCache>
            </c:numRef>
          </c:xVal>
          <c:yVal>
            <c:numRef>
              <c:f>'Economía (2)'!$G$38:$G$41</c:f>
              <c:numCache>
                <c:formatCode>0.000</c:formatCode>
                <c:ptCount val="4"/>
                <c:pt idx="0">
                  <c:v>0.15213889337328604</c:v>
                </c:pt>
                <c:pt idx="1">
                  <c:v>0.15784219340832994</c:v>
                </c:pt>
                <c:pt idx="2">
                  <c:v>0.19586419364195612</c:v>
                </c:pt>
                <c:pt idx="3">
                  <c:v>0.34161519453752309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FCD-4EEC-B215-6FBBC726A467}"/>
            </c:ext>
          </c:extLst>
        </c:ser>
        <c:ser>
          <c:idx val="3"/>
          <c:order val="3"/>
          <c:tx>
            <c:strRef>
              <c:f>'Economía (2)'!$H$37</c:f>
              <c:strCache>
                <c:ptCount val="1"/>
                <c:pt idx="0">
                  <c:v>Pb-Ac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'Economía (2)'!$D$38:$D$41</c:f>
              <c:numCache>
                <c:formatCode>General</c:formatCode>
                <c:ptCount val="4"/>
                <c:pt idx="0">
                  <c:v>0.1</c:v>
                </c:pt>
                <c:pt idx="1">
                  <c:v>1</c:v>
                </c:pt>
                <c:pt idx="2">
                  <c:v>7</c:v>
                </c:pt>
                <c:pt idx="3">
                  <c:v>30</c:v>
                </c:pt>
              </c:numCache>
            </c:numRef>
          </c:xVal>
          <c:yVal>
            <c:numRef>
              <c:f>'Economía (2)'!$H$38:$H$41</c:f>
              <c:numCache>
                <c:formatCode>0.000</c:formatCode>
                <c:ptCount val="4"/>
                <c:pt idx="0">
                  <c:v>0.15890383854372775</c:v>
                </c:pt>
                <c:pt idx="1">
                  <c:v>0.25613375544123468</c:v>
                </c:pt>
                <c:pt idx="2">
                  <c:v>0.90433320142461426</c:v>
                </c:pt>
                <c:pt idx="3">
                  <c:v>3.3890977443609018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FCD-4EEC-B215-6FBBC726A467}"/>
            </c:ext>
          </c:extLst>
        </c:ser>
        <c:ser>
          <c:idx val="4"/>
          <c:order val="4"/>
          <c:tx>
            <c:strRef>
              <c:f>'Economía (2)'!$I$37</c:f>
              <c:strCache>
                <c:ptCount val="1"/>
                <c:pt idx="0">
                  <c:v>Li-ion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'Economía (2)'!$D$38:$D$41</c:f>
              <c:numCache>
                <c:formatCode>General</c:formatCode>
                <c:ptCount val="4"/>
                <c:pt idx="0">
                  <c:v>0.1</c:v>
                </c:pt>
                <c:pt idx="1">
                  <c:v>1</c:v>
                </c:pt>
                <c:pt idx="2">
                  <c:v>7</c:v>
                </c:pt>
                <c:pt idx="3">
                  <c:v>30</c:v>
                </c:pt>
              </c:numCache>
            </c:numRef>
          </c:xVal>
          <c:yVal>
            <c:numRef>
              <c:f>'Economía (2)'!$I$38:$I$41</c:f>
              <c:numCache>
                <c:formatCode>0.000</c:formatCode>
                <c:ptCount val="4"/>
                <c:pt idx="0">
                  <c:v>0.18950151513129521</c:v>
                </c:pt>
                <c:pt idx="1">
                  <c:v>0.50423138353780494</c:v>
                </c:pt>
                <c:pt idx="2">
                  <c:v>2.6024305062478708</c:v>
                </c:pt>
                <c:pt idx="3">
                  <c:v>10.645527143303122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FCD-4EEC-B215-6FBBC726A467}"/>
            </c:ext>
          </c:extLst>
        </c:ser>
        <c:ser>
          <c:idx val="5"/>
          <c:order val="5"/>
          <c:tx>
            <c:strRef>
              <c:f>'Economía (2)'!$J$37</c:f>
              <c:strCache>
                <c:ptCount val="1"/>
                <c:pt idx="0">
                  <c:v>Na-S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'Economía (2)'!$D$38:$D$41</c:f>
              <c:numCache>
                <c:formatCode>General</c:formatCode>
                <c:ptCount val="4"/>
                <c:pt idx="0">
                  <c:v>0.1</c:v>
                </c:pt>
                <c:pt idx="1">
                  <c:v>1</c:v>
                </c:pt>
                <c:pt idx="2">
                  <c:v>7</c:v>
                </c:pt>
                <c:pt idx="3">
                  <c:v>30</c:v>
                </c:pt>
              </c:numCache>
            </c:numRef>
          </c:xVal>
          <c:yVal>
            <c:numRef>
              <c:f>'Economía (2)'!$J$38:$J$41</c:f>
              <c:numCache>
                <c:formatCode>0.000</c:formatCode>
                <c:ptCount val="4"/>
                <c:pt idx="0">
                  <c:v>0.14858127994577902</c:v>
                </c:pt>
                <c:pt idx="1">
                  <c:v>0.27838294387023549</c:v>
                </c:pt>
                <c:pt idx="2">
                  <c:v>1.1437273700332786</c:v>
                </c:pt>
                <c:pt idx="3">
                  <c:v>4.4608810036582769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FCD-4EEC-B215-6FBBC726A467}"/>
            </c:ext>
          </c:extLst>
        </c:ser>
        <c:ser>
          <c:idx val="6"/>
          <c:order val="6"/>
          <c:tx>
            <c:strRef>
              <c:f>'Economía (2)'!$K$37</c:f>
              <c:strCache>
                <c:ptCount val="1"/>
                <c:pt idx="0">
                  <c:v>VRB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'Economía (2)'!$D$38:$D$41</c:f>
              <c:numCache>
                <c:formatCode>General</c:formatCode>
                <c:ptCount val="4"/>
                <c:pt idx="0">
                  <c:v>0.1</c:v>
                </c:pt>
                <c:pt idx="1">
                  <c:v>1</c:v>
                </c:pt>
                <c:pt idx="2">
                  <c:v>7</c:v>
                </c:pt>
                <c:pt idx="3">
                  <c:v>30</c:v>
                </c:pt>
              </c:numCache>
            </c:numRef>
          </c:xVal>
          <c:yVal>
            <c:numRef>
              <c:f>'Economía (2)'!$K$38:$K$41</c:f>
              <c:numCache>
                <c:formatCode>0.000</c:formatCode>
                <c:ptCount val="4"/>
                <c:pt idx="0">
                  <c:v>0.15853160278251313</c:v>
                </c:pt>
                <c:pt idx="1">
                  <c:v>0.26930931475321973</c:v>
                </c:pt>
                <c:pt idx="2">
                  <c:v>1.0078273945579304</c:v>
                </c:pt>
                <c:pt idx="3">
                  <c:v>3.8388133671426541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FCD-4EEC-B215-6FBBC726A467}"/>
            </c:ext>
          </c:extLst>
        </c:ser>
        <c:ser>
          <c:idx val="7"/>
          <c:order val="7"/>
          <c:tx>
            <c:strRef>
              <c:f>'Economía (2)'!$L$37</c:f>
              <c:strCache>
                <c:ptCount val="1"/>
                <c:pt idx="0">
                  <c:v>SCESS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'Economía (2)'!$D$38:$D$41</c:f>
              <c:numCache>
                <c:formatCode>General</c:formatCode>
                <c:ptCount val="4"/>
                <c:pt idx="0">
                  <c:v>0.1</c:v>
                </c:pt>
                <c:pt idx="1">
                  <c:v>1</c:v>
                </c:pt>
                <c:pt idx="2">
                  <c:v>7</c:v>
                </c:pt>
                <c:pt idx="3">
                  <c:v>30</c:v>
                </c:pt>
              </c:numCache>
            </c:numRef>
          </c:xVal>
          <c:yVal>
            <c:numRef>
              <c:f>'Economía (2)'!$L$38:$L$41</c:f>
              <c:numCache>
                <c:formatCode>0.000</c:formatCode>
                <c:ptCount val="4"/>
                <c:pt idx="0">
                  <c:v>0.66808921671935384</c:v>
                </c:pt>
                <c:pt idx="1">
                  <c:v>5.4677730944854224</c:v>
                </c:pt>
                <c:pt idx="2">
                  <c:v>37.465665612925889</c:v>
                </c:pt>
                <c:pt idx="3">
                  <c:v>160.12425360028098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FCD-4EEC-B215-6FBBC726A467}"/>
            </c:ext>
          </c:extLst>
        </c:ser>
        <c:ser>
          <c:idx val="8"/>
          <c:order val="8"/>
          <c:tx>
            <c:strRef>
              <c:f>'Economía (2)'!$M$37</c:f>
              <c:strCache>
                <c:ptCount val="1"/>
                <c:pt idx="0">
                  <c:v>SMES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'Economía (2)'!$D$38:$D$41</c:f>
              <c:numCache>
                <c:formatCode>General</c:formatCode>
                <c:ptCount val="4"/>
                <c:pt idx="0">
                  <c:v>0.1</c:v>
                </c:pt>
                <c:pt idx="1">
                  <c:v>1</c:v>
                </c:pt>
                <c:pt idx="2">
                  <c:v>7</c:v>
                </c:pt>
                <c:pt idx="3">
                  <c:v>30</c:v>
                </c:pt>
              </c:numCache>
            </c:numRef>
          </c:xVal>
          <c:yVal>
            <c:numRef>
              <c:f>'Economía (2)'!$M$38:$M$41</c:f>
              <c:numCache>
                <c:formatCode>0.000</c:formatCode>
                <c:ptCount val="4"/>
                <c:pt idx="0">
                  <c:v>0.26228898574788989</c:v>
                </c:pt>
                <c:pt idx="1">
                  <c:v>1.5558755361837555</c:v>
                </c:pt>
                <c:pt idx="2">
                  <c:v>10.179785872422856</c:v>
                </c:pt>
                <c:pt idx="3">
                  <c:v>43.238108828006091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BFCD-4EEC-B215-6FBBC726A467}"/>
            </c:ext>
          </c:extLst>
        </c:ser>
        <c:ser>
          <c:idx val="9"/>
          <c:order val="9"/>
          <c:tx>
            <c:strRef>
              <c:f>'Economía (2)'!$N$37</c:f>
              <c:strCache>
                <c:ptCount val="1"/>
                <c:pt idx="0">
                  <c:v>Flywheel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'Economía (2)'!$D$38:$D$41</c:f>
              <c:numCache>
                <c:formatCode>General</c:formatCode>
                <c:ptCount val="4"/>
                <c:pt idx="0">
                  <c:v>0.1</c:v>
                </c:pt>
                <c:pt idx="1">
                  <c:v>1</c:v>
                </c:pt>
                <c:pt idx="2">
                  <c:v>7</c:v>
                </c:pt>
                <c:pt idx="3">
                  <c:v>30</c:v>
                </c:pt>
              </c:numCache>
            </c:numRef>
          </c:xVal>
          <c:yVal>
            <c:numRef>
              <c:f>'Economía (2)'!$N$38:$N$41</c:f>
              <c:numCache>
                <c:formatCode>0.000</c:formatCode>
                <c:ptCount val="4"/>
                <c:pt idx="0">
                  <c:v>0.18261207970112081</c:v>
                </c:pt>
                <c:pt idx="1">
                  <c:v>0.70210149439601477</c:v>
                </c:pt>
                <c:pt idx="2">
                  <c:v>4.1653642590286424</c:v>
                </c:pt>
                <c:pt idx="3">
                  <c:v>17.441204856787046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BFCD-4EEC-B215-6FBBC726A4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2576735"/>
        <c:axId val="1612574815"/>
      </c:scatterChart>
      <c:valAx>
        <c:axId val="1612576735"/>
        <c:scaling>
          <c:orientation val="minMax"/>
        </c:scaling>
        <c:delete val="0"/>
        <c:axPos val="b"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12574815"/>
        <c:crosses val="autoZero"/>
        <c:crossBetween val="midCat"/>
        <c:minorUnit val="5"/>
      </c:valAx>
      <c:valAx>
        <c:axId val="1612574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125767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050" b="1"/>
              <a:t>LCOE</a:t>
            </a:r>
            <a:r>
              <a:rPr lang="es-ES" sz="1050" b="1" baseline="0"/>
              <a:t> </a:t>
            </a:r>
            <a:r>
              <a:rPr lang="es-ES" sz="1050" b="0" baseline="0"/>
              <a:t>(</a:t>
            </a:r>
            <a:r>
              <a:rPr lang="es-ES" sz="1050" b="0" baseline="0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€</a:t>
            </a:r>
            <a:r>
              <a:rPr lang="es-ES" sz="1050" b="0" baseline="0"/>
              <a:t>/kWh) vs </a:t>
            </a:r>
            <a:r>
              <a:rPr lang="es-ES" sz="1050" b="1" baseline="0"/>
              <a:t>h</a:t>
            </a:r>
            <a:r>
              <a:rPr lang="es-ES" sz="1050" b="0" baseline="0"/>
              <a:t> (días) para C</a:t>
            </a:r>
            <a:r>
              <a:rPr lang="es-ES" sz="1050" b="0" baseline="-25000"/>
              <a:t>w</a:t>
            </a:r>
            <a:r>
              <a:rPr lang="es-ES" sz="1050" b="1" baseline="-25000"/>
              <a:t> </a:t>
            </a:r>
            <a:r>
              <a:rPr lang="es-ES" sz="1050" b="0" baseline="0"/>
              <a:t>= 0,00 </a:t>
            </a:r>
            <a:r>
              <a:rPr lang="es-ES" sz="1050" b="0" baseline="0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€/k</a:t>
            </a:r>
            <a:r>
              <a:rPr lang="es-ES" sz="1050" b="0" baseline="0"/>
              <a:t>Wh</a:t>
            </a:r>
            <a:endParaRPr lang="es-ES" sz="1050" b="0"/>
          </a:p>
        </c:rich>
      </c:tx>
      <c:layout>
        <c:manualLayout>
          <c:xMode val="edge"/>
          <c:yMode val="edge"/>
          <c:x val="0.15048600174978127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7.9247594050743664E-2"/>
          <c:y val="0.12416666666666666"/>
          <c:w val="0.70679352580927379"/>
          <c:h val="0.7684339457567803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'Economía (2)'!$E$25</c:f>
              <c:strCache>
                <c:ptCount val="1"/>
                <c:pt idx="0">
                  <c:v>PHS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'Economía (2)'!$D$26:$D$29</c:f>
              <c:numCache>
                <c:formatCode>General</c:formatCode>
                <c:ptCount val="4"/>
                <c:pt idx="0">
                  <c:v>0.1</c:v>
                </c:pt>
                <c:pt idx="1">
                  <c:v>1</c:v>
                </c:pt>
                <c:pt idx="2">
                  <c:v>7</c:v>
                </c:pt>
                <c:pt idx="3">
                  <c:v>30</c:v>
                </c:pt>
              </c:numCache>
            </c:numRef>
          </c:xVal>
          <c:yVal>
            <c:numRef>
              <c:f>'Economía (2)'!$E$26:$E$29</c:f>
              <c:numCache>
                <c:formatCode>0.000</c:formatCode>
                <c:ptCount val="4"/>
                <c:pt idx="0">
                  <c:v>6.075777872721717E-3</c:v>
                </c:pt>
                <c:pt idx="1">
                  <c:v>1.1704232571111528E-2</c:v>
                </c:pt>
                <c:pt idx="2">
                  <c:v>4.9227263893710266E-2</c:v>
                </c:pt>
                <c:pt idx="3">
                  <c:v>0.19306555063033878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E12-4F91-9061-3FF846D5F3D7}"/>
            </c:ext>
          </c:extLst>
        </c:ser>
        <c:ser>
          <c:idx val="1"/>
          <c:order val="1"/>
          <c:tx>
            <c:strRef>
              <c:f>'Economía (2)'!$F$25</c:f>
              <c:strCache>
                <c:ptCount val="1"/>
                <c:pt idx="0">
                  <c:v>HESS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'Economía (2)'!$D$26:$D$29</c:f>
              <c:numCache>
                <c:formatCode>General</c:formatCode>
                <c:ptCount val="4"/>
                <c:pt idx="0">
                  <c:v>0.1</c:v>
                </c:pt>
                <c:pt idx="1">
                  <c:v>1</c:v>
                </c:pt>
                <c:pt idx="2">
                  <c:v>7</c:v>
                </c:pt>
                <c:pt idx="3">
                  <c:v>30</c:v>
                </c:pt>
              </c:numCache>
            </c:numRef>
          </c:xVal>
          <c:yVal>
            <c:numRef>
              <c:f>'Economía (2)'!$F$26:$F$29</c:f>
              <c:numCache>
                <c:formatCode>0.000</c:formatCode>
                <c:ptCount val="4"/>
                <c:pt idx="0">
                  <c:v>2.9831771208844036E-2</c:v>
                </c:pt>
                <c:pt idx="1">
                  <c:v>3.6061043018505171E-2</c:v>
                </c:pt>
                <c:pt idx="2">
                  <c:v>7.7589521749579407E-2</c:v>
                </c:pt>
                <c:pt idx="3">
                  <c:v>0.23678202355203079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E12-4F91-9061-3FF846D5F3D7}"/>
            </c:ext>
          </c:extLst>
        </c:ser>
        <c:ser>
          <c:idx val="2"/>
          <c:order val="2"/>
          <c:tx>
            <c:strRef>
              <c:f>'Economía (2)'!$G$25</c:f>
              <c:strCache>
                <c:ptCount val="1"/>
                <c:pt idx="0">
                  <c:v>CAES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'Economía (2)'!$D$26:$D$29</c:f>
              <c:numCache>
                <c:formatCode>General</c:formatCode>
                <c:ptCount val="4"/>
                <c:pt idx="0">
                  <c:v>0.1</c:v>
                </c:pt>
                <c:pt idx="1">
                  <c:v>1</c:v>
                </c:pt>
                <c:pt idx="2">
                  <c:v>7</c:v>
                </c:pt>
                <c:pt idx="3">
                  <c:v>30</c:v>
                </c:pt>
              </c:numCache>
            </c:numRef>
          </c:xVal>
          <c:yVal>
            <c:numRef>
              <c:f>'Economía (2)'!$G$26:$G$29</c:f>
              <c:numCache>
                <c:formatCode>0.000</c:formatCode>
                <c:ptCount val="4"/>
                <c:pt idx="0">
                  <c:v>1.1293822950750819E-2</c:v>
                </c:pt>
                <c:pt idx="1">
                  <c:v>1.6997122985794741E-2</c:v>
                </c:pt>
                <c:pt idx="2">
                  <c:v>5.5019123219420894E-2</c:v>
                </c:pt>
                <c:pt idx="3">
                  <c:v>0.20077012411498785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E12-4F91-9061-3FF846D5F3D7}"/>
            </c:ext>
          </c:extLst>
        </c:ser>
        <c:ser>
          <c:idx val="3"/>
          <c:order val="3"/>
          <c:tx>
            <c:strRef>
              <c:f>'Economía (2)'!$H$25</c:f>
              <c:strCache>
                <c:ptCount val="1"/>
                <c:pt idx="0">
                  <c:v>Pb-Ac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'Economía (2)'!$D$26:$D$29</c:f>
              <c:numCache>
                <c:formatCode>General</c:formatCode>
                <c:ptCount val="4"/>
                <c:pt idx="0">
                  <c:v>0.1</c:v>
                </c:pt>
                <c:pt idx="1">
                  <c:v>1</c:v>
                </c:pt>
                <c:pt idx="2">
                  <c:v>7</c:v>
                </c:pt>
                <c:pt idx="3">
                  <c:v>30</c:v>
                </c:pt>
              </c:numCache>
            </c:numRef>
          </c:xVal>
          <c:yVal>
            <c:numRef>
              <c:f>'Economía (2)'!$H$26:$H$29</c:f>
              <c:numCache>
                <c:formatCode>0.000</c:formatCode>
                <c:ptCount val="4"/>
                <c:pt idx="0">
                  <c:v>2.7324891175306693E-2</c:v>
                </c:pt>
                <c:pt idx="1">
                  <c:v>0.12455480807281363</c:v>
                </c:pt>
                <c:pt idx="2">
                  <c:v>0.77275425405619325</c:v>
                </c:pt>
                <c:pt idx="3">
                  <c:v>3.257518796992481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E12-4F91-9061-3FF846D5F3D7}"/>
            </c:ext>
          </c:extLst>
        </c:ser>
        <c:ser>
          <c:idx val="4"/>
          <c:order val="4"/>
          <c:tx>
            <c:strRef>
              <c:f>'Economía (2)'!$I$25</c:f>
              <c:strCache>
                <c:ptCount val="1"/>
                <c:pt idx="0">
                  <c:v>Li-ion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'Economía (2)'!$D$26:$D$29</c:f>
              <c:numCache>
                <c:formatCode>General</c:formatCode>
                <c:ptCount val="4"/>
                <c:pt idx="0">
                  <c:v>0.1</c:v>
                </c:pt>
                <c:pt idx="1">
                  <c:v>1</c:v>
                </c:pt>
                <c:pt idx="2">
                  <c:v>7</c:v>
                </c:pt>
                <c:pt idx="3">
                  <c:v>30</c:v>
                </c:pt>
              </c:numCache>
            </c:numRef>
          </c:xVal>
          <c:yVal>
            <c:numRef>
              <c:f>'Economía (2)'!$I$26:$I$29</c:f>
              <c:numCache>
                <c:formatCode>0.000</c:formatCode>
                <c:ptCount val="4"/>
                <c:pt idx="0">
                  <c:v>7.3222445363853361E-2</c:v>
                </c:pt>
                <c:pt idx="1">
                  <c:v>0.38795231377036316</c:v>
                </c:pt>
                <c:pt idx="2">
                  <c:v>2.4861514364804287</c:v>
                </c:pt>
                <c:pt idx="3">
                  <c:v>10.52924807353568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E12-4F91-9061-3FF846D5F3D7}"/>
            </c:ext>
          </c:extLst>
        </c:ser>
        <c:ser>
          <c:idx val="5"/>
          <c:order val="5"/>
          <c:tx>
            <c:strRef>
              <c:f>'Economía (2)'!$J$25</c:f>
              <c:strCache>
                <c:ptCount val="1"/>
                <c:pt idx="0">
                  <c:v>Na-S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'Economía (2)'!$D$26:$D$29</c:f>
              <c:numCache>
                <c:formatCode>General</c:formatCode>
                <c:ptCount val="4"/>
                <c:pt idx="0">
                  <c:v>0.1</c:v>
                </c:pt>
                <c:pt idx="1">
                  <c:v>1</c:v>
                </c:pt>
                <c:pt idx="2">
                  <c:v>7</c:v>
                </c:pt>
                <c:pt idx="3">
                  <c:v>30</c:v>
                </c:pt>
              </c:numCache>
            </c:numRef>
          </c:xVal>
          <c:yVal>
            <c:numRef>
              <c:f>'Economía (2)'!$J$26:$J$29</c:f>
              <c:numCache>
                <c:formatCode>0.000</c:formatCode>
                <c:ptCount val="4"/>
                <c:pt idx="0">
                  <c:v>2.8099352234935662E-2</c:v>
                </c:pt>
                <c:pt idx="1">
                  <c:v>0.15790101615939214</c:v>
                </c:pt>
                <c:pt idx="2">
                  <c:v>1.0232454423224351</c:v>
                </c:pt>
                <c:pt idx="3">
                  <c:v>4.3403990759474338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E12-4F91-9061-3FF846D5F3D7}"/>
            </c:ext>
          </c:extLst>
        </c:ser>
        <c:ser>
          <c:idx val="6"/>
          <c:order val="6"/>
          <c:tx>
            <c:strRef>
              <c:f>'Economía (2)'!$K$25</c:f>
              <c:strCache>
                <c:ptCount val="1"/>
                <c:pt idx="0">
                  <c:v>VRB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'Economía (2)'!$D$26:$D$29</c:f>
              <c:numCache>
                <c:formatCode>General</c:formatCode>
                <c:ptCount val="4"/>
                <c:pt idx="0">
                  <c:v>0.1</c:v>
                </c:pt>
                <c:pt idx="1">
                  <c:v>1</c:v>
                </c:pt>
                <c:pt idx="2">
                  <c:v>7</c:v>
                </c:pt>
                <c:pt idx="3">
                  <c:v>30</c:v>
                </c:pt>
              </c:numCache>
            </c:numRef>
          </c:xVal>
          <c:yVal>
            <c:numRef>
              <c:f>'Economía (2)'!$K$26:$K$29</c:f>
              <c:numCache>
                <c:formatCode>0.000</c:formatCode>
                <c:ptCount val="4"/>
                <c:pt idx="0">
                  <c:v>2.8661472912383266E-2</c:v>
                </c:pt>
                <c:pt idx="1">
                  <c:v>0.13943918488308985</c:v>
                </c:pt>
                <c:pt idx="2">
                  <c:v>0.87795726468780055</c:v>
                </c:pt>
                <c:pt idx="3">
                  <c:v>3.7089432372725244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E12-4F91-9061-3FF846D5F3D7}"/>
            </c:ext>
          </c:extLst>
        </c:ser>
        <c:ser>
          <c:idx val="8"/>
          <c:order val="8"/>
          <c:tx>
            <c:strRef>
              <c:f>'Economía (2)'!$M$25</c:f>
              <c:strCache>
                <c:ptCount val="1"/>
                <c:pt idx="0">
                  <c:v>SMES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'Economía (2)'!$D$26:$D$29</c:f>
              <c:numCache>
                <c:formatCode>General</c:formatCode>
                <c:ptCount val="4"/>
                <c:pt idx="0">
                  <c:v>0.1</c:v>
                </c:pt>
                <c:pt idx="1">
                  <c:v>1</c:v>
                </c:pt>
                <c:pt idx="2">
                  <c:v>7</c:v>
                </c:pt>
                <c:pt idx="3">
                  <c:v>30</c:v>
                </c:pt>
              </c:numCache>
            </c:numRef>
          </c:xVal>
          <c:yVal>
            <c:numRef>
              <c:f>'Economía (2)'!$M$26:$M$29</c:f>
              <c:numCache>
                <c:formatCode>0.000</c:formatCode>
                <c:ptCount val="4"/>
                <c:pt idx="0">
                  <c:v>0.14865262211152624</c:v>
                </c:pt>
                <c:pt idx="1">
                  <c:v>1.442239172547392</c:v>
                </c:pt>
                <c:pt idx="2">
                  <c:v>10.066149508786493</c:v>
                </c:pt>
                <c:pt idx="3">
                  <c:v>43.124472464369724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7-4E12-4F91-9061-3FF846D5F3D7}"/>
            </c:ext>
          </c:extLst>
        </c:ser>
        <c:ser>
          <c:idx val="9"/>
          <c:order val="9"/>
          <c:tx>
            <c:strRef>
              <c:f>'Economía (2)'!$N$25</c:f>
              <c:strCache>
                <c:ptCount val="1"/>
                <c:pt idx="0">
                  <c:v>Flywheel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'Economía (2)'!$D$26:$D$29</c:f>
              <c:numCache>
                <c:formatCode>General</c:formatCode>
                <c:ptCount val="4"/>
                <c:pt idx="0">
                  <c:v>0.1</c:v>
                </c:pt>
                <c:pt idx="1">
                  <c:v>1</c:v>
                </c:pt>
                <c:pt idx="2">
                  <c:v>7</c:v>
                </c:pt>
                <c:pt idx="3">
                  <c:v>30</c:v>
                </c:pt>
              </c:numCache>
            </c:numRef>
          </c:xVal>
          <c:yVal>
            <c:numRef>
              <c:f>'Economía (2)'!$N$26:$N$29</c:f>
              <c:numCache>
                <c:formatCode>0.000</c:formatCode>
                <c:ptCount val="4"/>
                <c:pt idx="0">
                  <c:v>6.8975716064757164E-2</c:v>
                </c:pt>
                <c:pt idx="1">
                  <c:v>0.58846513075965123</c:v>
                </c:pt>
                <c:pt idx="2">
                  <c:v>4.0517278953922782</c:v>
                </c:pt>
                <c:pt idx="3">
                  <c:v>17.327568493150682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8-4E12-4F91-9061-3FF846D5F3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9992447"/>
        <c:axId val="1389991007"/>
        <c:extLst>
          <c:ext xmlns:c15="http://schemas.microsoft.com/office/drawing/2012/chart" uri="{02D57815-91ED-43cb-92C2-25804820EDAC}">
            <c15:filteredScatte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'Economía (2)'!$L$25</c15:sqref>
                        </c15:formulaRef>
                      </c:ext>
                    </c:extLst>
                    <c:strCache>
                      <c:ptCount val="1"/>
                      <c:pt idx="0">
                        <c:v>SCESS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'Economía (2)'!$D$26:$D$29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0.1</c:v>
                      </c:pt>
                      <c:pt idx="1">
                        <c:v>1</c:v>
                      </c:pt>
                      <c:pt idx="2">
                        <c:v>7</c:v>
                      </c:pt>
                      <c:pt idx="3">
                        <c:v>30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'Economía (2)'!$L$26:$L$29</c15:sqref>
                        </c15:formulaRef>
                      </c:ext>
                    </c:extLst>
                    <c:numCache>
                      <c:formatCode>0.000</c:formatCode>
                      <c:ptCount val="4"/>
                      <c:pt idx="0">
                        <c:v>0.53988408851422565</c:v>
                      </c:pt>
                      <c:pt idx="1">
                        <c:v>5.3395679662802937</c:v>
                      </c:pt>
                      <c:pt idx="2">
                        <c:v>37.337460484720758</c:v>
                      </c:pt>
                      <c:pt idx="3">
                        <c:v>159.99604847207587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9-4E12-4F91-9061-3FF846D5F3D7}"/>
                  </c:ext>
                </c:extLst>
              </c15:ser>
            </c15:filteredScatterSeries>
          </c:ext>
        </c:extLst>
      </c:scatterChart>
      <c:valAx>
        <c:axId val="1389992447"/>
        <c:scaling>
          <c:orientation val="minMax"/>
          <c:max val="2"/>
        </c:scaling>
        <c:delete val="0"/>
        <c:axPos val="b"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89991007"/>
        <c:crosses val="autoZero"/>
        <c:crossBetween val="midCat"/>
        <c:majorUnit val="0.2"/>
        <c:minorUnit val="0.1"/>
      </c:valAx>
      <c:valAx>
        <c:axId val="1389991007"/>
        <c:scaling>
          <c:orientation val="minMax"/>
          <c:max val="0.4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899924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050" b="1"/>
              <a:t>LCOE</a:t>
            </a:r>
            <a:r>
              <a:rPr lang="es-ES" sz="1050" b="1" baseline="0"/>
              <a:t> </a:t>
            </a:r>
            <a:r>
              <a:rPr lang="es-ES" sz="1050" b="0" baseline="0"/>
              <a:t>(</a:t>
            </a:r>
            <a:r>
              <a:rPr lang="es-ES" sz="1050" b="0" baseline="0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€</a:t>
            </a:r>
            <a:r>
              <a:rPr lang="es-ES" sz="1050" b="0" baseline="0"/>
              <a:t>/kWh) vs </a:t>
            </a:r>
            <a:r>
              <a:rPr lang="es-ES" sz="1050" b="1" baseline="0"/>
              <a:t>h</a:t>
            </a:r>
            <a:r>
              <a:rPr lang="es-ES" sz="1050" b="0" baseline="0"/>
              <a:t> (días) para C</a:t>
            </a:r>
            <a:r>
              <a:rPr lang="es-ES" sz="1050" b="0" baseline="-25000"/>
              <a:t>w</a:t>
            </a:r>
            <a:r>
              <a:rPr lang="es-ES" sz="1050" b="1" baseline="-25000"/>
              <a:t> </a:t>
            </a:r>
            <a:r>
              <a:rPr lang="es-ES" sz="1050" b="0" baseline="0"/>
              <a:t>= 0,05 </a:t>
            </a:r>
            <a:r>
              <a:rPr lang="es-ES" sz="1050" b="0" baseline="0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€/k</a:t>
            </a:r>
            <a:r>
              <a:rPr lang="es-ES" sz="1050" b="0" baseline="0"/>
              <a:t>Wh</a:t>
            </a:r>
            <a:endParaRPr lang="es-ES" sz="1050" b="0"/>
          </a:p>
        </c:rich>
      </c:tx>
      <c:layout>
        <c:manualLayout>
          <c:xMode val="edge"/>
          <c:yMode val="edge"/>
          <c:x val="0.15048600174978127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7.9247594050743664E-2"/>
          <c:y val="0.12416666666666666"/>
          <c:w val="0.70679352580927379"/>
          <c:h val="0.7684339457567803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'Economía (2)'!$E$31</c:f>
              <c:strCache>
                <c:ptCount val="1"/>
                <c:pt idx="0">
                  <c:v>PHS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'Economía (2)'!$D$32:$D$35</c:f>
              <c:numCache>
                <c:formatCode>General</c:formatCode>
                <c:ptCount val="4"/>
                <c:pt idx="0">
                  <c:v>0.1</c:v>
                </c:pt>
                <c:pt idx="1">
                  <c:v>1</c:v>
                </c:pt>
                <c:pt idx="2">
                  <c:v>7</c:v>
                </c:pt>
                <c:pt idx="3">
                  <c:v>30</c:v>
                </c:pt>
              </c:numCache>
            </c:numRef>
          </c:xVal>
          <c:yVal>
            <c:numRef>
              <c:f>'Economía (2)'!$E$32:$E$35</c:f>
              <c:numCache>
                <c:formatCode>0.000</c:formatCode>
                <c:ptCount val="4"/>
                <c:pt idx="0">
                  <c:v>7.5520222317166152E-2</c:v>
                </c:pt>
                <c:pt idx="1">
                  <c:v>8.1148677015555976E-2</c:v>
                </c:pt>
                <c:pt idx="2">
                  <c:v>0.11867170833815471</c:v>
                </c:pt>
                <c:pt idx="3">
                  <c:v>0.26250999507478323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0A9-461E-90A3-7DFA59FBB486}"/>
            </c:ext>
          </c:extLst>
        </c:ser>
        <c:ser>
          <c:idx val="1"/>
          <c:order val="1"/>
          <c:tx>
            <c:strRef>
              <c:f>'Economía (2)'!$F$31</c:f>
              <c:strCache>
                <c:ptCount val="1"/>
                <c:pt idx="0">
                  <c:v>HESS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'Economía (2)'!$D$32:$D$35</c:f>
              <c:numCache>
                <c:formatCode>General</c:formatCode>
                <c:ptCount val="4"/>
                <c:pt idx="0">
                  <c:v>0.1</c:v>
                </c:pt>
                <c:pt idx="1">
                  <c:v>1</c:v>
                </c:pt>
                <c:pt idx="2">
                  <c:v>7</c:v>
                </c:pt>
                <c:pt idx="3">
                  <c:v>30</c:v>
                </c:pt>
              </c:numCache>
            </c:numRef>
          </c:xVal>
          <c:yVal>
            <c:numRef>
              <c:f>'Economía (2)'!$F$32:$F$35</c:f>
              <c:numCache>
                <c:formatCode>0.000</c:formatCode>
                <c:ptCount val="4"/>
                <c:pt idx="0">
                  <c:v>0.16141071857726508</c:v>
                </c:pt>
                <c:pt idx="1">
                  <c:v>0.16763999038692623</c:v>
                </c:pt>
                <c:pt idx="2">
                  <c:v>0.20916846911800044</c:v>
                </c:pt>
                <c:pt idx="3">
                  <c:v>0.36836097092045184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0A9-461E-90A3-7DFA59FBB486}"/>
            </c:ext>
          </c:extLst>
        </c:ser>
        <c:ser>
          <c:idx val="2"/>
          <c:order val="2"/>
          <c:tx>
            <c:strRef>
              <c:f>'Economía (2)'!$G$31</c:f>
              <c:strCache>
                <c:ptCount val="1"/>
                <c:pt idx="0">
                  <c:v>CAES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'Economía (2)'!$D$32:$D$35</c:f>
              <c:numCache>
                <c:formatCode>General</c:formatCode>
                <c:ptCount val="4"/>
                <c:pt idx="0">
                  <c:v>0.1</c:v>
                </c:pt>
                <c:pt idx="1">
                  <c:v>1</c:v>
                </c:pt>
                <c:pt idx="2">
                  <c:v>7</c:v>
                </c:pt>
                <c:pt idx="3">
                  <c:v>30</c:v>
                </c:pt>
              </c:numCache>
            </c:numRef>
          </c:xVal>
          <c:yVal>
            <c:numRef>
              <c:f>'Economía (2)'!$G$32:$G$35</c:f>
              <c:numCache>
                <c:formatCode>0.000</c:formatCode>
                <c:ptCount val="4"/>
                <c:pt idx="0">
                  <c:v>8.1716358162018429E-2</c:v>
                </c:pt>
                <c:pt idx="1">
                  <c:v>8.741965819706235E-2</c:v>
                </c:pt>
                <c:pt idx="2">
                  <c:v>0.1254416584306885</c:v>
                </c:pt>
                <c:pt idx="3">
                  <c:v>0.27119265932625547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0A9-461E-90A3-7DFA59FBB486}"/>
            </c:ext>
          </c:extLst>
        </c:ser>
        <c:ser>
          <c:idx val="3"/>
          <c:order val="3"/>
          <c:tx>
            <c:strRef>
              <c:f>'Economía (2)'!$H$31</c:f>
              <c:strCache>
                <c:ptCount val="1"/>
                <c:pt idx="0">
                  <c:v>Pb-Ac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'Economía (2)'!$D$32:$D$35</c:f>
              <c:numCache>
                <c:formatCode>General</c:formatCode>
                <c:ptCount val="4"/>
                <c:pt idx="0">
                  <c:v>0.1</c:v>
                </c:pt>
                <c:pt idx="1">
                  <c:v>1</c:v>
                </c:pt>
                <c:pt idx="2">
                  <c:v>7</c:v>
                </c:pt>
                <c:pt idx="3">
                  <c:v>30</c:v>
                </c:pt>
              </c:numCache>
            </c:numRef>
          </c:xVal>
          <c:yVal>
            <c:numRef>
              <c:f>'Economía (2)'!$H$32:$H$35</c:f>
              <c:numCache>
                <c:formatCode>0.000</c:formatCode>
                <c:ptCount val="4"/>
                <c:pt idx="0">
                  <c:v>9.3114364859517226E-2</c:v>
                </c:pt>
                <c:pt idx="1">
                  <c:v>0.19034428175702414</c:v>
                </c:pt>
                <c:pt idx="2">
                  <c:v>0.83854372774040375</c:v>
                </c:pt>
                <c:pt idx="3">
                  <c:v>3.3233082706766912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0A9-461E-90A3-7DFA59FBB486}"/>
            </c:ext>
          </c:extLst>
        </c:ser>
        <c:ser>
          <c:idx val="4"/>
          <c:order val="4"/>
          <c:tx>
            <c:strRef>
              <c:f>'Economía (2)'!$I$31</c:f>
              <c:strCache>
                <c:ptCount val="1"/>
                <c:pt idx="0">
                  <c:v>Li-ion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'Economía (2)'!$D$32:$D$35</c:f>
              <c:numCache>
                <c:formatCode>General</c:formatCode>
                <c:ptCount val="4"/>
                <c:pt idx="0">
                  <c:v>0.1</c:v>
                </c:pt>
                <c:pt idx="1">
                  <c:v>1</c:v>
                </c:pt>
                <c:pt idx="2">
                  <c:v>7</c:v>
                </c:pt>
                <c:pt idx="3">
                  <c:v>30</c:v>
                </c:pt>
              </c:numCache>
            </c:numRef>
          </c:xVal>
          <c:yVal>
            <c:numRef>
              <c:f>'Economía (2)'!$I$32:$I$35</c:f>
              <c:numCache>
                <c:formatCode>0.000</c:formatCode>
                <c:ptCount val="4"/>
                <c:pt idx="0">
                  <c:v>0.13136198024757428</c:v>
                </c:pt>
                <c:pt idx="1">
                  <c:v>0.44609184865408408</c:v>
                </c:pt>
                <c:pt idx="2">
                  <c:v>2.5442909713641497</c:v>
                </c:pt>
                <c:pt idx="3">
                  <c:v>10.5873876084194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0A9-461E-90A3-7DFA59FBB486}"/>
            </c:ext>
          </c:extLst>
        </c:ser>
        <c:ser>
          <c:idx val="5"/>
          <c:order val="5"/>
          <c:tx>
            <c:strRef>
              <c:f>'Economía (2)'!$J$31</c:f>
              <c:strCache>
                <c:ptCount val="1"/>
                <c:pt idx="0">
                  <c:v>Na-S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'Economía (2)'!$D$32:$D$35</c:f>
              <c:numCache>
                <c:formatCode>General</c:formatCode>
                <c:ptCount val="4"/>
                <c:pt idx="0">
                  <c:v>0.1</c:v>
                </c:pt>
                <c:pt idx="1">
                  <c:v>1</c:v>
                </c:pt>
                <c:pt idx="2">
                  <c:v>7</c:v>
                </c:pt>
                <c:pt idx="3">
                  <c:v>30</c:v>
                </c:pt>
              </c:numCache>
            </c:numRef>
          </c:xVal>
          <c:yVal>
            <c:numRef>
              <c:f>'Economía (2)'!$J$32:$J$35</c:f>
              <c:numCache>
                <c:formatCode>0.000</c:formatCode>
                <c:ptCount val="4"/>
                <c:pt idx="0">
                  <c:v>8.8340316090357349E-2</c:v>
                </c:pt>
                <c:pt idx="1">
                  <c:v>0.21814198001481383</c:v>
                </c:pt>
                <c:pt idx="2">
                  <c:v>1.0834864061778569</c:v>
                </c:pt>
                <c:pt idx="3">
                  <c:v>4.4006400398028553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0A9-461E-90A3-7DFA59FBB486}"/>
            </c:ext>
          </c:extLst>
        </c:ser>
        <c:ser>
          <c:idx val="6"/>
          <c:order val="6"/>
          <c:tx>
            <c:strRef>
              <c:f>'Economía (2)'!$K$31</c:f>
              <c:strCache>
                <c:ptCount val="1"/>
                <c:pt idx="0">
                  <c:v>VRB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'Economía (2)'!$D$32:$D$35</c:f>
              <c:numCache>
                <c:formatCode>General</c:formatCode>
                <c:ptCount val="4"/>
                <c:pt idx="0">
                  <c:v>0.1</c:v>
                </c:pt>
                <c:pt idx="1">
                  <c:v>1</c:v>
                </c:pt>
                <c:pt idx="2">
                  <c:v>7</c:v>
                </c:pt>
                <c:pt idx="3">
                  <c:v>30</c:v>
                </c:pt>
              </c:numCache>
            </c:numRef>
          </c:xVal>
          <c:yVal>
            <c:numRef>
              <c:f>'Economía (2)'!$K$32:$K$35</c:f>
              <c:numCache>
                <c:formatCode>0.000</c:formatCode>
                <c:ptCount val="4"/>
                <c:pt idx="0">
                  <c:v>9.3596537847448188E-2</c:v>
                </c:pt>
                <c:pt idx="1">
                  <c:v>0.20437424981815477</c:v>
                </c:pt>
                <c:pt idx="2">
                  <c:v>0.94289232962286551</c:v>
                </c:pt>
                <c:pt idx="3">
                  <c:v>3.773878302207589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0A9-461E-90A3-7DFA59FBB486}"/>
            </c:ext>
          </c:extLst>
        </c:ser>
        <c:ser>
          <c:idx val="8"/>
          <c:order val="8"/>
          <c:tx>
            <c:strRef>
              <c:f>'Economía (2)'!$M$31</c:f>
              <c:strCache>
                <c:ptCount val="1"/>
                <c:pt idx="0">
                  <c:v>SMES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'Economía (2)'!$D$32:$D$35</c:f>
              <c:numCache>
                <c:formatCode>General</c:formatCode>
                <c:ptCount val="4"/>
                <c:pt idx="0">
                  <c:v>0.1</c:v>
                </c:pt>
                <c:pt idx="1">
                  <c:v>1</c:v>
                </c:pt>
                <c:pt idx="2">
                  <c:v>7</c:v>
                </c:pt>
                <c:pt idx="3">
                  <c:v>30</c:v>
                </c:pt>
              </c:numCache>
            </c:numRef>
          </c:xVal>
          <c:yVal>
            <c:numRef>
              <c:f>'Economía (2)'!$M$32:$M$35</c:f>
              <c:numCache>
                <c:formatCode>0.000</c:formatCode>
                <c:ptCount val="4"/>
                <c:pt idx="0">
                  <c:v>0.20547080392970807</c:v>
                </c:pt>
                <c:pt idx="1">
                  <c:v>1.4990573543655736</c:v>
                </c:pt>
                <c:pt idx="2">
                  <c:v>10.122967690604675</c:v>
                </c:pt>
                <c:pt idx="3">
                  <c:v>43.181290646187904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7-80A9-461E-90A3-7DFA59FBB486}"/>
            </c:ext>
          </c:extLst>
        </c:ser>
        <c:ser>
          <c:idx val="9"/>
          <c:order val="9"/>
          <c:tx>
            <c:strRef>
              <c:f>'Economía (2)'!$N$31</c:f>
              <c:strCache>
                <c:ptCount val="1"/>
                <c:pt idx="0">
                  <c:v>Flywheel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'Economía (2)'!$D$32:$D$35</c:f>
              <c:numCache>
                <c:formatCode>General</c:formatCode>
                <c:ptCount val="4"/>
                <c:pt idx="0">
                  <c:v>0.1</c:v>
                </c:pt>
                <c:pt idx="1">
                  <c:v>1</c:v>
                </c:pt>
                <c:pt idx="2">
                  <c:v>7</c:v>
                </c:pt>
                <c:pt idx="3">
                  <c:v>30</c:v>
                </c:pt>
              </c:numCache>
            </c:numRef>
          </c:xVal>
          <c:yVal>
            <c:numRef>
              <c:f>'Economía (2)'!$N$32:$N$35</c:f>
              <c:numCache>
                <c:formatCode>0.000</c:formatCode>
                <c:ptCount val="4"/>
                <c:pt idx="0">
                  <c:v>0.12579389788293899</c:v>
                </c:pt>
                <c:pt idx="1">
                  <c:v>0.645283312577833</c:v>
                </c:pt>
                <c:pt idx="2">
                  <c:v>4.1085460772104607</c:v>
                </c:pt>
                <c:pt idx="3">
                  <c:v>17.384386674968866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8-80A9-461E-90A3-7DFA59FBB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9992447"/>
        <c:axId val="1389991007"/>
        <c:extLst>
          <c:ext xmlns:c15="http://schemas.microsoft.com/office/drawing/2012/chart" uri="{02D57815-91ED-43cb-92C2-25804820EDAC}">
            <c15:filteredScatte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'Economía (2)'!$L$31</c15:sqref>
                        </c15:formulaRef>
                      </c:ext>
                    </c:extLst>
                    <c:strCache>
                      <c:ptCount val="1"/>
                      <c:pt idx="0">
                        <c:v>SCESS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'Economía (2)'!$D$32:$D$35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0.1</c:v>
                      </c:pt>
                      <c:pt idx="1">
                        <c:v>1</c:v>
                      </c:pt>
                      <c:pt idx="2">
                        <c:v>7</c:v>
                      </c:pt>
                      <c:pt idx="3">
                        <c:v>30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'Economía (2)'!$L$32:$L$35</c15:sqref>
                        </c15:formulaRef>
                      </c:ext>
                    </c:extLst>
                    <c:numCache>
                      <c:formatCode>0.000</c:formatCode>
                      <c:ptCount val="4"/>
                      <c:pt idx="0">
                        <c:v>0.60398665261678974</c:v>
                      </c:pt>
                      <c:pt idx="1">
                        <c:v>5.4036705303828585</c:v>
                      </c:pt>
                      <c:pt idx="2">
                        <c:v>37.40156304882332</c:v>
                      </c:pt>
                      <c:pt idx="3">
                        <c:v>160.06015103617841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9-80A9-461E-90A3-7DFA59FBB486}"/>
                  </c:ext>
                </c:extLst>
              </c15:ser>
            </c15:filteredScatterSeries>
          </c:ext>
        </c:extLst>
      </c:scatterChart>
      <c:valAx>
        <c:axId val="1389992447"/>
        <c:scaling>
          <c:orientation val="minMax"/>
          <c:max val="2"/>
        </c:scaling>
        <c:delete val="0"/>
        <c:axPos val="b"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89991007"/>
        <c:crosses val="autoZero"/>
        <c:crossBetween val="midCat"/>
        <c:majorUnit val="0.2"/>
        <c:minorUnit val="0.1"/>
      </c:valAx>
      <c:valAx>
        <c:axId val="1389991007"/>
        <c:scaling>
          <c:orientation val="minMax"/>
          <c:max val="0.4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899924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050" b="1"/>
              <a:t>LCOE</a:t>
            </a:r>
            <a:r>
              <a:rPr lang="es-ES" sz="1050"/>
              <a:t> (</a:t>
            </a:r>
            <a:r>
              <a:rPr lang="es-ES" sz="1050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€</a:t>
            </a:r>
            <a:r>
              <a:rPr lang="es-ES" sz="1050"/>
              <a:t>/kWh) vs </a:t>
            </a:r>
            <a:r>
              <a:rPr lang="es-ES" sz="1050" b="1"/>
              <a:t>h</a:t>
            </a:r>
            <a:r>
              <a:rPr lang="es-ES" sz="1050" baseline="-25000"/>
              <a:t> </a:t>
            </a:r>
            <a:r>
              <a:rPr lang="es-ES" sz="1050"/>
              <a:t>(días) para C</a:t>
            </a:r>
            <a:r>
              <a:rPr lang="es-ES" sz="1050" baseline="-25000"/>
              <a:t>w</a:t>
            </a:r>
            <a:r>
              <a:rPr lang="es-ES" sz="1050" b="1" baseline="-25000"/>
              <a:t> </a:t>
            </a:r>
            <a:r>
              <a:rPr lang="es-ES" sz="1050"/>
              <a:t>= 0,10 </a:t>
            </a:r>
            <a:r>
              <a:rPr lang="es-ES" sz="1050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€/kWh</a:t>
            </a:r>
            <a:endParaRPr lang="es-ES" sz="1050"/>
          </a:p>
        </c:rich>
      </c:tx>
      <c:layout>
        <c:manualLayout>
          <c:xMode val="edge"/>
          <c:yMode val="edge"/>
          <c:x val="0.1774652230971128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7.8372703412073488E-2"/>
          <c:y val="0.13342592592592592"/>
          <c:w val="0.70689063867016622"/>
          <c:h val="0.7591746864975211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'Economía (2)'!$E$37</c:f>
              <c:strCache>
                <c:ptCount val="1"/>
                <c:pt idx="0">
                  <c:v>PHS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'Economía (2)'!$D$38:$D$41</c:f>
              <c:numCache>
                <c:formatCode>General</c:formatCode>
                <c:ptCount val="4"/>
                <c:pt idx="0">
                  <c:v>0.1</c:v>
                </c:pt>
                <c:pt idx="1">
                  <c:v>1</c:v>
                </c:pt>
                <c:pt idx="2">
                  <c:v>7</c:v>
                </c:pt>
                <c:pt idx="3">
                  <c:v>30</c:v>
                </c:pt>
              </c:numCache>
            </c:numRef>
          </c:xVal>
          <c:yVal>
            <c:numRef>
              <c:f>'Economía (2)'!$E$38:$E$41</c:f>
              <c:numCache>
                <c:formatCode>0.000</c:formatCode>
                <c:ptCount val="4"/>
                <c:pt idx="0">
                  <c:v>0.1449646667616106</c:v>
                </c:pt>
                <c:pt idx="1">
                  <c:v>0.1505931214600004</c:v>
                </c:pt>
                <c:pt idx="2">
                  <c:v>0.18811615278259916</c:v>
                </c:pt>
                <c:pt idx="3">
                  <c:v>0.33195443951922765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BFA-4F89-B6EF-AB20790D5870}"/>
            </c:ext>
          </c:extLst>
        </c:ser>
        <c:ser>
          <c:idx val="1"/>
          <c:order val="1"/>
          <c:tx>
            <c:strRef>
              <c:f>'Economía (2)'!$F$37</c:f>
              <c:strCache>
                <c:ptCount val="1"/>
                <c:pt idx="0">
                  <c:v>HESS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'Economía (2)'!$D$38:$D$41</c:f>
              <c:numCache>
                <c:formatCode>General</c:formatCode>
                <c:ptCount val="4"/>
                <c:pt idx="0">
                  <c:v>0.1</c:v>
                </c:pt>
                <c:pt idx="1">
                  <c:v>1</c:v>
                </c:pt>
                <c:pt idx="2">
                  <c:v>7</c:v>
                </c:pt>
                <c:pt idx="3">
                  <c:v>30</c:v>
                </c:pt>
              </c:numCache>
            </c:numRef>
          </c:xVal>
          <c:yVal>
            <c:numRef>
              <c:f>'Economía (2)'!$F$38:$F$41</c:f>
              <c:numCache>
                <c:formatCode>0.000</c:formatCode>
                <c:ptCount val="4"/>
                <c:pt idx="0">
                  <c:v>0.29298966594568615</c:v>
                </c:pt>
                <c:pt idx="1">
                  <c:v>0.2992189377553473</c:v>
                </c:pt>
                <c:pt idx="2">
                  <c:v>0.34074741648642148</c:v>
                </c:pt>
                <c:pt idx="3">
                  <c:v>0.49993991828887291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BFA-4F89-B6EF-AB20790D5870}"/>
            </c:ext>
          </c:extLst>
        </c:ser>
        <c:ser>
          <c:idx val="2"/>
          <c:order val="2"/>
          <c:tx>
            <c:strRef>
              <c:f>'Economía (2)'!$G$37</c:f>
              <c:strCache>
                <c:ptCount val="1"/>
                <c:pt idx="0">
                  <c:v>CAES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'Economía (2)'!$D$38:$D$41</c:f>
              <c:numCache>
                <c:formatCode>General</c:formatCode>
                <c:ptCount val="4"/>
                <c:pt idx="0">
                  <c:v>0.1</c:v>
                </c:pt>
                <c:pt idx="1">
                  <c:v>1</c:v>
                </c:pt>
                <c:pt idx="2">
                  <c:v>7</c:v>
                </c:pt>
                <c:pt idx="3">
                  <c:v>30</c:v>
                </c:pt>
              </c:numCache>
            </c:numRef>
          </c:xVal>
          <c:yVal>
            <c:numRef>
              <c:f>'Economía (2)'!$G$38:$G$41</c:f>
              <c:numCache>
                <c:formatCode>0.000</c:formatCode>
                <c:ptCount val="4"/>
                <c:pt idx="0">
                  <c:v>0.15213889337328604</c:v>
                </c:pt>
                <c:pt idx="1">
                  <c:v>0.15784219340832994</c:v>
                </c:pt>
                <c:pt idx="2">
                  <c:v>0.19586419364195612</c:v>
                </c:pt>
                <c:pt idx="3">
                  <c:v>0.34161519453752309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BFA-4F89-B6EF-AB20790D5870}"/>
            </c:ext>
          </c:extLst>
        </c:ser>
        <c:ser>
          <c:idx val="3"/>
          <c:order val="3"/>
          <c:tx>
            <c:strRef>
              <c:f>'Economía (2)'!$H$37</c:f>
              <c:strCache>
                <c:ptCount val="1"/>
                <c:pt idx="0">
                  <c:v>Pb-Ac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'Economía (2)'!$D$38:$D$41</c:f>
              <c:numCache>
                <c:formatCode>General</c:formatCode>
                <c:ptCount val="4"/>
                <c:pt idx="0">
                  <c:v>0.1</c:v>
                </c:pt>
                <c:pt idx="1">
                  <c:v>1</c:v>
                </c:pt>
                <c:pt idx="2">
                  <c:v>7</c:v>
                </c:pt>
                <c:pt idx="3">
                  <c:v>30</c:v>
                </c:pt>
              </c:numCache>
            </c:numRef>
          </c:xVal>
          <c:yVal>
            <c:numRef>
              <c:f>'Economía (2)'!$H$38:$H$41</c:f>
              <c:numCache>
                <c:formatCode>0.000</c:formatCode>
                <c:ptCount val="4"/>
                <c:pt idx="0">
                  <c:v>0.15890383854372775</c:v>
                </c:pt>
                <c:pt idx="1">
                  <c:v>0.25613375544123468</c:v>
                </c:pt>
                <c:pt idx="2">
                  <c:v>0.90433320142461426</c:v>
                </c:pt>
                <c:pt idx="3">
                  <c:v>3.3890977443609018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BFA-4F89-B6EF-AB20790D5870}"/>
            </c:ext>
          </c:extLst>
        </c:ser>
        <c:ser>
          <c:idx val="4"/>
          <c:order val="4"/>
          <c:tx>
            <c:strRef>
              <c:f>'Economía (2)'!$I$37</c:f>
              <c:strCache>
                <c:ptCount val="1"/>
                <c:pt idx="0">
                  <c:v>Li-ion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'Economía (2)'!$D$38:$D$41</c:f>
              <c:numCache>
                <c:formatCode>General</c:formatCode>
                <c:ptCount val="4"/>
                <c:pt idx="0">
                  <c:v>0.1</c:v>
                </c:pt>
                <c:pt idx="1">
                  <c:v>1</c:v>
                </c:pt>
                <c:pt idx="2">
                  <c:v>7</c:v>
                </c:pt>
                <c:pt idx="3">
                  <c:v>30</c:v>
                </c:pt>
              </c:numCache>
            </c:numRef>
          </c:xVal>
          <c:yVal>
            <c:numRef>
              <c:f>'Economía (2)'!$I$38:$I$41</c:f>
              <c:numCache>
                <c:formatCode>0.000</c:formatCode>
                <c:ptCount val="4"/>
                <c:pt idx="0">
                  <c:v>0.18950151513129521</c:v>
                </c:pt>
                <c:pt idx="1">
                  <c:v>0.50423138353780494</c:v>
                </c:pt>
                <c:pt idx="2">
                  <c:v>2.6024305062478708</c:v>
                </c:pt>
                <c:pt idx="3">
                  <c:v>10.645527143303122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BFA-4F89-B6EF-AB20790D5870}"/>
            </c:ext>
          </c:extLst>
        </c:ser>
        <c:ser>
          <c:idx val="5"/>
          <c:order val="5"/>
          <c:tx>
            <c:strRef>
              <c:f>'Economía (2)'!$J$37</c:f>
              <c:strCache>
                <c:ptCount val="1"/>
                <c:pt idx="0">
                  <c:v>Na-S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'Economía (2)'!$D$38:$D$41</c:f>
              <c:numCache>
                <c:formatCode>General</c:formatCode>
                <c:ptCount val="4"/>
                <c:pt idx="0">
                  <c:v>0.1</c:v>
                </c:pt>
                <c:pt idx="1">
                  <c:v>1</c:v>
                </c:pt>
                <c:pt idx="2">
                  <c:v>7</c:v>
                </c:pt>
                <c:pt idx="3">
                  <c:v>30</c:v>
                </c:pt>
              </c:numCache>
            </c:numRef>
          </c:xVal>
          <c:yVal>
            <c:numRef>
              <c:f>'Economía (2)'!$J$38:$J$41</c:f>
              <c:numCache>
                <c:formatCode>0.000</c:formatCode>
                <c:ptCount val="4"/>
                <c:pt idx="0">
                  <c:v>0.14858127994577902</c:v>
                </c:pt>
                <c:pt idx="1">
                  <c:v>0.27838294387023549</c:v>
                </c:pt>
                <c:pt idx="2">
                  <c:v>1.1437273700332786</c:v>
                </c:pt>
                <c:pt idx="3">
                  <c:v>4.4608810036582769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BFA-4F89-B6EF-AB20790D5870}"/>
            </c:ext>
          </c:extLst>
        </c:ser>
        <c:ser>
          <c:idx val="6"/>
          <c:order val="6"/>
          <c:tx>
            <c:strRef>
              <c:f>'Economía (2)'!$K$37</c:f>
              <c:strCache>
                <c:ptCount val="1"/>
                <c:pt idx="0">
                  <c:v>VRB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'Economía (2)'!$D$38:$D$41</c:f>
              <c:numCache>
                <c:formatCode>General</c:formatCode>
                <c:ptCount val="4"/>
                <c:pt idx="0">
                  <c:v>0.1</c:v>
                </c:pt>
                <c:pt idx="1">
                  <c:v>1</c:v>
                </c:pt>
                <c:pt idx="2">
                  <c:v>7</c:v>
                </c:pt>
                <c:pt idx="3">
                  <c:v>30</c:v>
                </c:pt>
              </c:numCache>
            </c:numRef>
          </c:xVal>
          <c:yVal>
            <c:numRef>
              <c:f>'Economía (2)'!$K$38:$K$41</c:f>
              <c:numCache>
                <c:formatCode>0.000</c:formatCode>
                <c:ptCount val="4"/>
                <c:pt idx="0">
                  <c:v>0.15853160278251313</c:v>
                </c:pt>
                <c:pt idx="1">
                  <c:v>0.26930931475321973</c:v>
                </c:pt>
                <c:pt idx="2">
                  <c:v>1.0078273945579304</c:v>
                </c:pt>
                <c:pt idx="3">
                  <c:v>3.8388133671426541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BFA-4F89-B6EF-AB20790D5870}"/>
            </c:ext>
          </c:extLst>
        </c:ser>
        <c:ser>
          <c:idx val="8"/>
          <c:order val="8"/>
          <c:tx>
            <c:strRef>
              <c:f>'Economía (2)'!$M$37</c:f>
              <c:strCache>
                <c:ptCount val="1"/>
                <c:pt idx="0">
                  <c:v>SMES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'Economía (2)'!$D$38:$D$41</c:f>
              <c:numCache>
                <c:formatCode>General</c:formatCode>
                <c:ptCount val="4"/>
                <c:pt idx="0">
                  <c:v>0.1</c:v>
                </c:pt>
                <c:pt idx="1">
                  <c:v>1</c:v>
                </c:pt>
                <c:pt idx="2">
                  <c:v>7</c:v>
                </c:pt>
                <c:pt idx="3">
                  <c:v>30</c:v>
                </c:pt>
              </c:numCache>
            </c:numRef>
          </c:xVal>
          <c:yVal>
            <c:numRef>
              <c:f>'Economía (2)'!$M$38:$M$41</c:f>
              <c:numCache>
                <c:formatCode>0.000</c:formatCode>
                <c:ptCount val="4"/>
                <c:pt idx="0">
                  <c:v>0.26228898574788989</c:v>
                </c:pt>
                <c:pt idx="1">
                  <c:v>1.5558755361837555</c:v>
                </c:pt>
                <c:pt idx="2">
                  <c:v>10.179785872422856</c:v>
                </c:pt>
                <c:pt idx="3">
                  <c:v>43.238108828006091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7-ABFA-4F89-B6EF-AB20790D5870}"/>
            </c:ext>
          </c:extLst>
        </c:ser>
        <c:ser>
          <c:idx val="9"/>
          <c:order val="9"/>
          <c:tx>
            <c:strRef>
              <c:f>'Economía (2)'!$N$37</c:f>
              <c:strCache>
                <c:ptCount val="1"/>
                <c:pt idx="0">
                  <c:v>Flywheel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'Economía (2)'!$D$38:$D$41</c:f>
              <c:numCache>
                <c:formatCode>General</c:formatCode>
                <c:ptCount val="4"/>
                <c:pt idx="0">
                  <c:v>0.1</c:v>
                </c:pt>
                <c:pt idx="1">
                  <c:v>1</c:v>
                </c:pt>
                <c:pt idx="2">
                  <c:v>7</c:v>
                </c:pt>
                <c:pt idx="3">
                  <c:v>30</c:v>
                </c:pt>
              </c:numCache>
            </c:numRef>
          </c:xVal>
          <c:yVal>
            <c:numRef>
              <c:f>'Economía (2)'!$N$38:$N$41</c:f>
              <c:numCache>
                <c:formatCode>0.000</c:formatCode>
                <c:ptCount val="4"/>
                <c:pt idx="0">
                  <c:v>0.18261207970112081</c:v>
                </c:pt>
                <c:pt idx="1">
                  <c:v>0.70210149439601477</c:v>
                </c:pt>
                <c:pt idx="2">
                  <c:v>4.1653642590286424</c:v>
                </c:pt>
                <c:pt idx="3">
                  <c:v>17.441204856787046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8-ABFA-4F89-B6EF-AB20790D58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2576735"/>
        <c:axId val="1612574815"/>
        <c:extLst>
          <c:ext xmlns:c15="http://schemas.microsoft.com/office/drawing/2012/chart" uri="{02D57815-91ED-43cb-92C2-25804820EDAC}">
            <c15:filteredScatte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'Economía (2)'!$L$37</c15:sqref>
                        </c15:formulaRef>
                      </c:ext>
                    </c:extLst>
                    <c:strCache>
                      <c:ptCount val="1"/>
                      <c:pt idx="0">
                        <c:v>SCESS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'Economía (2)'!$D$38:$D$41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0.1</c:v>
                      </c:pt>
                      <c:pt idx="1">
                        <c:v>1</c:v>
                      </c:pt>
                      <c:pt idx="2">
                        <c:v>7</c:v>
                      </c:pt>
                      <c:pt idx="3">
                        <c:v>30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'Economía (2)'!$L$38:$L$41</c15:sqref>
                        </c15:formulaRef>
                      </c:ext>
                    </c:extLst>
                    <c:numCache>
                      <c:formatCode>0.000</c:formatCode>
                      <c:ptCount val="4"/>
                      <c:pt idx="0">
                        <c:v>0.66808921671935384</c:v>
                      </c:pt>
                      <c:pt idx="1">
                        <c:v>5.4677730944854224</c:v>
                      </c:pt>
                      <c:pt idx="2">
                        <c:v>37.465665612925889</c:v>
                      </c:pt>
                      <c:pt idx="3">
                        <c:v>160.12425360028098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9-ABFA-4F89-B6EF-AB20790D5870}"/>
                  </c:ext>
                </c:extLst>
              </c15:ser>
            </c15:filteredScatterSeries>
          </c:ext>
        </c:extLst>
      </c:scatterChart>
      <c:valAx>
        <c:axId val="1612576735"/>
        <c:scaling>
          <c:orientation val="minMax"/>
          <c:max val="2"/>
        </c:scaling>
        <c:delete val="0"/>
        <c:axPos val="b"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12574815"/>
        <c:crosses val="autoZero"/>
        <c:crossBetween val="midCat"/>
        <c:majorUnit val="0.2"/>
        <c:minorUnit val="0.1"/>
      </c:valAx>
      <c:valAx>
        <c:axId val="1612574815"/>
        <c:scaling>
          <c:orientation val="minMax"/>
          <c:max val="0.4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125767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>
                <a:solidFill>
                  <a:schemeClr val="tx2"/>
                </a:solidFill>
              </a:defRPr>
            </a:pPr>
            <a:r>
              <a:rPr lang="en-US" sz="1200">
                <a:solidFill>
                  <a:schemeClr val="tx2"/>
                </a:solidFill>
              </a:rPr>
              <a:t>P</a:t>
            </a:r>
            <a:r>
              <a:rPr lang="en-US" sz="1200" baseline="-25000">
                <a:solidFill>
                  <a:schemeClr val="tx2"/>
                </a:solidFill>
              </a:rPr>
              <a:t>PV</a:t>
            </a:r>
            <a:r>
              <a:rPr lang="en-US" sz="1200">
                <a:solidFill>
                  <a:schemeClr val="tx2"/>
                </a:solidFill>
              </a:rPr>
              <a:t>/P</a:t>
            </a:r>
            <a:r>
              <a:rPr lang="en-US" sz="1200" baseline="-25000">
                <a:solidFill>
                  <a:schemeClr val="tx2"/>
                </a:solidFill>
              </a:rPr>
              <a:t>PV</a:t>
            </a:r>
            <a:r>
              <a:rPr lang="en-US" sz="1200" baseline="30000">
                <a:solidFill>
                  <a:schemeClr val="tx2"/>
                </a:solidFill>
              </a:rPr>
              <a:t>max</a:t>
            </a:r>
            <a:endParaRPr lang="en-US" sz="1200" b="0">
              <a:solidFill>
                <a:schemeClr val="tx2"/>
              </a:solidFill>
            </a:endParaRPr>
          </a:p>
        </c:rich>
      </c:tx>
      <c:layout>
        <c:manualLayout>
          <c:xMode val="edge"/>
          <c:yMode val="edge"/>
          <c:x val="0.43084176977877764"/>
          <c:y val="0.34240278912311378"/>
        </c:manualLayout>
      </c:layout>
      <c:overlay val="0"/>
      <c:spPr>
        <a:solidFill>
          <a:schemeClr val="bg1"/>
        </a:solidFill>
      </c:spPr>
    </c:title>
    <c:autoTitleDeleted val="0"/>
    <c:plotArea>
      <c:layout>
        <c:manualLayout>
          <c:layoutTarget val="inner"/>
          <c:xMode val="edge"/>
          <c:yMode val="edge"/>
          <c:x val="0.10249183137822059"/>
          <c:y val="5.1946470327157553E-2"/>
          <c:w val="0.84795248808184687"/>
          <c:h val="0.854134344917150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'Solar-H2 (3)'!$C$7</c:f>
              <c:strCache>
                <c:ptCount val="1"/>
                <c:pt idx="0">
                  <c:v>PPV/PPVmax</c:v>
                </c:pt>
              </c:strCache>
            </c:strRef>
          </c:tx>
          <c:spPr>
            <a:ln w="38100"/>
          </c:spPr>
          <c:marker>
            <c:symbol val="circle"/>
            <c:size val="2"/>
          </c:marker>
          <c:xVal>
            <c:numRef>
              <c:f>'Solar-H2 (3)'!$B$8:$B$81</c:f>
              <c:numCache>
                <c:formatCode>General</c:formatCode>
                <c:ptCount val="74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  <c:pt idx="73">
                  <c:v>365</c:v>
                </c:pt>
              </c:numCache>
            </c:numRef>
          </c:xVal>
          <c:yVal>
            <c:numRef>
              <c:f>'Solar-H2 (3)'!$C$8:$C$81</c:f>
              <c:numCache>
                <c:formatCode>0.000</c:formatCode>
                <c:ptCount val="74"/>
                <c:pt idx="0">
                  <c:v>0.46092715231788078</c:v>
                </c:pt>
                <c:pt idx="1">
                  <c:v>0.46192492900769178</c:v>
                </c:pt>
                <c:pt idx="2">
                  <c:v>0.46491087188760483</c:v>
                </c:pt>
                <c:pt idx="3">
                  <c:v>0.46986287408122651</c:v>
                </c:pt>
                <c:pt idx="4">
                  <c:v>0.47674427269686831</c:v>
                </c:pt>
                <c:pt idx="5">
                  <c:v>0.4855041202667697</c:v>
                </c:pt>
                <c:pt idx="6">
                  <c:v>0.49607756194432401</c:v>
                </c:pt>
                <c:pt idx="7">
                  <c:v>0.50838631566667236</c:v>
                </c:pt>
                <c:pt idx="8">
                  <c:v>0.52233925172770868</c:v>
                </c:pt>
                <c:pt idx="9">
                  <c:v>0.53783306747053961</c:v>
                </c:pt>
                <c:pt idx="10">
                  <c:v>0.55475305210421455</c:v>
                </c:pt>
                <c:pt idx="11">
                  <c:v>0.57297393598228741</c:v>
                </c:pt>
                <c:pt idx="12">
                  <c:v>0.59236081805545127</c:v>
                </c:pt>
                <c:pt idx="13">
                  <c:v>0.61277016463170986</c:v>
                </c:pt>
                <c:pt idx="14">
                  <c:v>0.63405087204961441</c:v>
                </c:pt>
                <c:pt idx="15">
                  <c:v>0.65604538539690727</c:v>
                </c:pt>
                <c:pt idx="16">
                  <c:v>0.67859086499196819</c:v>
                </c:pt>
                <c:pt idx="17">
                  <c:v>0.7015203919918449</c:v>
                </c:pt>
                <c:pt idx="18">
                  <c:v>0.72466420420096511</c:v>
                </c:pt>
                <c:pt idx="19">
                  <c:v>0.74785095293104098</c:v>
                </c:pt>
                <c:pt idx="20">
                  <c:v>0.77090897160680361</c:v>
                </c:pt>
                <c:pt idx="21">
                  <c:v>0.79366754672526918</c:v>
                </c:pt>
                <c:pt idx="22">
                  <c:v>0.81595818175878532</c:v>
                </c:pt>
                <c:pt idx="23">
                  <c:v>0.83761584464437089</c:v>
                </c:pt>
                <c:pt idx="24">
                  <c:v>0.85848018962337025</c:v>
                </c:pt>
                <c:pt idx="25">
                  <c:v>0.87839674438535131</c:v>
                </c:pt>
                <c:pt idx="26">
                  <c:v>0.89721805372704544</c:v>
                </c:pt>
                <c:pt idx="27">
                  <c:v>0.91480477125908366</c:v>
                </c:pt>
                <c:pt idx="28">
                  <c:v>0.93102669107790981</c:v>
                </c:pt>
                <c:pt idx="29">
                  <c:v>0.94576371176473528</c:v>
                </c:pt>
                <c:pt idx="30">
                  <c:v>0.95890672557442536</c:v>
                </c:pt>
                <c:pt idx="31">
                  <c:v>0.97035842623106849</c:v>
                </c:pt>
                <c:pt idx="32">
                  <c:v>0.98003402934960038</c:v>
                </c:pt>
                <c:pt idx="33">
                  <c:v>0.98786190014972752</c:v>
                </c:pt>
                <c:pt idx="34">
                  <c:v>0.99378408381477668</c:v>
                </c:pt>
                <c:pt idx="35">
                  <c:v>0.99775673456888136</c:v>
                </c:pt>
                <c:pt idx="36">
                  <c:v>0.99975044029576665</c:v>
                </c:pt>
                <c:pt idx="37">
                  <c:v>0.99975044029576665</c:v>
                </c:pt>
                <c:pt idx="38">
                  <c:v>0.99775673456888136</c:v>
                </c:pt>
                <c:pt idx="39">
                  <c:v>0.99378408381477668</c:v>
                </c:pt>
                <c:pt idx="40">
                  <c:v>0.98786190014972775</c:v>
                </c:pt>
                <c:pt idx="41">
                  <c:v>0.9800340293496006</c:v>
                </c:pt>
                <c:pt idx="42">
                  <c:v>0.97035842623106849</c:v>
                </c:pt>
                <c:pt idx="43">
                  <c:v>0.95890672557442536</c:v>
                </c:pt>
                <c:pt idx="44">
                  <c:v>0.9457637117647355</c:v>
                </c:pt>
                <c:pt idx="45">
                  <c:v>0.9310266910779097</c:v>
                </c:pt>
                <c:pt idx="46">
                  <c:v>0.91480477125908366</c:v>
                </c:pt>
                <c:pt idx="47">
                  <c:v>0.89721805372704577</c:v>
                </c:pt>
                <c:pt idx="48">
                  <c:v>0.87839674438535142</c:v>
                </c:pt>
                <c:pt idx="49">
                  <c:v>0.85848018962337047</c:v>
                </c:pt>
                <c:pt idx="50">
                  <c:v>0.837615844644371</c:v>
                </c:pt>
                <c:pt idx="51">
                  <c:v>0.81595818175878576</c:v>
                </c:pt>
                <c:pt idx="52">
                  <c:v>0.7936675467252694</c:v>
                </c:pt>
                <c:pt idx="53">
                  <c:v>0.77090897160680372</c:v>
                </c:pt>
                <c:pt idx="54">
                  <c:v>0.74785095293104109</c:v>
                </c:pt>
                <c:pt idx="55">
                  <c:v>0.72466420420096544</c:v>
                </c:pt>
                <c:pt idx="56">
                  <c:v>0.70152039199184479</c:v>
                </c:pt>
                <c:pt idx="57">
                  <c:v>0.6785908649919683</c:v>
                </c:pt>
                <c:pt idx="58">
                  <c:v>0.65604538539690771</c:v>
                </c:pt>
                <c:pt idx="59">
                  <c:v>0.63405087204961452</c:v>
                </c:pt>
                <c:pt idx="60">
                  <c:v>0.61277016463170975</c:v>
                </c:pt>
                <c:pt idx="61">
                  <c:v>0.59236081805545138</c:v>
                </c:pt>
                <c:pt idx="62">
                  <c:v>0.57297393598228763</c:v>
                </c:pt>
                <c:pt idx="63">
                  <c:v>0.55475305210421455</c:v>
                </c:pt>
                <c:pt idx="64">
                  <c:v>0.53783306747053949</c:v>
                </c:pt>
                <c:pt idx="65">
                  <c:v>0.52233925172770868</c:v>
                </c:pt>
                <c:pt idx="66">
                  <c:v>0.50838631566667258</c:v>
                </c:pt>
                <c:pt idx="67">
                  <c:v>0.49607756194432406</c:v>
                </c:pt>
                <c:pt idx="68">
                  <c:v>0.48550412026676965</c:v>
                </c:pt>
                <c:pt idx="69">
                  <c:v>0.47674427269686837</c:v>
                </c:pt>
                <c:pt idx="70">
                  <c:v>0.46986287408122657</c:v>
                </c:pt>
                <c:pt idx="71">
                  <c:v>0.46491087188760488</c:v>
                </c:pt>
                <c:pt idx="72">
                  <c:v>0.46192492900769178</c:v>
                </c:pt>
                <c:pt idx="73">
                  <c:v>0.46092715231788078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8E4-411D-9610-7808A348CBB1}"/>
            </c:ext>
          </c:extLst>
        </c:ser>
        <c:ser>
          <c:idx val="3"/>
          <c:order val="1"/>
          <c:tx>
            <c:strRef>
              <c:f>'Solar-H2 (3)'!$H$2</c:f>
              <c:strCache>
                <c:ptCount val="1"/>
                <c:pt idx="0">
                  <c:v>LR (L/PPVmax)</c:v>
                </c:pt>
              </c:strCache>
            </c:strRef>
          </c:tx>
          <c:spPr>
            <a:ln w="38100">
              <a:solidFill>
                <a:srgbClr val="C00000"/>
              </a:solidFill>
            </a:ln>
          </c:spPr>
          <c:marker>
            <c:symbol val="circle"/>
            <c:size val="5"/>
            <c:spPr>
              <a:noFill/>
              <a:ln>
                <a:solidFill>
                  <a:srgbClr val="C00000"/>
                </a:solidFill>
              </a:ln>
            </c:spPr>
          </c:marker>
          <c:dPt>
            <c:idx val="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1-D8E4-411D-9610-7808A348CBB1}"/>
              </c:ext>
            </c:extLst>
          </c:dPt>
          <c:dPt>
            <c:idx val="1"/>
            <c:marker>
              <c:symbol val="circle"/>
              <c:size val="7"/>
              <c:spPr>
                <a:noFill/>
                <a:ln>
                  <a:solidFill>
                    <a:schemeClr val="tx2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D8E4-411D-9610-7808A348CBB1}"/>
              </c:ext>
            </c:extLst>
          </c:dPt>
          <c:dPt>
            <c:idx val="2"/>
            <c:marker>
              <c:symbol val="circle"/>
              <c:size val="7"/>
              <c:spPr>
                <a:noFill/>
                <a:ln>
                  <a:solidFill>
                    <a:schemeClr val="tx2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D8E4-411D-9610-7808A348CBB1}"/>
              </c:ext>
            </c:extLst>
          </c:dPt>
          <c:dPt>
            <c:idx val="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4-D8E4-411D-9610-7808A348CBB1}"/>
              </c:ext>
            </c:extLst>
          </c:dPt>
          <c:xVal>
            <c:numRef>
              <c:f>'Solar-H2 (3)'!$F$3:$F$6</c:f>
              <c:numCache>
                <c:formatCode>0.0</c:formatCode>
                <c:ptCount val="4"/>
                <c:pt idx="0">
                  <c:v>0</c:v>
                </c:pt>
                <c:pt idx="1">
                  <c:v>74.52730153192266</c:v>
                </c:pt>
                <c:pt idx="2">
                  <c:v>290.47269846807734</c:v>
                </c:pt>
                <c:pt idx="3">
                  <c:v>365</c:v>
                </c:pt>
              </c:numCache>
            </c:numRef>
          </c:xVal>
          <c:yVal>
            <c:numRef>
              <c:f>'Solar-H2 (3)'!$H$3:$H$6</c:f>
              <c:numCache>
                <c:formatCode>0.000</c:formatCode>
                <c:ptCount val="4"/>
                <c:pt idx="0">
                  <c:v>0.65393987193161796</c:v>
                </c:pt>
                <c:pt idx="1">
                  <c:v>0.65393987193161796</c:v>
                </c:pt>
                <c:pt idx="2">
                  <c:v>0.65393987193161807</c:v>
                </c:pt>
                <c:pt idx="3">
                  <c:v>0.65393987193161807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8E4-411D-9610-7808A348CBB1}"/>
            </c:ext>
          </c:extLst>
        </c:ser>
        <c:ser>
          <c:idx val="1"/>
          <c:order val="2"/>
          <c:tx>
            <c:strRef>
              <c:f>'Solar-H2 (3)'!$D$7</c:f>
              <c:strCache>
                <c:ptCount val="1"/>
                <c:pt idx="0">
                  <c:v>(+ CR)</c:v>
                </c:pt>
              </c:strCache>
            </c:strRef>
          </c:tx>
          <c:spPr>
            <a:ln w="19050">
              <a:solidFill>
                <a:schemeClr val="accent1"/>
              </a:solidFill>
              <a:prstDash val="sysDot"/>
            </a:ln>
          </c:spPr>
          <c:marker>
            <c:symbol val="none"/>
          </c:marker>
          <c:xVal>
            <c:numRef>
              <c:f>'Solar-H2 (3)'!$B$8:$B$81</c:f>
              <c:numCache>
                <c:formatCode>General</c:formatCode>
                <c:ptCount val="74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  <c:pt idx="73">
                  <c:v>365</c:v>
                </c:pt>
              </c:numCache>
            </c:numRef>
          </c:xVal>
          <c:yVal>
            <c:numRef>
              <c:f>'Solar-H2 (3)'!$D$8:$D$81</c:f>
              <c:numCache>
                <c:formatCode>0.000</c:formatCode>
                <c:ptCount val="74"/>
                <c:pt idx="0">
                  <c:v>0.65393987193161796</c:v>
                </c:pt>
                <c:pt idx="1">
                  <c:v>0.65493764862142889</c:v>
                </c:pt>
                <c:pt idx="2">
                  <c:v>0.65792359150134194</c:v>
                </c:pt>
                <c:pt idx="3">
                  <c:v>0.66287559369496374</c:v>
                </c:pt>
                <c:pt idx="4">
                  <c:v>0.66975699231060548</c:v>
                </c:pt>
                <c:pt idx="5">
                  <c:v>0.67851683988050682</c:v>
                </c:pt>
                <c:pt idx="6">
                  <c:v>0.68909028155806118</c:v>
                </c:pt>
                <c:pt idx="7">
                  <c:v>0.70139903528040959</c:v>
                </c:pt>
                <c:pt idx="8">
                  <c:v>0.71535197134144579</c:v>
                </c:pt>
                <c:pt idx="9">
                  <c:v>0.73084578708427683</c:v>
                </c:pt>
                <c:pt idx="10">
                  <c:v>0.74776577171795178</c:v>
                </c:pt>
                <c:pt idx="11">
                  <c:v>0.76598665559602463</c:v>
                </c:pt>
                <c:pt idx="12">
                  <c:v>0.78537353766918838</c:v>
                </c:pt>
                <c:pt idx="13">
                  <c:v>0.80578288424544708</c:v>
                </c:pt>
                <c:pt idx="14">
                  <c:v>0.82706359166335153</c:v>
                </c:pt>
                <c:pt idx="15">
                  <c:v>0.84905810501064449</c:v>
                </c:pt>
                <c:pt idx="16">
                  <c:v>0.87160358460570531</c:v>
                </c:pt>
                <c:pt idx="17">
                  <c:v>0.89453311160558213</c:v>
                </c:pt>
                <c:pt idx="18">
                  <c:v>0.91767692381470223</c:v>
                </c:pt>
                <c:pt idx="19">
                  <c:v>0.9408636725447781</c:v>
                </c:pt>
                <c:pt idx="20">
                  <c:v>0.96392169122054083</c:v>
                </c:pt>
                <c:pt idx="21">
                  <c:v>0.98668026633900641</c:v>
                </c:pt>
                <c:pt idx="22">
                  <c:v>1.0089709013725225</c:v>
                </c:pt>
                <c:pt idx="23">
                  <c:v>1.0306285642581081</c:v>
                </c:pt>
                <c:pt idx="24">
                  <c:v>1.0514929092371075</c:v>
                </c:pt>
                <c:pt idx="25">
                  <c:v>1.0714094639990885</c:v>
                </c:pt>
                <c:pt idx="26">
                  <c:v>1.0902307733407826</c:v>
                </c:pt>
                <c:pt idx="27">
                  <c:v>1.1078174908728209</c:v>
                </c:pt>
                <c:pt idx="28">
                  <c:v>1.1240394106916469</c:v>
                </c:pt>
                <c:pt idx="29">
                  <c:v>1.1387764313784725</c:v>
                </c:pt>
                <c:pt idx="30">
                  <c:v>1.1519194451881625</c:v>
                </c:pt>
                <c:pt idx="31">
                  <c:v>1.1633711458448057</c:v>
                </c:pt>
                <c:pt idx="32">
                  <c:v>1.1730467489633376</c:v>
                </c:pt>
                <c:pt idx="33">
                  <c:v>1.1808746197634648</c:v>
                </c:pt>
                <c:pt idx="34">
                  <c:v>1.1867968034285139</c:v>
                </c:pt>
                <c:pt idx="35">
                  <c:v>1.1907694541826186</c:v>
                </c:pt>
                <c:pt idx="36">
                  <c:v>1.1927631599095039</c:v>
                </c:pt>
                <c:pt idx="37">
                  <c:v>1.1927631599095039</c:v>
                </c:pt>
                <c:pt idx="38">
                  <c:v>1.1907694541826186</c:v>
                </c:pt>
                <c:pt idx="39">
                  <c:v>1.1867968034285139</c:v>
                </c:pt>
                <c:pt idx="40">
                  <c:v>1.180874619763465</c:v>
                </c:pt>
                <c:pt idx="41">
                  <c:v>1.1730467489633378</c:v>
                </c:pt>
                <c:pt idx="42">
                  <c:v>1.1633711458448057</c:v>
                </c:pt>
                <c:pt idx="43">
                  <c:v>1.1519194451881625</c:v>
                </c:pt>
                <c:pt idx="44">
                  <c:v>1.1387764313784727</c:v>
                </c:pt>
                <c:pt idx="45">
                  <c:v>1.1240394106916469</c:v>
                </c:pt>
                <c:pt idx="46">
                  <c:v>1.1078174908728209</c:v>
                </c:pt>
                <c:pt idx="47">
                  <c:v>1.090230773340783</c:v>
                </c:pt>
                <c:pt idx="48">
                  <c:v>1.0714094639990885</c:v>
                </c:pt>
                <c:pt idx="49">
                  <c:v>1.0514929092371077</c:v>
                </c:pt>
                <c:pt idx="50">
                  <c:v>1.0306285642581081</c:v>
                </c:pt>
                <c:pt idx="51">
                  <c:v>1.008970901372523</c:v>
                </c:pt>
                <c:pt idx="52">
                  <c:v>0.98668026633900663</c:v>
                </c:pt>
                <c:pt idx="53">
                  <c:v>0.96392169122054083</c:v>
                </c:pt>
                <c:pt idx="54">
                  <c:v>0.94086367254477832</c:v>
                </c:pt>
                <c:pt idx="55">
                  <c:v>0.91767692381470267</c:v>
                </c:pt>
                <c:pt idx="56">
                  <c:v>0.89453311160558191</c:v>
                </c:pt>
                <c:pt idx="57">
                  <c:v>0.87160358460570553</c:v>
                </c:pt>
                <c:pt idx="58">
                  <c:v>0.84905810501064494</c:v>
                </c:pt>
                <c:pt idx="59">
                  <c:v>0.82706359166335175</c:v>
                </c:pt>
                <c:pt idx="60">
                  <c:v>0.80578288424544686</c:v>
                </c:pt>
                <c:pt idx="61">
                  <c:v>0.7853735376691886</c:v>
                </c:pt>
                <c:pt idx="62">
                  <c:v>0.76598665559602486</c:v>
                </c:pt>
                <c:pt idx="63">
                  <c:v>0.74776577171795178</c:v>
                </c:pt>
                <c:pt idx="64">
                  <c:v>0.73084578708427661</c:v>
                </c:pt>
                <c:pt idx="65">
                  <c:v>0.71535197134144579</c:v>
                </c:pt>
                <c:pt idx="66">
                  <c:v>0.70139903528040981</c:v>
                </c:pt>
                <c:pt idx="67">
                  <c:v>0.68909028155806129</c:v>
                </c:pt>
                <c:pt idx="68">
                  <c:v>0.67851683988050682</c:v>
                </c:pt>
                <c:pt idx="69">
                  <c:v>0.66975699231060548</c:v>
                </c:pt>
                <c:pt idx="70">
                  <c:v>0.66287559369496374</c:v>
                </c:pt>
                <c:pt idx="71">
                  <c:v>0.65792359150134205</c:v>
                </c:pt>
                <c:pt idx="72">
                  <c:v>0.65493764862142889</c:v>
                </c:pt>
                <c:pt idx="73">
                  <c:v>0.65393987193161796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8E4-411D-9610-7808A348CBB1}"/>
            </c:ext>
          </c:extLst>
        </c:ser>
        <c:ser>
          <c:idx val="2"/>
          <c:order val="3"/>
          <c:tx>
            <c:strRef>
              <c:f>'Solar-H2 (3)'!$I$2</c:f>
              <c:strCache>
                <c:ptCount val="1"/>
                <c:pt idx="0">
                  <c:v>LRavg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ysDash"/>
            </a:ln>
          </c:spPr>
          <c:marker>
            <c:symbol val="none"/>
          </c:marker>
          <c:xVal>
            <c:numRef>
              <c:f>('Solar-H2 (3)'!$F$3,'Solar-H2 (3)'!$F$6)</c:f>
              <c:numCache>
                <c:formatCode>0.0</c:formatCode>
                <c:ptCount val="2"/>
                <c:pt idx="0">
                  <c:v>0</c:v>
                </c:pt>
                <c:pt idx="1">
                  <c:v>365</c:v>
                </c:pt>
              </c:numCache>
            </c:numRef>
          </c:xVal>
          <c:yVal>
            <c:numRef>
              <c:f>('Solar-H2 (3)'!$I$3,'Solar-H2 (3)'!$I$6)</c:f>
              <c:numCache>
                <c:formatCode>0.000</c:formatCode>
                <c:ptCount val="2"/>
                <c:pt idx="0">
                  <c:v>0.73046357615894042</c:v>
                </c:pt>
                <c:pt idx="1">
                  <c:v>0.73046357615894042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D8E4-411D-9610-7808A348CBB1}"/>
            </c:ext>
          </c:extLst>
        </c:ser>
        <c:ser>
          <c:idx val="4"/>
          <c:order val="4"/>
          <c:tx>
            <c:strRef>
              <c:f>'Solar-H2 (3)'!$V$2</c:f>
              <c:strCache>
                <c:ptCount val="1"/>
                <c:pt idx="0">
                  <c:v>H/Hmax</c:v>
                </c:pt>
              </c:strCache>
            </c:strRef>
          </c:tx>
          <c:spPr>
            <a:ln>
              <a:noFill/>
            </a:ln>
          </c:spPr>
          <c:marker>
            <c:symbol val="plus"/>
            <c:size val="7"/>
            <c:spPr>
              <a:ln>
                <a:solidFill>
                  <a:schemeClr val="accent1"/>
                </a:solidFill>
              </a:ln>
            </c:spPr>
          </c:marker>
          <c:xVal>
            <c:numRef>
              <c:f>'Solar-H2 (3)'!$T$3:$T$14</c:f>
              <c:numCache>
                <c:formatCode>General</c:formatCode>
                <c:ptCount val="12"/>
                <c:pt idx="0">
                  <c:v>15</c:v>
                </c:pt>
                <c:pt idx="1">
                  <c:v>45</c:v>
                </c:pt>
                <c:pt idx="2">
                  <c:v>76</c:v>
                </c:pt>
                <c:pt idx="3">
                  <c:v>106</c:v>
                </c:pt>
                <c:pt idx="4">
                  <c:v>137</c:v>
                </c:pt>
                <c:pt idx="5">
                  <c:v>167</c:v>
                </c:pt>
                <c:pt idx="6">
                  <c:v>198</c:v>
                </c:pt>
                <c:pt idx="7">
                  <c:v>229</c:v>
                </c:pt>
                <c:pt idx="8">
                  <c:v>259</c:v>
                </c:pt>
                <c:pt idx="9">
                  <c:v>290</c:v>
                </c:pt>
                <c:pt idx="10">
                  <c:v>320</c:v>
                </c:pt>
                <c:pt idx="11">
                  <c:v>351</c:v>
                </c:pt>
              </c:numCache>
            </c:numRef>
          </c:xVal>
          <c:yVal>
            <c:numRef>
              <c:f>'Solar-H2 (3)'!$V$3:$V$14</c:f>
              <c:numCache>
                <c:formatCode>0.000</c:formatCode>
                <c:ptCount val="12"/>
                <c:pt idx="0">
                  <c:v>0.47682119205298018</c:v>
                </c:pt>
                <c:pt idx="1">
                  <c:v>0.63046357615894033</c:v>
                </c:pt>
                <c:pt idx="2">
                  <c:v>0.78940397350993374</c:v>
                </c:pt>
                <c:pt idx="3">
                  <c:v>0.80397350993377492</c:v>
                </c:pt>
                <c:pt idx="4">
                  <c:v>0.85165562913907278</c:v>
                </c:pt>
                <c:pt idx="5">
                  <c:v>0.93377483443708609</c:v>
                </c:pt>
                <c:pt idx="6">
                  <c:v>1</c:v>
                </c:pt>
                <c:pt idx="7">
                  <c:v>0.97350993377483441</c:v>
                </c:pt>
                <c:pt idx="8">
                  <c:v>0.86887417218543039</c:v>
                </c:pt>
                <c:pt idx="9">
                  <c:v>0.70066225165562912</c:v>
                </c:pt>
                <c:pt idx="10">
                  <c:v>0.5245033112582782</c:v>
                </c:pt>
                <c:pt idx="11">
                  <c:v>0.46092715231788078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D8E4-411D-9610-7808A348CB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2750320"/>
        <c:axId val="342751952"/>
      </c:scatterChart>
      <c:valAx>
        <c:axId val="342750320"/>
        <c:scaling>
          <c:orientation val="minMax"/>
          <c:max val="365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050"/>
                </a:pPr>
                <a:r>
                  <a:rPr lang="es-ES" sz="1050"/>
                  <a:t>t (</a:t>
                </a:r>
                <a:r>
                  <a:rPr lang="es-ES" sz="1050" b="0"/>
                  <a:t>d</a:t>
                </a:r>
                <a:r>
                  <a:rPr lang="es-ES" sz="1050"/>
                  <a:t>)</a:t>
                </a:r>
              </a:p>
            </c:rich>
          </c:tx>
          <c:layout>
            <c:manualLayout>
              <c:xMode val="edge"/>
              <c:yMode val="edge"/>
              <c:x val="0.86988644276608285"/>
              <c:y val="0.93393331599299623"/>
            </c:manualLayout>
          </c:layout>
          <c:overlay val="0"/>
        </c:title>
        <c:numFmt formatCode="General" sourceLinked="1"/>
        <c:majorTickMark val="cross"/>
        <c:minorTickMark val="out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342751952"/>
        <c:crosses val="autoZero"/>
        <c:crossBetween val="midCat"/>
        <c:minorUnit val="10"/>
      </c:valAx>
      <c:valAx>
        <c:axId val="34275195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0.0" sourceLinked="0"/>
        <c:majorTickMark val="out"/>
        <c:minorTickMark val="out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342750320"/>
        <c:crosses val="autoZero"/>
        <c:crossBetween val="midCat"/>
        <c:majorUnit val="0.2"/>
        <c:minorUnit val="0.1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9256999125109358E-2"/>
          <c:y val="0.14814824980580846"/>
          <c:w val="0.88537620297462805"/>
          <c:h val="0.55985341022110957"/>
        </c:manualLayout>
      </c:layout>
      <c:barChart>
        <c:barDir val="bar"/>
        <c:grouping val="stacked"/>
        <c:varyColors val="0"/>
        <c:ser>
          <c:idx val="0"/>
          <c:order val="0"/>
          <c:tx>
            <c:v>PV</c:v>
          </c:tx>
          <c:spPr>
            <a:solidFill>
              <a:srgbClr val="C00000"/>
            </a:solidFill>
          </c:spPr>
          <c:invertIfNegative val="0"/>
          <c:val>
            <c:numRef>
              <c:f>'Solar-H2 (3)'!$Q$8</c:f>
              <c:numCache>
                <c:formatCode>0.0</c:formatCode>
                <c:ptCount val="1"/>
                <c:pt idx="0">
                  <c:v>51.64265972215793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8A-4CB7-BD48-F55402B06B09}"/>
            </c:ext>
          </c:extLst>
        </c:ser>
        <c:ser>
          <c:idx val="1"/>
          <c:order val="1"/>
          <c:tx>
            <c:v>PE</c:v>
          </c:tx>
          <c:spPr>
            <a:solidFill>
              <a:schemeClr val="accent6">
                <a:lumMod val="75000"/>
              </a:schemeClr>
            </a:solidFill>
          </c:spPr>
          <c:invertIfNegative val="0"/>
          <c:val>
            <c:numRef>
              <c:f>'Solar-H2 (3)'!$Q$9</c:f>
              <c:numCache>
                <c:formatCode>0.0</c:formatCode>
                <c:ptCount val="1"/>
                <c:pt idx="0">
                  <c:v>61.971191666589519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8A-4CB7-BD48-F55402B06B09}"/>
            </c:ext>
          </c:extLst>
        </c:ser>
        <c:ser>
          <c:idx val="2"/>
          <c:order val="2"/>
          <c:tx>
            <c:v>EL</c:v>
          </c:tx>
          <c:spPr>
            <a:solidFill>
              <a:schemeClr val="accent1"/>
            </a:solidFill>
          </c:spPr>
          <c:invertIfNegative val="0"/>
          <c:val>
            <c:numRef>
              <c:f>'Solar-H2 (3)'!$Q$10</c:f>
              <c:numCache>
                <c:formatCode>0.0</c:formatCode>
                <c:ptCount val="1"/>
                <c:pt idx="0">
                  <c:v>-94.299365700885971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8A-4CB7-BD48-F55402B06B09}"/>
            </c:ext>
          </c:extLst>
        </c:ser>
        <c:ser>
          <c:idx val="3"/>
          <c:order val="3"/>
          <c:tx>
            <c:v>PC</c:v>
          </c:tx>
          <c:spPr>
            <a:solidFill>
              <a:srgbClr val="FFC000"/>
            </a:solidFill>
          </c:spPr>
          <c:invertIfNegative val="0"/>
          <c:val>
            <c:numRef>
              <c:f>'Solar-H2 (3)'!$Q$11</c:f>
              <c:numCache>
                <c:formatCode>0.0</c:formatCode>
                <c:ptCount val="1"/>
                <c:pt idx="0">
                  <c:v>-42.416666666666664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8A-4CB7-BD48-F55402B06B09}"/>
            </c:ext>
          </c:extLst>
        </c:ser>
        <c:ser>
          <c:idx val="4"/>
          <c:order val="4"/>
          <c:tx>
            <c:v>T</c:v>
          </c:tx>
          <c:spPr>
            <a:solidFill>
              <a:schemeClr val="bg1">
                <a:lumMod val="75000"/>
              </a:schemeClr>
            </a:solidFill>
          </c:spPr>
          <c:invertIfNegative val="0"/>
          <c:val>
            <c:numRef>
              <c:f>'Solar-H2 (3)'!$Q$12</c:f>
              <c:numCache>
                <c:formatCode>0.0</c:formatCode>
                <c:ptCount val="1"/>
                <c:pt idx="0">
                  <c:v>-72.799119164545672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38A-4CB7-BD48-F55402B06B09}"/>
            </c:ext>
          </c:extLst>
        </c:ser>
        <c:ser>
          <c:idx val="5"/>
          <c:order val="5"/>
          <c:tx>
            <c:v>B</c:v>
          </c:tx>
          <c:spPr>
            <a:solidFill>
              <a:schemeClr val="accent6">
                <a:lumMod val="60000"/>
                <a:lumOff val="40000"/>
              </a:schemeClr>
            </a:solidFill>
          </c:spPr>
          <c:invertIfNegative val="0"/>
          <c:val>
            <c:numRef>
              <c:f>'Solar-H2 (3)'!$Q$13</c:f>
              <c:numCache>
                <c:formatCode>0.0</c:formatCode>
                <c:ptCount val="1"/>
                <c:pt idx="0">
                  <c:v>238.59374999999997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38A-4CB7-BD48-F55402B06B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42759024"/>
        <c:axId val="342750864"/>
      </c:barChart>
      <c:catAx>
        <c:axId val="342759024"/>
        <c:scaling>
          <c:orientation val="minMax"/>
        </c:scaling>
        <c:delete val="1"/>
        <c:axPos val="l"/>
        <c:majorTickMark val="out"/>
        <c:minorTickMark val="none"/>
        <c:tickLblPos val="nextTo"/>
        <c:crossAx val="342750864"/>
        <c:crosses val="autoZero"/>
        <c:auto val="1"/>
        <c:lblAlgn val="ctr"/>
        <c:lblOffset val="100"/>
        <c:noMultiLvlLbl val="0"/>
      </c:catAx>
      <c:valAx>
        <c:axId val="342750864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0"/>
                </a:pPr>
                <a:r>
                  <a:rPr lang="es-ES" sz="900" b="0"/>
                  <a:t>$/a</a:t>
                </a:r>
              </a:p>
            </c:rich>
          </c:tx>
          <c:layout>
            <c:manualLayout>
              <c:xMode val="edge"/>
              <c:yMode val="edge"/>
              <c:x val="0.47753396094949208"/>
              <c:y val="0.84373015873015877"/>
            </c:manualLayout>
          </c:layout>
          <c:overlay val="0"/>
        </c:title>
        <c:numFmt formatCode="0.0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s-ES"/>
          </a:p>
        </c:txPr>
        <c:crossAx val="342759024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30301350055793924"/>
          <c:y val="5.3333333333333337E-2"/>
          <c:w val="0.38598875739334976"/>
          <c:h val="0.15000104986876642"/>
        </c:manualLayout>
      </c:layout>
      <c:overlay val="0"/>
      <c:spPr>
        <a:solidFill>
          <a:schemeClr val="bg1"/>
        </a:solidFill>
      </c:spPr>
      <c:txPr>
        <a:bodyPr/>
        <a:lstStyle/>
        <a:p>
          <a:pPr>
            <a:defRPr sz="1050"/>
          </a:pPr>
          <a:endParaRPr lang="es-E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>
                <a:solidFill>
                  <a:schemeClr val="tx2"/>
                </a:solidFill>
              </a:defRPr>
            </a:pPr>
            <a:r>
              <a:rPr lang="en-US" sz="1200">
                <a:solidFill>
                  <a:schemeClr val="tx2"/>
                </a:solidFill>
              </a:rPr>
              <a:t>P</a:t>
            </a:r>
            <a:r>
              <a:rPr lang="en-US" sz="1200" baseline="-25000">
                <a:solidFill>
                  <a:schemeClr val="tx2"/>
                </a:solidFill>
              </a:rPr>
              <a:t>PV</a:t>
            </a:r>
            <a:r>
              <a:rPr lang="en-US" sz="1200">
                <a:solidFill>
                  <a:schemeClr val="tx2"/>
                </a:solidFill>
              </a:rPr>
              <a:t>/P</a:t>
            </a:r>
            <a:r>
              <a:rPr lang="en-US" sz="1200" baseline="-25000">
                <a:solidFill>
                  <a:schemeClr val="tx2"/>
                </a:solidFill>
              </a:rPr>
              <a:t>PV</a:t>
            </a:r>
            <a:r>
              <a:rPr lang="en-US" sz="1200" baseline="30000">
                <a:solidFill>
                  <a:schemeClr val="tx2"/>
                </a:solidFill>
              </a:rPr>
              <a:t>max</a:t>
            </a:r>
            <a:endParaRPr lang="en-US" sz="1200" b="0">
              <a:solidFill>
                <a:schemeClr val="tx2"/>
              </a:solidFill>
            </a:endParaRPr>
          </a:p>
        </c:rich>
      </c:tx>
      <c:layout>
        <c:manualLayout>
          <c:xMode val="edge"/>
          <c:yMode val="edge"/>
          <c:x val="0.41472892927658966"/>
          <c:y val="0.34620146186087697"/>
        </c:manualLayout>
      </c:layout>
      <c:overlay val="0"/>
      <c:spPr>
        <a:solidFill>
          <a:schemeClr val="bg1"/>
        </a:solidFill>
      </c:spPr>
    </c:title>
    <c:autoTitleDeleted val="0"/>
    <c:plotArea>
      <c:layout>
        <c:manualLayout>
          <c:layoutTarget val="inner"/>
          <c:xMode val="edge"/>
          <c:yMode val="edge"/>
          <c:x val="0.10249183137822059"/>
          <c:y val="5.1946470327157553E-2"/>
          <c:w val="0.84795248808184687"/>
          <c:h val="0.854134344917150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'Solar-H2 (3)'!$C$7</c:f>
              <c:strCache>
                <c:ptCount val="1"/>
                <c:pt idx="0">
                  <c:v>PPV/PPVmax</c:v>
                </c:pt>
              </c:strCache>
            </c:strRef>
          </c:tx>
          <c:spPr>
            <a:ln w="38100"/>
          </c:spPr>
          <c:marker>
            <c:symbol val="circle"/>
            <c:size val="2"/>
          </c:marker>
          <c:xVal>
            <c:numRef>
              <c:f>'Solar-H2 (3)'!$B$8:$B$81</c:f>
              <c:numCache>
                <c:formatCode>General</c:formatCode>
                <c:ptCount val="74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  <c:pt idx="73">
                  <c:v>365</c:v>
                </c:pt>
              </c:numCache>
            </c:numRef>
          </c:xVal>
          <c:yVal>
            <c:numRef>
              <c:f>'Solar-H2 (3)'!$C$8:$C$81</c:f>
              <c:numCache>
                <c:formatCode>0.000</c:formatCode>
                <c:ptCount val="74"/>
                <c:pt idx="0">
                  <c:v>0.46092715231788078</c:v>
                </c:pt>
                <c:pt idx="1">
                  <c:v>0.46192492900769178</c:v>
                </c:pt>
                <c:pt idx="2">
                  <c:v>0.46491087188760483</c:v>
                </c:pt>
                <c:pt idx="3">
                  <c:v>0.46986287408122651</c:v>
                </c:pt>
                <c:pt idx="4">
                  <c:v>0.47674427269686831</c:v>
                </c:pt>
                <c:pt idx="5">
                  <c:v>0.4855041202667697</c:v>
                </c:pt>
                <c:pt idx="6">
                  <c:v>0.49607756194432401</c:v>
                </c:pt>
                <c:pt idx="7">
                  <c:v>0.50838631566667236</c:v>
                </c:pt>
                <c:pt idx="8">
                  <c:v>0.52233925172770868</c:v>
                </c:pt>
                <c:pt idx="9">
                  <c:v>0.53783306747053961</c:v>
                </c:pt>
                <c:pt idx="10">
                  <c:v>0.55475305210421455</c:v>
                </c:pt>
                <c:pt idx="11">
                  <c:v>0.57297393598228741</c:v>
                </c:pt>
                <c:pt idx="12">
                  <c:v>0.59236081805545127</c:v>
                </c:pt>
                <c:pt idx="13">
                  <c:v>0.61277016463170986</c:v>
                </c:pt>
                <c:pt idx="14">
                  <c:v>0.63405087204961441</c:v>
                </c:pt>
                <c:pt idx="15">
                  <c:v>0.65604538539690727</c:v>
                </c:pt>
                <c:pt idx="16">
                  <c:v>0.67859086499196819</c:v>
                </c:pt>
                <c:pt idx="17">
                  <c:v>0.7015203919918449</c:v>
                </c:pt>
                <c:pt idx="18">
                  <c:v>0.72466420420096511</c:v>
                </c:pt>
                <c:pt idx="19">
                  <c:v>0.74785095293104098</c:v>
                </c:pt>
                <c:pt idx="20">
                  <c:v>0.77090897160680361</c:v>
                </c:pt>
                <c:pt idx="21">
                  <c:v>0.79366754672526918</c:v>
                </c:pt>
                <c:pt idx="22">
                  <c:v>0.81595818175878532</c:v>
                </c:pt>
                <c:pt idx="23">
                  <c:v>0.83761584464437089</c:v>
                </c:pt>
                <c:pt idx="24">
                  <c:v>0.85848018962337025</c:v>
                </c:pt>
                <c:pt idx="25">
                  <c:v>0.87839674438535131</c:v>
                </c:pt>
                <c:pt idx="26">
                  <c:v>0.89721805372704544</c:v>
                </c:pt>
                <c:pt idx="27">
                  <c:v>0.91480477125908366</c:v>
                </c:pt>
                <c:pt idx="28">
                  <c:v>0.93102669107790981</c:v>
                </c:pt>
                <c:pt idx="29">
                  <c:v>0.94576371176473528</c:v>
                </c:pt>
                <c:pt idx="30">
                  <c:v>0.95890672557442536</c:v>
                </c:pt>
                <c:pt idx="31">
                  <c:v>0.97035842623106849</c:v>
                </c:pt>
                <c:pt idx="32">
                  <c:v>0.98003402934960038</c:v>
                </c:pt>
                <c:pt idx="33">
                  <c:v>0.98786190014972752</c:v>
                </c:pt>
                <c:pt idx="34">
                  <c:v>0.99378408381477668</c:v>
                </c:pt>
                <c:pt idx="35">
                  <c:v>0.99775673456888136</c:v>
                </c:pt>
                <c:pt idx="36">
                  <c:v>0.99975044029576665</c:v>
                </c:pt>
                <c:pt idx="37">
                  <c:v>0.99975044029576665</c:v>
                </c:pt>
                <c:pt idx="38">
                  <c:v>0.99775673456888136</c:v>
                </c:pt>
                <c:pt idx="39">
                  <c:v>0.99378408381477668</c:v>
                </c:pt>
                <c:pt idx="40">
                  <c:v>0.98786190014972775</c:v>
                </c:pt>
                <c:pt idx="41">
                  <c:v>0.9800340293496006</c:v>
                </c:pt>
                <c:pt idx="42">
                  <c:v>0.97035842623106849</c:v>
                </c:pt>
                <c:pt idx="43">
                  <c:v>0.95890672557442536</c:v>
                </c:pt>
                <c:pt idx="44">
                  <c:v>0.9457637117647355</c:v>
                </c:pt>
                <c:pt idx="45">
                  <c:v>0.9310266910779097</c:v>
                </c:pt>
                <c:pt idx="46">
                  <c:v>0.91480477125908366</c:v>
                </c:pt>
                <c:pt idx="47">
                  <c:v>0.89721805372704577</c:v>
                </c:pt>
                <c:pt idx="48">
                  <c:v>0.87839674438535142</c:v>
                </c:pt>
                <c:pt idx="49">
                  <c:v>0.85848018962337047</c:v>
                </c:pt>
                <c:pt idx="50">
                  <c:v>0.837615844644371</c:v>
                </c:pt>
                <c:pt idx="51">
                  <c:v>0.81595818175878576</c:v>
                </c:pt>
                <c:pt idx="52">
                  <c:v>0.7936675467252694</c:v>
                </c:pt>
                <c:pt idx="53">
                  <c:v>0.77090897160680372</c:v>
                </c:pt>
                <c:pt idx="54">
                  <c:v>0.74785095293104109</c:v>
                </c:pt>
                <c:pt idx="55">
                  <c:v>0.72466420420096544</c:v>
                </c:pt>
                <c:pt idx="56">
                  <c:v>0.70152039199184479</c:v>
                </c:pt>
                <c:pt idx="57">
                  <c:v>0.6785908649919683</c:v>
                </c:pt>
                <c:pt idx="58">
                  <c:v>0.65604538539690771</c:v>
                </c:pt>
                <c:pt idx="59">
                  <c:v>0.63405087204961452</c:v>
                </c:pt>
                <c:pt idx="60">
                  <c:v>0.61277016463170975</c:v>
                </c:pt>
                <c:pt idx="61">
                  <c:v>0.59236081805545138</c:v>
                </c:pt>
                <c:pt idx="62">
                  <c:v>0.57297393598228763</c:v>
                </c:pt>
                <c:pt idx="63">
                  <c:v>0.55475305210421455</c:v>
                </c:pt>
                <c:pt idx="64">
                  <c:v>0.53783306747053949</c:v>
                </c:pt>
                <c:pt idx="65">
                  <c:v>0.52233925172770868</c:v>
                </c:pt>
                <c:pt idx="66">
                  <c:v>0.50838631566667258</c:v>
                </c:pt>
                <c:pt idx="67">
                  <c:v>0.49607756194432406</c:v>
                </c:pt>
                <c:pt idx="68">
                  <c:v>0.48550412026676965</c:v>
                </c:pt>
                <c:pt idx="69">
                  <c:v>0.47674427269686837</c:v>
                </c:pt>
                <c:pt idx="70">
                  <c:v>0.46986287408122657</c:v>
                </c:pt>
                <c:pt idx="71">
                  <c:v>0.46491087188760488</c:v>
                </c:pt>
                <c:pt idx="72">
                  <c:v>0.46192492900769178</c:v>
                </c:pt>
                <c:pt idx="73">
                  <c:v>0.46092715231788078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26F-4939-A1B8-95F41FD410AC}"/>
            </c:ext>
          </c:extLst>
        </c:ser>
        <c:ser>
          <c:idx val="4"/>
          <c:order val="4"/>
          <c:tx>
            <c:strRef>
              <c:f>'Solar-H2 (3)'!$V$2</c:f>
              <c:strCache>
                <c:ptCount val="1"/>
                <c:pt idx="0">
                  <c:v>H/Hmax</c:v>
                </c:pt>
              </c:strCache>
            </c:strRef>
          </c:tx>
          <c:spPr>
            <a:ln>
              <a:noFill/>
            </a:ln>
          </c:spPr>
          <c:marker>
            <c:symbol val="plus"/>
            <c:size val="7"/>
          </c:marker>
          <c:xVal>
            <c:numRef>
              <c:f>'Solar-H2 (3)'!$T$3:$T$14</c:f>
              <c:numCache>
                <c:formatCode>General</c:formatCode>
                <c:ptCount val="12"/>
                <c:pt idx="0">
                  <c:v>15</c:v>
                </c:pt>
                <c:pt idx="1">
                  <c:v>45</c:v>
                </c:pt>
                <c:pt idx="2">
                  <c:v>76</c:v>
                </c:pt>
                <c:pt idx="3">
                  <c:v>106</c:v>
                </c:pt>
                <c:pt idx="4">
                  <c:v>137</c:v>
                </c:pt>
                <c:pt idx="5">
                  <c:v>167</c:v>
                </c:pt>
                <c:pt idx="6">
                  <c:v>198</c:v>
                </c:pt>
                <c:pt idx="7">
                  <c:v>229</c:v>
                </c:pt>
                <c:pt idx="8">
                  <c:v>259</c:v>
                </c:pt>
                <c:pt idx="9">
                  <c:v>290</c:v>
                </c:pt>
                <c:pt idx="10">
                  <c:v>320</c:v>
                </c:pt>
                <c:pt idx="11">
                  <c:v>351</c:v>
                </c:pt>
              </c:numCache>
            </c:numRef>
          </c:xVal>
          <c:yVal>
            <c:numRef>
              <c:f>'Solar-H2 (3)'!$V$3:$V$14</c:f>
              <c:numCache>
                <c:formatCode>0.000</c:formatCode>
                <c:ptCount val="12"/>
                <c:pt idx="0">
                  <c:v>0.47682119205298018</c:v>
                </c:pt>
                <c:pt idx="1">
                  <c:v>0.63046357615894033</c:v>
                </c:pt>
                <c:pt idx="2">
                  <c:v>0.78940397350993374</c:v>
                </c:pt>
                <c:pt idx="3">
                  <c:v>0.80397350993377492</c:v>
                </c:pt>
                <c:pt idx="4">
                  <c:v>0.85165562913907278</c:v>
                </c:pt>
                <c:pt idx="5">
                  <c:v>0.93377483443708609</c:v>
                </c:pt>
                <c:pt idx="6">
                  <c:v>1</c:v>
                </c:pt>
                <c:pt idx="7">
                  <c:v>0.97350993377483441</c:v>
                </c:pt>
                <c:pt idx="8">
                  <c:v>0.86887417218543039</c:v>
                </c:pt>
                <c:pt idx="9">
                  <c:v>0.70066225165562912</c:v>
                </c:pt>
                <c:pt idx="10">
                  <c:v>0.5245033112582782</c:v>
                </c:pt>
                <c:pt idx="11">
                  <c:v>0.46092715231788078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26F-4939-A1B8-95F41FD410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2755216"/>
        <c:axId val="342752496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1"/>
                <c:tx>
                  <c:strRef>
                    <c:extLst>
                      <c:ext uri="{02D57815-91ED-43cb-92C2-25804820EDAC}">
                        <c15:formulaRef>
                          <c15:sqref>'Solar-H2 (3)'!$H$2</c15:sqref>
                        </c15:formulaRef>
                      </c:ext>
                    </c:extLst>
                    <c:strCache>
                      <c:ptCount val="1"/>
                      <c:pt idx="0">
                        <c:v>LR (L/PPVmax)</c:v>
                      </c:pt>
                    </c:strCache>
                  </c:strRef>
                </c:tx>
                <c:spPr>
                  <a:ln w="38100">
                    <a:solidFill>
                      <a:srgbClr val="C00000"/>
                    </a:solidFill>
                  </a:ln>
                </c:spPr>
                <c:marker>
                  <c:symbol val="circle"/>
                  <c:size val="5"/>
                  <c:spPr>
                    <a:noFill/>
                    <a:ln>
                      <a:solidFill>
                        <a:srgbClr val="C00000"/>
                      </a:solidFill>
                    </a:ln>
                  </c:spPr>
                </c:marker>
                <c:dPt>
                  <c:idx val="0"/>
                  <c:marker>
                    <c:symbol val="none"/>
                  </c:marker>
                  <c:bubble3D val="0"/>
                  <c:extLst>
                    <c:ext xmlns:c16="http://schemas.microsoft.com/office/drawing/2014/chart" uri="{C3380CC4-5D6E-409C-BE32-E72D297353CC}">
                      <c16:uniqueId val="{00000002-D26F-4939-A1B8-95F41FD410AC}"/>
                    </c:ext>
                  </c:extLst>
                </c:dPt>
                <c:dPt>
                  <c:idx val="1"/>
                  <c:marker>
                    <c:symbol val="circle"/>
                    <c:size val="7"/>
                    <c:spPr>
                      <a:noFill/>
                      <a:ln>
                        <a:solidFill>
                          <a:schemeClr val="tx2"/>
                        </a:solidFill>
                      </a:ln>
                    </c:spPr>
                  </c:marker>
                  <c:bubble3D val="0"/>
                  <c:extLst>
                    <c:ext xmlns:c16="http://schemas.microsoft.com/office/drawing/2014/chart" uri="{C3380CC4-5D6E-409C-BE32-E72D297353CC}">
                      <c16:uniqueId val="{00000003-D26F-4939-A1B8-95F41FD410AC}"/>
                    </c:ext>
                  </c:extLst>
                </c:dPt>
                <c:dPt>
                  <c:idx val="2"/>
                  <c:marker>
                    <c:symbol val="circle"/>
                    <c:size val="7"/>
                    <c:spPr>
                      <a:noFill/>
                      <a:ln>
                        <a:solidFill>
                          <a:schemeClr val="tx2"/>
                        </a:solidFill>
                      </a:ln>
                    </c:spPr>
                  </c:marker>
                  <c:bubble3D val="0"/>
                  <c:extLst>
                    <c:ext xmlns:c16="http://schemas.microsoft.com/office/drawing/2014/chart" uri="{C3380CC4-5D6E-409C-BE32-E72D297353CC}">
                      <c16:uniqueId val="{00000004-D26F-4939-A1B8-95F41FD410AC}"/>
                    </c:ext>
                  </c:extLst>
                </c:dPt>
                <c:dPt>
                  <c:idx val="3"/>
                  <c:marker>
                    <c:symbol val="none"/>
                  </c:marker>
                  <c:bubble3D val="0"/>
                  <c:extLst>
                    <c:ext xmlns:c16="http://schemas.microsoft.com/office/drawing/2014/chart" uri="{C3380CC4-5D6E-409C-BE32-E72D297353CC}">
                      <c16:uniqueId val="{00000005-D26F-4939-A1B8-95F41FD410AC}"/>
                    </c:ext>
                  </c:extLst>
                </c:dPt>
                <c:xVal>
                  <c:numRef>
                    <c:extLst>
                      <c:ext uri="{02D57815-91ED-43cb-92C2-25804820EDAC}">
                        <c15:formulaRef>
                          <c15:sqref>'Solar-H2 (3)'!$F$3:$F$6</c15:sqref>
                        </c15:formulaRef>
                      </c:ext>
                    </c:extLst>
                    <c:numCache>
                      <c:formatCode>0.0</c:formatCode>
                      <c:ptCount val="4"/>
                      <c:pt idx="0">
                        <c:v>0</c:v>
                      </c:pt>
                      <c:pt idx="1">
                        <c:v>74.52730153192266</c:v>
                      </c:pt>
                      <c:pt idx="2">
                        <c:v>290.47269846807734</c:v>
                      </c:pt>
                      <c:pt idx="3">
                        <c:v>365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'Solar-H2 (3)'!$H$3:$H$6</c15:sqref>
                        </c15:formulaRef>
                      </c:ext>
                    </c:extLst>
                    <c:numCache>
                      <c:formatCode>0.000</c:formatCode>
                      <c:ptCount val="4"/>
                      <c:pt idx="0">
                        <c:v>0.65393987193161796</c:v>
                      </c:pt>
                      <c:pt idx="1">
                        <c:v>0.65393987193161796</c:v>
                      </c:pt>
                      <c:pt idx="2">
                        <c:v>0.65393987193161807</c:v>
                      </c:pt>
                      <c:pt idx="3">
                        <c:v>0.65393987193161807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6-D26F-4939-A1B8-95F41FD410AC}"/>
                  </c:ext>
                </c:extLst>
              </c15:ser>
            </c15:filteredScatterSeries>
            <c15:filteredScatterSeries>
              <c15:ser>
                <c:idx val="1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'Solar-H2 (3)'!$D$7</c15:sqref>
                        </c15:formulaRef>
                      </c:ext>
                    </c:extLst>
                    <c:strCache>
                      <c:ptCount val="1"/>
                      <c:pt idx="0">
                        <c:v>(+ CR)</c:v>
                      </c:pt>
                    </c:strCache>
                  </c:strRef>
                </c:tx>
                <c:spPr>
                  <a:ln w="19050">
                    <a:solidFill>
                      <a:schemeClr val="accent1"/>
                    </a:solidFill>
                    <a:prstDash val="sysDot"/>
                  </a:ln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'Solar-H2 (3)'!$B$8:$B$81</c15:sqref>
                        </c15:formulaRef>
                      </c:ext>
                    </c:extLst>
                    <c:numCache>
                      <c:formatCode>General</c:formatCode>
                      <c:ptCount val="74"/>
                      <c:pt idx="0">
                        <c:v>0</c:v>
                      </c:pt>
                      <c:pt idx="1">
                        <c:v>5</c:v>
                      </c:pt>
                      <c:pt idx="2">
                        <c:v>10</c:v>
                      </c:pt>
                      <c:pt idx="3">
                        <c:v>15</c:v>
                      </c:pt>
                      <c:pt idx="4">
                        <c:v>20</c:v>
                      </c:pt>
                      <c:pt idx="5">
                        <c:v>25</c:v>
                      </c:pt>
                      <c:pt idx="6">
                        <c:v>30</c:v>
                      </c:pt>
                      <c:pt idx="7">
                        <c:v>35</c:v>
                      </c:pt>
                      <c:pt idx="8">
                        <c:v>40</c:v>
                      </c:pt>
                      <c:pt idx="9">
                        <c:v>45</c:v>
                      </c:pt>
                      <c:pt idx="10">
                        <c:v>50</c:v>
                      </c:pt>
                      <c:pt idx="11">
                        <c:v>55</c:v>
                      </c:pt>
                      <c:pt idx="12">
                        <c:v>60</c:v>
                      </c:pt>
                      <c:pt idx="13">
                        <c:v>65</c:v>
                      </c:pt>
                      <c:pt idx="14">
                        <c:v>70</c:v>
                      </c:pt>
                      <c:pt idx="15">
                        <c:v>75</c:v>
                      </c:pt>
                      <c:pt idx="16">
                        <c:v>80</c:v>
                      </c:pt>
                      <c:pt idx="17">
                        <c:v>85</c:v>
                      </c:pt>
                      <c:pt idx="18">
                        <c:v>90</c:v>
                      </c:pt>
                      <c:pt idx="19">
                        <c:v>95</c:v>
                      </c:pt>
                      <c:pt idx="20">
                        <c:v>100</c:v>
                      </c:pt>
                      <c:pt idx="21">
                        <c:v>105</c:v>
                      </c:pt>
                      <c:pt idx="22">
                        <c:v>110</c:v>
                      </c:pt>
                      <c:pt idx="23">
                        <c:v>115</c:v>
                      </c:pt>
                      <c:pt idx="24">
                        <c:v>120</c:v>
                      </c:pt>
                      <c:pt idx="25">
                        <c:v>125</c:v>
                      </c:pt>
                      <c:pt idx="26">
                        <c:v>130</c:v>
                      </c:pt>
                      <c:pt idx="27">
                        <c:v>135</c:v>
                      </c:pt>
                      <c:pt idx="28">
                        <c:v>140</c:v>
                      </c:pt>
                      <c:pt idx="29">
                        <c:v>145</c:v>
                      </c:pt>
                      <c:pt idx="30">
                        <c:v>150</c:v>
                      </c:pt>
                      <c:pt idx="31">
                        <c:v>155</c:v>
                      </c:pt>
                      <c:pt idx="32">
                        <c:v>160</c:v>
                      </c:pt>
                      <c:pt idx="33">
                        <c:v>165</c:v>
                      </c:pt>
                      <c:pt idx="34">
                        <c:v>170</c:v>
                      </c:pt>
                      <c:pt idx="35">
                        <c:v>175</c:v>
                      </c:pt>
                      <c:pt idx="36">
                        <c:v>180</c:v>
                      </c:pt>
                      <c:pt idx="37">
                        <c:v>185</c:v>
                      </c:pt>
                      <c:pt idx="38">
                        <c:v>190</c:v>
                      </c:pt>
                      <c:pt idx="39">
                        <c:v>195</c:v>
                      </c:pt>
                      <c:pt idx="40">
                        <c:v>200</c:v>
                      </c:pt>
                      <c:pt idx="41">
                        <c:v>205</c:v>
                      </c:pt>
                      <c:pt idx="42">
                        <c:v>210</c:v>
                      </c:pt>
                      <c:pt idx="43">
                        <c:v>215</c:v>
                      </c:pt>
                      <c:pt idx="44">
                        <c:v>220</c:v>
                      </c:pt>
                      <c:pt idx="45">
                        <c:v>225</c:v>
                      </c:pt>
                      <c:pt idx="46">
                        <c:v>230</c:v>
                      </c:pt>
                      <c:pt idx="47">
                        <c:v>235</c:v>
                      </c:pt>
                      <c:pt idx="48">
                        <c:v>240</c:v>
                      </c:pt>
                      <c:pt idx="49">
                        <c:v>245</c:v>
                      </c:pt>
                      <c:pt idx="50">
                        <c:v>250</c:v>
                      </c:pt>
                      <c:pt idx="51">
                        <c:v>255</c:v>
                      </c:pt>
                      <c:pt idx="52">
                        <c:v>260</c:v>
                      </c:pt>
                      <c:pt idx="53">
                        <c:v>265</c:v>
                      </c:pt>
                      <c:pt idx="54">
                        <c:v>270</c:v>
                      </c:pt>
                      <c:pt idx="55">
                        <c:v>275</c:v>
                      </c:pt>
                      <c:pt idx="56">
                        <c:v>280</c:v>
                      </c:pt>
                      <c:pt idx="57">
                        <c:v>285</c:v>
                      </c:pt>
                      <c:pt idx="58">
                        <c:v>290</c:v>
                      </c:pt>
                      <c:pt idx="59">
                        <c:v>295</c:v>
                      </c:pt>
                      <c:pt idx="60">
                        <c:v>300</c:v>
                      </c:pt>
                      <c:pt idx="61">
                        <c:v>305</c:v>
                      </c:pt>
                      <c:pt idx="62">
                        <c:v>310</c:v>
                      </c:pt>
                      <c:pt idx="63">
                        <c:v>315</c:v>
                      </c:pt>
                      <c:pt idx="64">
                        <c:v>320</c:v>
                      </c:pt>
                      <c:pt idx="65">
                        <c:v>325</c:v>
                      </c:pt>
                      <c:pt idx="66">
                        <c:v>330</c:v>
                      </c:pt>
                      <c:pt idx="67">
                        <c:v>335</c:v>
                      </c:pt>
                      <c:pt idx="68">
                        <c:v>340</c:v>
                      </c:pt>
                      <c:pt idx="69">
                        <c:v>345</c:v>
                      </c:pt>
                      <c:pt idx="70">
                        <c:v>350</c:v>
                      </c:pt>
                      <c:pt idx="71">
                        <c:v>355</c:v>
                      </c:pt>
                      <c:pt idx="72">
                        <c:v>360</c:v>
                      </c:pt>
                      <c:pt idx="73">
                        <c:v>365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'Solar-H2 (3)'!$D$8:$D$81</c15:sqref>
                        </c15:formulaRef>
                      </c:ext>
                    </c:extLst>
                    <c:numCache>
                      <c:formatCode>0.000</c:formatCode>
                      <c:ptCount val="74"/>
                      <c:pt idx="0">
                        <c:v>0.65393987193161796</c:v>
                      </c:pt>
                      <c:pt idx="1">
                        <c:v>0.65493764862142889</c:v>
                      </c:pt>
                      <c:pt idx="2">
                        <c:v>0.65792359150134194</c:v>
                      </c:pt>
                      <c:pt idx="3">
                        <c:v>0.66287559369496374</c:v>
                      </c:pt>
                      <c:pt idx="4">
                        <c:v>0.66975699231060548</c:v>
                      </c:pt>
                      <c:pt idx="5">
                        <c:v>0.67851683988050682</c:v>
                      </c:pt>
                      <c:pt idx="6">
                        <c:v>0.68909028155806118</c:v>
                      </c:pt>
                      <c:pt idx="7">
                        <c:v>0.70139903528040959</c:v>
                      </c:pt>
                      <c:pt idx="8">
                        <c:v>0.71535197134144579</c:v>
                      </c:pt>
                      <c:pt idx="9">
                        <c:v>0.73084578708427683</c:v>
                      </c:pt>
                      <c:pt idx="10">
                        <c:v>0.74776577171795178</c:v>
                      </c:pt>
                      <c:pt idx="11">
                        <c:v>0.76598665559602463</c:v>
                      </c:pt>
                      <c:pt idx="12">
                        <c:v>0.78537353766918838</c:v>
                      </c:pt>
                      <c:pt idx="13">
                        <c:v>0.80578288424544708</c:v>
                      </c:pt>
                      <c:pt idx="14">
                        <c:v>0.82706359166335153</c:v>
                      </c:pt>
                      <c:pt idx="15">
                        <c:v>0.84905810501064449</c:v>
                      </c:pt>
                      <c:pt idx="16">
                        <c:v>0.87160358460570531</c:v>
                      </c:pt>
                      <c:pt idx="17">
                        <c:v>0.89453311160558213</c:v>
                      </c:pt>
                      <c:pt idx="18">
                        <c:v>0.91767692381470223</c:v>
                      </c:pt>
                      <c:pt idx="19">
                        <c:v>0.9408636725447781</c:v>
                      </c:pt>
                      <c:pt idx="20">
                        <c:v>0.96392169122054083</c:v>
                      </c:pt>
                      <c:pt idx="21">
                        <c:v>0.98668026633900641</c:v>
                      </c:pt>
                      <c:pt idx="22">
                        <c:v>1.0089709013725225</c:v>
                      </c:pt>
                      <c:pt idx="23">
                        <c:v>1.0306285642581081</c:v>
                      </c:pt>
                      <c:pt idx="24">
                        <c:v>1.0514929092371075</c:v>
                      </c:pt>
                      <c:pt idx="25">
                        <c:v>1.0714094639990885</c:v>
                      </c:pt>
                      <c:pt idx="26">
                        <c:v>1.0902307733407826</c:v>
                      </c:pt>
                      <c:pt idx="27">
                        <c:v>1.1078174908728209</c:v>
                      </c:pt>
                      <c:pt idx="28">
                        <c:v>1.1240394106916469</c:v>
                      </c:pt>
                      <c:pt idx="29">
                        <c:v>1.1387764313784725</c:v>
                      </c:pt>
                      <c:pt idx="30">
                        <c:v>1.1519194451881625</c:v>
                      </c:pt>
                      <c:pt idx="31">
                        <c:v>1.1633711458448057</c:v>
                      </c:pt>
                      <c:pt idx="32">
                        <c:v>1.1730467489633376</c:v>
                      </c:pt>
                      <c:pt idx="33">
                        <c:v>1.1808746197634648</c:v>
                      </c:pt>
                      <c:pt idx="34">
                        <c:v>1.1867968034285139</c:v>
                      </c:pt>
                      <c:pt idx="35">
                        <c:v>1.1907694541826186</c:v>
                      </c:pt>
                      <c:pt idx="36">
                        <c:v>1.1927631599095039</c:v>
                      </c:pt>
                      <c:pt idx="37">
                        <c:v>1.1927631599095039</c:v>
                      </c:pt>
                      <c:pt idx="38">
                        <c:v>1.1907694541826186</c:v>
                      </c:pt>
                      <c:pt idx="39">
                        <c:v>1.1867968034285139</c:v>
                      </c:pt>
                      <c:pt idx="40">
                        <c:v>1.180874619763465</c:v>
                      </c:pt>
                      <c:pt idx="41">
                        <c:v>1.1730467489633378</c:v>
                      </c:pt>
                      <c:pt idx="42">
                        <c:v>1.1633711458448057</c:v>
                      </c:pt>
                      <c:pt idx="43">
                        <c:v>1.1519194451881625</c:v>
                      </c:pt>
                      <c:pt idx="44">
                        <c:v>1.1387764313784727</c:v>
                      </c:pt>
                      <c:pt idx="45">
                        <c:v>1.1240394106916469</c:v>
                      </c:pt>
                      <c:pt idx="46">
                        <c:v>1.1078174908728209</c:v>
                      </c:pt>
                      <c:pt idx="47">
                        <c:v>1.090230773340783</c:v>
                      </c:pt>
                      <c:pt idx="48">
                        <c:v>1.0714094639990885</c:v>
                      </c:pt>
                      <c:pt idx="49">
                        <c:v>1.0514929092371077</c:v>
                      </c:pt>
                      <c:pt idx="50">
                        <c:v>1.0306285642581081</c:v>
                      </c:pt>
                      <c:pt idx="51">
                        <c:v>1.008970901372523</c:v>
                      </c:pt>
                      <c:pt idx="52">
                        <c:v>0.98668026633900663</c:v>
                      </c:pt>
                      <c:pt idx="53">
                        <c:v>0.96392169122054083</c:v>
                      </c:pt>
                      <c:pt idx="54">
                        <c:v>0.94086367254477832</c:v>
                      </c:pt>
                      <c:pt idx="55">
                        <c:v>0.91767692381470267</c:v>
                      </c:pt>
                      <c:pt idx="56">
                        <c:v>0.89453311160558191</c:v>
                      </c:pt>
                      <c:pt idx="57">
                        <c:v>0.87160358460570553</c:v>
                      </c:pt>
                      <c:pt idx="58">
                        <c:v>0.84905810501064494</c:v>
                      </c:pt>
                      <c:pt idx="59">
                        <c:v>0.82706359166335175</c:v>
                      </c:pt>
                      <c:pt idx="60">
                        <c:v>0.80578288424544686</c:v>
                      </c:pt>
                      <c:pt idx="61">
                        <c:v>0.7853735376691886</c:v>
                      </c:pt>
                      <c:pt idx="62">
                        <c:v>0.76598665559602486</c:v>
                      </c:pt>
                      <c:pt idx="63">
                        <c:v>0.74776577171795178</c:v>
                      </c:pt>
                      <c:pt idx="64">
                        <c:v>0.73084578708427661</c:v>
                      </c:pt>
                      <c:pt idx="65">
                        <c:v>0.71535197134144579</c:v>
                      </c:pt>
                      <c:pt idx="66">
                        <c:v>0.70139903528040981</c:v>
                      </c:pt>
                      <c:pt idx="67">
                        <c:v>0.68909028155806129</c:v>
                      </c:pt>
                      <c:pt idx="68">
                        <c:v>0.67851683988050682</c:v>
                      </c:pt>
                      <c:pt idx="69">
                        <c:v>0.66975699231060548</c:v>
                      </c:pt>
                      <c:pt idx="70">
                        <c:v>0.66287559369496374</c:v>
                      </c:pt>
                      <c:pt idx="71">
                        <c:v>0.65792359150134205</c:v>
                      </c:pt>
                      <c:pt idx="72">
                        <c:v>0.65493764862142889</c:v>
                      </c:pt>
                      <c:pt idx="73">
                        <c:v>0.65393987193161796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26F-4939-A1B8-95F41FD410AC}"/>
                  </c:ext>
                </c:extLst>
              </c15:ser>
            </c15:filteredScatterSeries>
            <c15:filteredScatterSeries>
              <c15:ser>
                <c:idx val="2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'Solar-H2 (3)'!$I$2</c15:sqref>
                        </c15:formulaRef>
                      </c:ext>
                    </c:extLst>
                    <c:strCache>
                      <c:ptCount val="1"/>
                      <c:pt idx="0">
                        <c:v>LRavg</c:v>
                      </c:pt>
                    </c:strCache>
                  </c:strRef>
                </c:tx>
                <c:spPr>
                  <a:ln w="12700">
                    <a:solidFill>
                      <a:srgbClr val="C00000"/>
                    </a:solidFill>
                    <a:prstDash val="sysDash"/>
                  </a:ln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('Solar-H2 (3)'!$F$3,'Solar-H2 (3)'!$F$6)</c15:sqref>
                        </c15:formulaRef>
                      </c:ext>
                    </c:extLst>
                    <c:numCache>
                      <c:formatCode>0.0</c:formatCode>
                      <c:ptCount val="2"/>
                      <c:pt idx="0">
                        <c:v>0</c:v>
                      </c:pt>
                      <c:pt idx="1">
                        <c:v>365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('Solar-H2 (3)'!$I$3,'Solar-H2 (3)'!$I$6)</c15:sqref>
                        </c15:formulaRef>
                      </c:ext>
                    </c:extLst>
                    <c:numCache>
                      <c:formatCode>0.000</c:formatCode>
                      <c:ptCount val="2"/>
                      <c:pt idx="0">
                        <c:v>0.73046357615894042</c:v>
                      </c:pt>
                      <c:pt idx="1">
                        <c:v>0.73046357615894042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D26F-4939-A1B8-95F41FD410AC}"/>
                  </c:ext>
                </c:extLst>
              </c15:ser>
            </c15:filteredScatterSeries>
          </c:ext>
        </c:extLst>
      </c:scatterChart>
      <c:valAx>
        <c:axId val="342755216"/>
        <c:scaling>
          <c:orientation val="minMax"/>
          <c:max val="365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050"/>
                </a:pPr>
                <a:r>
                  <a:rPr lang="es-ES" sz="1050"/>
                  <a:t>t (</a:t>
                </a:r>
                <a:r>
                  <a:rPr lang="es-ES" sz="1050" b="0"/>
                  <a:t>d</a:t>
                </a:r>
                <a:r>
                  <a:rPr lang="es-ES" sz="1050"/>
                  <a:t>)</a:t>
                </a:r>
              </a:p>
            </c:rich>
          </c:tx>
          <c:layout>
            <c:manualLayout>
              <c:xMode val="edge"/>
              <c:yMode val="edge"/>
              <c:x val="0.86988644276608285"/>
              <c:y val="0.93393331599299623"/>
            </c:manualLayout>
          </c:layout>
          <c:overlay val="0"/>
        </c:title>
        <c:numFmt formatCode="General" sourceLinked="1"/>
        <c:majorTickMark val="cross"/>
        <c:minorTickMark val="out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342752496"/>
        <c:crosses val="autoZero"/>
        <c:crossBetween val="midCat"/>
        <c:minorUnit val="10"/>
      </c:valAx>
      <c:valAx>
        <c:axId val="342752496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0.0" sourceLinked="0"/>
        <c:majorTickMark val="out"/>
        <c:minorTickMark val="out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342755216"/>
        <c:crosses val="autoZero"/>
        <c:crossBetween val="midCat"/>
        <c:majorUnit val="0.2"/>
        <c:minorUnit val="0.1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112889</xdr:colOff>
      <xdr:row>2</xdr:row>
      <xdr:rowOff>190500</xdr:rowOff>
    </xdr:from>
    <xdr:to>
      <xdr:col>2</xdr:col>
      <xdr:colOff>695326</xdr:colOff>
      <xdr:row>4</xdr:row>
      <xdr:rowOff>45487</xdr:rowOff>
    </xdr:to>
    <xdr:pic>
      <xdr:nvPicPr>
        <xdr:cNvPr id="2" name="Imagen 16">
          <a:extLst>
            <a:ext uri="{FF2B5EF4-FFF2-40B4-BE49-F238E27FC236}">
              <a16:creationId xmlns:a16="http://schemas.microsoft.com/office/drawing/2014/main" id="{D3FBF7D6-1D7D-446F-9641-58BE78B102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3989" y="584200"/>
          <a:ext cx="582437" cy="4582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35278</xdr:colOff>
      <xdr:row>3</xdr:row>
      <xdr:rowOff>7055</xdr:rowOff>
    </xdr:from>
    <xdr:to>
      <xdr:col>3</xdr:col>
      <xdr:colOff>733778</xdr:colOff>
      <xdr:row>4</xdr:row>
      <xdr:rowOff>48480</xdr:rowOff>
    </xdr:to>
    <xdr:pic>
      <xdr:nvPicPr>
        <xdr:cNvPr id="3" name="Imagen 2" descr="Captura y almacenamiento de CO2">
          <a:extLst>
            <a:ext uri="{FF2B5EF4-FFF2-40B4-BE49-F238E27FC236}">
              <a16:creationId xmlns:a16="http://schemas.microsoft.com/office/drawing/2014/main" id="{EB9FFA12-590E-4A85-A8B0-43FB5A4EDE4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1237" t="14862" r="26758" b="42670"/>
        <a:stretch/>
      </xdr:blipFill>
      <xdr:spPr bwMode="auto">
        <a:xfrm>
          <a:off x="2892778" y="592666"/>
          <a:ext cx="698500" cy="4012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90666</xdr:colOff>
      <xdr:row>1</xdr:row>
      <xdr:rowOff>3174</xdr:rowOff>
    </xdr:from>
    <xdr:to>
      <xdr:col>16</xdr:col>
      <xdr:colOff>670278</xdr:colOff>
      <xdr:row>20</xdr:row>
      <xdr:rowOff>104774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EEC442E-164D-4B72-B45F-0DFCE3F83D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4</xdr:col>
      <xdr:colOff>42335</xdr:colOff>
      <xdr:row>3</xdr:row>
      <xdr:rowOff>7054</xdr:rowOff>
    </xdr:from>
    <xdr:to>
      <xdr:col>4</xdr:col>
      <xdr:colOff>726335</xdr:colOff>
      <xdr:row>4</xdr:row>
      <xdr:rowOff>47594</xdr:rowOff>
    </xdr:to>
    <xdr:pic>
      <xdr:nvPicPr>
        <xdr:cNvPr id="6" name="Imagen 5" descr="[Img #68000]">
          <a:extLst>
            <a:ext uri="{FF2B5EF4-FFF2-40B4-BE49-F238E27FC236}">
              <a16:creationId xmlns:a16="http://schemas.microsoft.com/office/drawing/2014/main" id="{00643059-B56E-CC35-7D29-A45FC0A34D5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660" t="12750" r="1556" b="10745"/>
        <a:stretch/>
      </xdr:blipFill>
      <xdr:spPr bwMode="auto">
        <a:xfrm>
          <a:off x="3718279" y="592665"/>
          <a:ext cx="684000" cy="4003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21</xdr:col>
      <xdr:colOff>0</xdr:colOff>
      <xdr:row>17</xdr:row>
      <xdr:rowOff>57150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FCA13B75-21D0-4692-A95A-331982926C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18</xdr:row>
      <xdr:rowOff>0</xdr:rowOff>
    </xdr:from>
    <xdr:to>
      <xdr:col>21</xdr:col>
      <xdr:colOff>0</xdr:colOff>
      <xdr:row>33</xdr:row>
      <xdr:rowOff>101600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3B90E909-C63F-4C3C-82E7-EFD01148A4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34</xdr:row>
      <xdr:rowOff>0</xdr:rowOff>
    </xdr:from>
    <xdr:to>
      <xdr:col>21</xdr:col>
      <xdr:colOff>0</xdr:colOff>
      <xdr:row>50</xdr:row>
      <xdr:rowOff>6350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9F349792-3041-4F98-9909-50A65BE564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0</xdr:colOff>
      <xdr:row>1</xdr:row>
      <xdr:rowOff>0</xdr:rowOff>
    </xdr:from>
    <xdr:to>
      <xdr:col>27</xdr:col>
      <xdr:colOff>0</xdr:colOff>
      <xdr:row>17</xdr:row>
      <xdr:rowOff>88900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5A20B892-1791-4389-A45B-3198087F66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0</xdr:colOff>
      <xdr:row>18</xdr:row>
      <xdr:rowOff>0</xdr:rowOff>
    </xdr:from>
    <xdr:to>
      <xdr:col>27</xdr:col>
      <xdr:colOff>0</xdr:colOff>
      <xdr:row>33</xdr:row>
      <xdr:rowOff>133350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935C1255-3801-4233-8D27-C372E4D988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0</xdr:colOff>
      <xdr:row>34</xdr:row>
      <xdr:rowOff>0</xdr:rowOff>
    </xdr:from>
    <xdr:to>
      <xdr:col>27</xdr:col>
      <xdr:colOff>0</xdr:colOff>
      <xdr:row>50</xdr:row>
      <xdr:rowOff>0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9761B134-6FFA-4B19-ACD8-FD5945273B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6</xdr:row>
      <xdr:rowOff>104776</xdr:rowOff>
    </xdr:from>
    <xdr:to>
      <xdr:col>9</xdr:col>
      <xdr:colOff>146050</xdr:colOff>
      <xdr:row>29</xdr:row>
      <xdr:rowOff>165100</xdr:rowOff>
    </xdr:to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EB4CC532-DEE1-4639-9B8F-39986E0860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38100</xdr:colOff>
      <xdr:row>14</xdr:row>
      <xdr:rowOff>152401</xdr:rowOff>
    </xdr:from>
    <xdr:to>
      <xdr:col>16</xdr:col>
      <xdr:colOff>733425</xdr:colOff>
      <xdr:row>22</xdr:row>
      <xdr:rowOff>57150</xdr:rowOff>
    </xdr:to>
    <xdr:graphicFrame macro="">
      <xdr:nvGraphicFramePr>
        <xdr:cNvPr id="3" name="3 Gráfico">
          <a:extLst>
            <a:ext uri="{FF2B5EF4-FFF2-40B4-BE49-F238E27FC236}">
              <a16:creationId xmlns:a16="http://schemas.microsoft.com/office/drawing/2014/main" id="{1964F2B7-CF75-44DA-A543-76D3B497B8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6</xdr:col>
      <xdr:colOff>317500</xdr:colOff>
      <xdr:row>15</xdr:row>
      <xdr:rowOff>177799</xdr:rowOff>
    </xdr:from>
    <xdr:ext cx="457200" cy="248851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9566C151-7D51-49E4-86E8-69DE572A9EEA}"/>
            </a:ext>
          </a:extLst>
        </xdr:cNvPr>
        <xdr:cNvSpPr txBox="1"/>
      </xdr:nvSpPr>
      <xdr:spPr>
        <a:xfrm>
          <a:off x="4610100" y="3365499"/>
          <a:ext cx="457200" cy="248851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ES" sz="1000" b="0">
              <a:solidFill>
                <a:srgbClr val="C00000"/>
              </a:solidFill>
            </a:rPr>
            <a:t>LR</a:t>
          </a:r>
          <a:r>
            <a:rPr lang="es-ES" sz="1000" b="0" baseline="30000">
              <a:solidFill>
                <a:srgbClr val="C00000"/>
              </a:solidFill>
            </a:rPr>
            <a:t>avg</a:t>
          </a:r>
        </a:p>
      </xdr:txBody>
    </xdr:sp>
    <xdr:clientData/>
  </xdr:oneCellAnchor>
  <xdr:twoCellAnchor editAs="oneCell">
    <xdr:from>
      <xdr:col>22</xdr:col>
      <xdr:colOff>115718</xdr:colOff>
      <xdr:row>2</xdr:row>
      <xdr:rowOff>42266</xdr:rowOff>
    </xdr:from>
    <xdr:to>
      <xdr:col>26</xdr:col>
      <xdr:colOff>628650</xdr:colOff>
      <xdr:row>27</xdr:row>
      <xdr:rowOff>90785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5F8F53A-D4B8-414F-B5A6-E34FA35F16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327268" y="556616"/>
          <a:ext cx="3560932" cy="4957069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16</xdr:row>
      <xdr:rowOff>0</xdr:rowOff>
    </xdr:from>
    <xdr:to>
      <xdr:col>22</xdr:col>
      <xdr:colOff>9525</xdr:colOff>
      <xdr:row>33</xdr:row>
      <xdr:rowOff>104773</xdr:rowOff>
    </xdr:to>
    <xdr:graphicFrame macro="">
      <xdr:nvGraphicFramePr>
        <xdr:cNvPr id="6" name="1 Gráfico">
          <a:extLst>
            <a:ext uri="{FF2B5EF4-FFF2-40B4-BE49-F238E27FC236}">
              <a16:creationId xmlns:a16="http://schemas.microsoft.com/office/drawing/2014/main" id="{221E8952-9D6C-4EBC-BF72-F43052E71F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19</xdr:col>
      <xdr:colOff>611732</xdr:colOff>
      <xdr:row>25</xdr:row>
      <xdr:rowOff>28575</xdr:rowOff>
    </xdr:from>
    <xdr:to>
      <xdr:col>20</xdr:col>
      <xdr:colOff>603073</xdr:colOff>
      <xdr:row>30</xdr:row>
      <xdr:rowOff>28575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F4CF67F-3373-42D0-B1C8-0B4716B368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403932" y="5083175"/>
          <a:ext cx="753341" cy="920750"/>
        </a:xfrm>
        <a:prstGeom prst="rect">
          <a:avLst/>
        </a:prstGeom>
      </xdr:spPr>
    </xdr:pic>
    <xdr:clientData/>
  </xdr:twoCellAnchor>
  <xdr:twoCellAnchor editAs="oneCell">
    <xdr:from>
      <xdr:col>10</xdr:col>
      <xdr:colOff>106947</xdr:colOff>
      <xdr:row>24</xdr:row>
      <xdr:rowOff>127692</xdr:rowOff>
    </xdr:from>
    <xdr:to>
      <xdr:col>16</xdr:col>
      <xdr:colOff>690279</xdr:colOff>
      <xdr:row>32</xdr:row>
      <xdr:rowOff>86893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9190320B-339E-076F-3AFE-846273A79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6210" y="5000481"/>
          <a:ext cx="4747595" cy="14564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doi.org/10.1016/j.rser.2025.115971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doi.org/10.1016/j.ijhydene.2011.09.102" TargetMode="External"/><Relationship Id="rId1" Type="http://schemas.openxmlformats.org/officeDocument/2006/relationships/hyperlink" Target="https://doi.org/10.1016/j.ijhydene.2023.05.057" TargetMode="Externa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834AE-3742-40CA-AFC5-7AD7C76304A0}">
  <dimension ref="A1:H19"/>
  <sheetViews>
    <sheetView tabSelected="1" zoomScale="90" zoomScaleNormal="90" workbookViewId="0">
      <selection activeCell="A12" sqref="A12:E13"/>
    </sheetView>
  </sheetViews>
  <sheetFormatPr baseColWidth="10" defaultRowHeight="14.5" x14ac:dyDescent="0.35"/>
  <cols>
    <col min="1" max="1" width="19.08984375" customWidth="1"/>
    <col min="6" max="6" width="8.6328125" customWidth="1"/>
    <col min="7" max="7" width="8.54296875" customWidth="1"/>
    <col min="8" max="8" width="9.26953125" customWidth="1"/>
  </cols>
  <sheetData>
    <row r="1" spans="1:8" ht="19.5" customHeight="1" x14ac:dyDescent="0.35">
      <c r="B1" s="33" t="s">
        <v>116</v>
      </c>
    </row>
    <row r="2" spans="1:8" ht="6" customHeight="1" x14ac:dyDescent="0.35"/>
    <row r="3" spans="1:8" ht="15.75" customHeight="1" x14ac:dyDescent="0.45">
      <c r="C3" s="32" t="s">
        <v>14</v>
      </c>
      <c r="D3" s="32" t="s">
        <v>15</v>
      </c>
      <c r="E3" s="32" t="s">
        <v>92</v>
      </c>
      <c r="F3" s="32" t="s">
        <v>16</v>
      </c>
      <c r="G3" s="32" t="s">
        <v>17</v>
      </c>
      <c r="H3" s="32" t="s">
        <v>18</v>
      </c>
    </row>
    <row r="4" spans="1:8" ht="28.5" customHeight="1" x14ac:dyDescent="0.35">
      <c r="B4" s="28" t="s">
        <v>111</v>
      </c>
      <c r="F4" s="3">
        <v>120</v>
      </c>
      <c r="G4" s="3">
        <v>50</v>
      </c>
      <c r="H4" s="3">
        <v>20</v>
      </c>
    </row>
    <row r="5" spans="1:8" ht="17.5" customHeight="1" x14ac:dyDescent="0.35">
      <c r="B5" s="28" t="s">
        <v>114</v>
      </c>
      <c r="C5" s="131">
        <v>100</v>
      </c>
      <c r="D5" s="131">
        <v>80</v>
      </c>
      <c r="E5" s="137" t="s">
        <v>118</v>
      </c>
      <c r="F5" s="131">
        <v>80</v>
      </c>
      <c r="G5" s="131">
        <v>80</v>
      </c>
      <c r="H5" s="131">
        <v>20</v>
      </c>
    </row>
    <row r="6" spans="1:8" ht="16.5" x14ac:dyDescent="0.35">
      <c r="B6" s="28" t="s">
        <v>115</v>
      </c>
      <c r="C6" s="72">
        <v>1000</v>
      </c>
      <c r="D6" s="136" t="s">
        <v>117</v>
      </c>
      <c r="E6" s="138">
        <f>150*10^3/105</f>
        <v>1428.5714285714287</v>
      </c>
      <c r="F6" s="29">
        <f>F5/0.082/(H5+273)*2</f>
        <v>6.6594522600516113</v>
      </c>
      <c r="G6" s="29">
        <f>G5/0.082/(H5+273)*16</f>
        <v>53.27561808041289</v>
      </c>
      <c r="H6" s="3">
        <v>790</v>
      </c>
    </row>
    <row r="7" spans="1:8" ht="16.5" x14ac:dyDescent="0.35">
      <c r="B7" s="28" t="s">
        <v>112</v>
      </c>
      <c r="C7" s="31">
        <f>C6*9.8*C5/10^6</f>
        <v>0.98</v>
      </c>
      <c r="D7" s="27">
        <f>80*LN(D5/1)*8.31/0.082/10^3</f>
        <v>35.526479350380441</v>
      </c>
      <c r="E7" s="30">
        <f>3.6*105*E6/10^3</f>
        <v>540</v>
      </c>
      <c r="F7" s="30">
        <f>F4*F6</f>
        <v>799.13427120619338</v>
      </c>
      <c r="G7" s="30">
        <f>G4*G6</f>
        <v>2663.7809040206444</v>
      </c>
      <c r="H7" s="31">
        <f>H4*H6</f>
        <v>15800</v>
      </c>
    </row>
    <row r="8" spans="1:8" ht="17" x14ac:dyDescent="0.45">
      <c r="B8" s="132" t="s">
        <v>113</v>
      </c>
      <c r="C8" s="133">
        <f t="shared" ref="C8:H8" si="0">C7/$F$7</f>
        <v>1.2263270833333332E-3</v>
      </c>
      <c r="D8" s="134">
        <f t="shared" si="0"/>
        <v>4.4456207962095852E-2</v>
      </c>
      <c r="E8" s="134">
        <f t="shared" si="0"/>
        <v>0.67573124999999989</v>
      </c>
      <c r="F8" s="135">
        <f t="shared" si="0"/>
        <v>1</v>
      </c>
      <c r="G8" s="135">
        <f t="shared" si="0"/>
        <v>3.333333333333333</v>
      </c>
      <c r="H8" s="135">
        <f t="shared" si="0"/>
        <v>19.77139583333333</v>
      </c>
    </row>
    <row r="9" spans="1:8" ht="16.5" x14ac:dyDescent="0.35">
      <c r="B9" s="28" t="s">
        <v>13</v>
      </c>
      <c r="C9" s="30">
        <f>1000/C7</f>
        <v>1020.4081632653061</v>
      </c>
      <c r="D9" s="27">
        <f t="shared" ref="D9:H9" si="1">1000/D7</f>
        <v>28.148018556454325</v>
      </c>
      <c r="E9" s="29">
        <f t="shared" si="1"/>
        <v>1.8518518518518519</v>
      </c>
      <c r="F9" s="29">
        <f t="shared" si="1"/>
        <v>1.2513541666666665</v>
      </c>
      <c r="G9" s="29">
        <f t="shared" si="1"/>
        <v>0.37540625</v>
      </c>
      <c r="H9" s="29">
        <f t="shared" si="1"/>
        <v>6.3291139240506333E-2</v>
      </c>
    </row>
    <row r="10" spans="1:8" x14ac:dyDescent="0.35">
      <c r="B10" s="28" t="s">
        <v>12</v>
      </c>
      <c r="C10" s="29">
        <f t="shared" ref="C10:H10" si="2">(3/4/PI()*C9)^(1/3)</f>
        <v>6.2454217542159647</v>
      </c>
      <c r="D10" s="29">
        <f t="shared" si="2"/>
        <v>1.8870630305572187</v>
      </c>
      <c r="E10" s="29">
        <f t="shared" si="2"/>
        <v>0.76179691622347201</v>
      </c>
      <c r="F10" s="29">
        <f t="shared" si="2"/>
        <v>0.66849353503119813</v>
      </c>
      <c r="G10" s="29">
        <f t="shared" si="2"/>
        <v>0.44751159926679318</v>
      </c>
      <c r="H10" s="29">
        <f t="shared" si="2"/>
        <v>0.24722066364100112</v>
      </c>
    </row>
    <row r="11" spans="1:8" x14ac:dyDescent="0.35">
      <c r="D11" s="27"/>
      <c r="E11" s="27"/>
      <c r="F11" s="27"/>
    </row>
    <row r="12" spans="1:8" x14ac:dyDescent="0.35">
      <c r="A12" s="141" t="s">
        <v>121</v>
      </c>
      <c r="B12" s="142"/>
      <c r="C12" s="142"/>
      <c r="D12" s="142"/>
      <c r="E12" s="143" t="s">
        <v>120</v>
      </c>
    </row>
    <row r="13" spans="1:8" ht="15.5" x14ac:dyDescent="0.35">
      <c r="A13" s="142"/>
      <c r="B13" s="144" t="s">
        <v>122</v>
      </c>
      <c r="C13" s="145">
        <f>C7/3.6</f>
        <v>0.2722222222222222</v>
      </c>
      <c r="D13" s="146">
        <f>D7/3.6</f>
        <v>9.8684664862167892</v>
      </c>
      <c r="E13" s="147">
        <f>E7/3.6</f>
        <v>150</v>
      </c>
    </row>
    <row r="14" spans="1:8" x14ac:dyDescent="0.35">
      <c r="E14" s="127"/>
    </row>
    <row r="16" spans="1:8" x14ac:dyDescent="0.35">
      <c r="C16" s="127"/>
      <c r="D16" s="129"/>
      <c r="E16" s="127"/>
    </row>
    <row r="17" spans="3:5" x14ac:dyDescent="0.35">
      <c r="D17" s="130"/>
    </row>
    <row r="18" spans="3:5" x14ac:dyDescent="0.35">
      <c r="C18" s="127"/>
      <c r="D18" s="128"/>
      <c r="E18" s="127"/>
    </row>
    <row r="19" spans="3:5" x14ac:dyDescent="0.35">
      <c r="D19" s="129"/>
      <c r="E19" s="127"/>
    </row>
  </sheetData>
  <hyperlinks>
    <hyperlink ref="E12" r:id="rId1" xr:uid="{BABD9C28-3805-4266-8D5D-081DC7E7AF66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5EB11-8805-4C6D-99B8-F2E10B771C39}">
  <dimension ref="B1:Z114"/>
  <sheetViews>
    <sheetView zoomScaleNormal="100" workbookViewId="0">
      <selection activeCell="M4" sqref="M4"/>
    </sheetView>
  </sheetViews>
  <sheetFormatPr baseColWidth="10" defaultRowHeight="14.5" x14ac:dyDescent="0.35"/>
  <cols>
    <col min="1" max="1" width="3.1796875" customWidth="1"/>
    <col min="3" max="3" width="12" bestFit="1" customWidth="1"/>
    <col min="4" max="4" width="9.453125" customWidth="1"/>
    <col min="5" max="5" width="11.26953125" customWidth="1"/>
    <col min="9" max="9" width="11.54296875" customWidth="1"/>
    <col min="10" max="10" width="11.54296875" bestFit="1" customWidth="1"/>
    <col min="11" max="11" width="13.26953125" bestFit="1" customWidth="1"/>
    <col min="12" max="14" width="11.453125" customWidth="1"/>
    <col min="15" max="15" width="5.36328125" customWidth="1"/>
  </cols>
  <sheetData>
    <row r="1" spans="2:26" ht="19" customHeight="1" x14ac:dyDescent="0.35">
      <c r="B1" s="1" t="s">
        <v>98</v>
      </c>
    </row>
    <row r="2" spans="2:26" ht="19.5" customHeight="1" x14ac:dyDescent="0.35">
      <c r="B2" s="104" t="s">
        <v>99</v>
      </c>
    </row>
    <row r="3" spans="2:26" x14ac:dyDescent="0.35">
      <c r="B3" s="103"/>
    </row>
    <row r="4" spans="2:26" s="114" customFormat="1" ht="16" x14ac:dyDescent="0.45">
      <c r="D4" s="99" t="s">
        <v>103</v>
      </c>
      <c r="E4" s="120">
        <v>10</v>
      </c>
      <c r="H4" s="115" t="s">
        <v>104</v>
      </c>
      <c r="I4" s="121"/>
      <c r="L4" s="100" t="s">
        <v>90</v>
      </c>
      <c r="M4" s="119"/>
    </row>
    <row r="5" spans="2:26" ht="15.75" customHeight="1" x14ac:dyDescent="0.35"/>
    <row r="6" spans="2:26" x14ac:dyDescent="0.35">
      <c r="B6" s="116" t="s">
        <v>102</v>
      </c>
      <c r="C6" s="5"/>
      <c r="D6" s="5"/>
      <c r="E6" s="6" t="s">
        <v>14</v>
      </c>
      <c r="F6" s="6" t="s">
        <v>0</v>
      </c>
      <c r="G6" s="6" t="s">
        <v>15</v>
      </c>
      <c r="H6" s="6" t="s">
        <v>97</v>
      </c>
      <c r="I6" s="6" t="s">
        <v>91</v>
      </c>
      <c r="J6" s="6" t="s">
        <v>92</v>
      </c>
      <c r="K6" s="6" t="s">
        <v>93</v>
      </c>
      <c r="L6" s="6" t="s">
        <v>94</v>
      </c>
      <c r="M6" s="6" t="s">
        <v>95</v>
      </c>
      <c r="N6" s="6" t="s">
        <v>96</v>
      </c>
      <c r="O6" s="123"/>
      <c r="V6" s="10"/>
      <c r="W6" s="3"/>
      <c r="X6" s="2"/>
      <c r="Y6" s="2"/>
      <c r="Z6" s="11"/>
    </row>
    <row r="7" spans="2:26" ht="17.25" customHeight="1" x14ac:dyDescent="0.4">
      <c r="B7" s="12" t="s">
        <v>101</v>
      </c>
      <c r="C7" s="2"/>
      <c r="D7" s="2"/>
      <c r="E7" s="98">
        <f t="shared" ref="E7:N7" si="0">10^3*$E$4*$M$4/E14/8760</f>
        <v>0</v>
      </c>
      <c r="F7" s="98">
        <f t="shared" si="0"/>
        <v>0</v>
      </c>
      <c r="G7" s="98">
        <f t="shared" si="0"/>
        <v>0</v>
      </c>
      <c r="H7" s="98">
        <f t="shared" si="0"/>
        <v>0</v>
      </c>
      <c r="I7" s="98">
        <f t="shared" si="0"/>
        <v>0</v>
      </c>
      <c r="J7" s="98">
        <f t="shared" si="0"/>
        <v>0</v>
      </c>
      <c r="K7" s="98">
        <f t="shared" si="0"/>
        <v>0</v>
      </c>
      <c r="L7" s="98">
        <f t="shared" si="0"/>
        <v>0</v>
      </c>
      <c r="M7" s="98">
        <f t="shared" si="0"/>
        <v>0</v>
      </c>
      <c r="N7" s="98">
        <f t="shared" si="0"/>
        <v>0</v>
      </c>
      <c r="O7" s="98"/>
      <c r="R7" s="12"/>
      <c r="S7" s="2"/>
      <c r="T7" s="2"/>
      <c r="U7" s="13"/>
      <c r="V7" s="11"/>
      <c r="W7" s="11"/>
      <c r="X7" s="11"/>
      <c r="Y7" s="11"/>
      <c r="Z7" s="14"/>
    </row>
    <row r="8" spans="2:26" x14ac:dyDescent="0.35">
      <c r="B8" s="12" t="s">
        <v>109</v>
      </c>
      <c r="C8" s="2"/>
      <c r="D8" s="2"/>
      <c r="E8" s="118" t="e">
        <f>E7/$M$4</f>
        <v>#DIV/0!</v>
      </c>
      <c r="F8" s="118" t="e">
        <f t="shared" ref="F8:N8" si="1">F7/$M$4</f>
        <v>#DIV/0!</v>
      </c>
      <c r="G8" s="118" t="e">
        <f>G7/$M$4</f>
        <v>#DIV/0!</v>
      </c>
      <c r="H8" s="118" t="e">
        <f t="shared" si="1"/>
        <v>#DIV/0!</v>
      </c>
      <c r="I8" s="118" t="e">
        <f t="shared" si="1"/>
        <v>#DIV/0!</v>
      </c>
      <c r="J8" s="118" t="e">
        <f t="shared" si="1"/>
        <v>#DIV/0!</v>
      </c>
      <c r="K8" s="118" t="e">
        <f t="shared" si="1"/>
        <v>#DIV/0!</v>
      </c>
      <c r="L8" s="118" t="e">
        <f t="shared" si="1"/>
        <v>#DIV/0!</v>
      </c>
      <c r="M8" s="118" t="e">
        <f t="shared" si="1"/>
        <v>#DIV/0!</v>
      </c>
      <c r="N8" s="118" t="e">
        <f t="shared" si="1"/>
        <v>#DIV/0!</v>
      </c>
      <c r="O8" s="98"/>
      <c r="U8" s="17"/>
      <c r="V8" s="2"/>
      <c r="W8" s="2"/>
      <c r="X8" s="17"/>
    </row>
    <row r="9" spans="2:26" ht="15" x14ac:dyDescent="0.4">
      <c r="B9" s="17" t="s">
        <v>1</v>
      </c>
      <c r="C9" s="2"/>
      <c r="D9" s="2"/>
      <c r="E9" s="24">
        <v>60</v>
      </c>
      <c r="F9" s="15">
        <v>9.6</v>
      </c>
      <c r="G9" s="15">
        <v>29.5</v>
      </c>
      <c r="H9" s="10">
        <v>182</v>
      </c>
      <c r="I9" s="10">
        <v>902</v>
      </c>
      <c r="J9" s="10">
        <v>395</v>
      </c>
      <c r="K9" s="10">
        <v>472</v>
      </c>
      <c r="L9" s="10">
        <v>8435</v>
      </c>
      <c r="M9" s="10">
        <v>6925</v>
      </c>
      <c r="N9" s="10">
        <v>1545</v>
      </c>
      <c r="O9" s="10"/>
      <c r="R9" s="16"/>
      <c r="U9" s="106"/>
      <c r="V9" s="106"/>
      <c r="W9" s="106"/>
      <c r="X9" s="106"/>
      <c r="Y9" s="106"/>
      <c r="Z9" s="107"/>
    </row>
    <row r="10" spans="2:26" ht="15" x14ac:dyDescent="0.4">
      <c r="B10" s="17" t="s">
        <v>2</v>
      </c>
      <c r="C10" s="2"/>
      <c r="D10" s="2"/>
      <c r="E10" s="24">
        <v>1255</v>
      </c>
      <c r="F10" s="10">
        <v>970</v>
      </c>
      <c r="G10" s="10">
        <v>1191</v>
      </c>
      <c r="H10" s="10">
        <v>668</v>
      </c>
      <c r="I10" s="10">
        <v>2368</v>
      </c>
      <c r="J10" s="10">
        <v>899</v>
      </c>
      <c r="K10" s="10">
        <v>1505</v>
      </c>
      <c r="L10" s="10">
        <v>250</v>
      </c>
      <c r="M10" s="10">
        <v>569</v>
      </c>
      <c r="N10" s="10">
        <v>723</v>
      </c>
      <c r="O10" s="10"/>
      <c r="R10" s="17"/>
      <c r="S10" s="2"/>
      <c r="T10" s="2"/>
      <c r="V10" s="11"/>
      <c r="W10" s="11"/>
      <c r="X10" s="11"/>
      <c r="Y10" s="11"/>
      <c r="Z10" s="11"/>
    </row>
    <row r="11" spans="2:26" x14ac:dyDescent="0.35">
      <c r="B11" s="17" t="s">
        <v>3</v>
      </c>
      <c r="C11" s="2"/>
      <c r="D11" s="2"/>
      <c r="E11" s="24">
        <v>45</v>
      </c>
      <c r="F11" s="15">
        <v>12.5</v>
      </c>
      <c r="G11" s="10">
        <v>35</v>
      </c>
      <c r="H11" s="15">
        <v>9.5</v>
      </c>
      <c r="I11" s="15">
        <v>13.3</v>
      </c>
      <c r="J11" s="15">
        <v>14.3</v>
      </c>
      <c r="K11" s="15">
        <v>15.8</v>
      </c>
      <c r="L11" s="15">
        <v>12.5</v>
      </c>
      <c r="M11" s="15">
        <v>20</v>
      </c>
      <c r="N11" s="15">
        <v>20</v>
      </c>
      <c r="O11" s="15"/>
      <c r="R11" s="17"/>
      <c r="S11" s="2"/>
      <c r="T11" s="2"/>
      <c r="V11" s="11"/>
      <c r="W11" s="11"/>
      <c r="X11" s="11"/>
      <c r="Y11" s="11"/>
      <c r="Z11" s="11"/>
    </row>
    <row r="12" spans="2:26" x14ac:dyDescent="0.35">
      <c r="B12" s="17" t="s">
        <v>5</v>
      </c>
      <c r="C12" s="2"/>
      <c r="D12" s="2"/>
      <c r="E12" s="35">
        <v>3.8E-3</v>
      </c>
      <c r="F12" s="18">
        <v>0.01</v>
      </c>
      <c r="G12" s="102">
        <v>6.4999999999999997E-3</v>
      </c>
      <c r="H12" s="18">
        <v>0.01</v>
      </c>
      <c r="I12" s="18">
        <v>0.01</v>
      </c>
      <c r="J12" s="102">
        <v>7.4999999999999997E-3</v>
      </c>
      <c r="K12" s="18">
        <v>0.01</v>
      </c>
      <c r="L12" s="18">
        <v>0.01</v>
      </c>
      <c r="M12" s="18">
        <v>0.01</v>
      </c>
      <c r="N12" s="18">
        <v>0.01</v>
      </c>
      <c r="O12" s="124"/>
      <c r="R12" s="17"/>
      <c r="S12" s="2"/>
      <c r="T12" s="2"/>
      <c r="V12" s="11"/>
      <c r="W12" s="11"/>
      <c r="X12" s="11"/>
      <c r="Y12" s="11"/>
      <c r="Z12" s="11"/>
    </row>
    <row r="13" spans="2:26" x14ac:dyDescent="0.35">
      <c r="B13" s="12" t="s">
        <v>7</v>
      </c>
      <c r="C13" s="2"/>
      <c r="D13" s="2"/>
      <c r="E13" s="34">
        <v>0.72</v>
      </c>
      <c r="F13" s="19">
        <v>0.38</v>
      </c>
      <c r="G13" s="19">
        <v>0.71</v>
      </c>
      <c r="H13" s="19">
        <v>0.76</v>
      </c>
      <c r="I13" s="19">
        <v>0.86</v>
      </c>
      <c r="J13" s="19">
        <v>0.83</v>
      </c>
      <c r="K13" s="19">
        <v>0.77</v>
      </c>
      <c r="L13" s="19">
        <v>0.78</v>
      </c>
      <c r="M13" s="19">
        <v>0.88</v>
      </c>
      <c r="N13" s="19">
        <v>0.88</v>
      </c>
      <c r="O13" s="125"/>
      <c r="R13" s="17"/>
      <c r="S13" s="2"/>
      <c r="T13" s="2"/>
      <c r="V13" s="11"/>
      <c r="W13" s="11"/>
      <c r="X13" s="11"/>
      <c r="Y13" s="11"/>
      <c r="Z13" s="11"/>
    </row>
    <row r="14" spans="2:26" ht="15" x14ac:dyDescent="0.4">
      <c r="B14" s="12" t="s">
        <v>9</v>
      </c>
      <c r="C14" s="2"/>
      <c r="D14" s="2"/>
      <c r="E14" s="34">
        <v>0.95</v>
      </c>
      <c r="F14" s="19">
        <v>0.9</v>
      </c>
      <c r="G14" s="19">
        <v>0.63</v>
      </c>
      <c r="H14" s="19">
        <v>0.7</v>
      </c>
      <c r="I14" s="19">
        <v>0.7</v>
      </c>
      <c r="J14" s="19">
        <v>0.7</v>
      </c>
      <c r="K14" s="19">
        <v>1</v>
      </c>
      <c r="L14" s="19">
        <v>0.5</v>
      </c>
      <c r="M14" s="19">
        <v>0.9</v>
      </c>
      <c r="N14" s="19">
        <v>0.5</v>
      </c>
      <c r="O14" s="125"/>
      <c r="S14" s="105"/>
      <c r="T14" s="2"/>
      <c r="V14" s="109"/>
      <c r="W14" s="109"/>
      <c r="X14" s="109"/>
      <c r="Y14" s="109"/>
      <c r="Z14" s="109"/>
    </row>
    <row r="15" spans="2:26" ht="9" customHeight="1" x14ac:dyDescent="0.35"/>
    <row r="16" spans="2:26" ht="15" x14ac:dyDescent="0.35">
      <c r="B16" s="126" t="s">
        <v>110</v>
      </c>
      <c r="C16" s="9"/>
      <c r="E16" s="101">
        <f>10^3*$E$4*E13</f>
        <v>7200</v>
      </c>
      <c r="F16" s="101">
        <f>10^3*$E$4*F13</f>
        <v>3800</v>
      </c>
      <c r="G16" s="101">
        <f t="shared" ref="G16:N16" si="2">10^3*$E$4*G13</f>
        <v>7100</v>
      </c>
      <c r="H16" s="101">
        <f t="shared" si="2"/>
        <v>7600</v>
      </c>
      <c r="I16" s="101">
        <f t="shared" si="2"/>
        <v>8600</v>
      </c>
      <c r="J16" s="101">
        <f t="shared" si="2"/>
        <v>8300</v>
      </c>
      <c r="K16" s="101">
        <f t="shared" si="2"/>
        <v>7700</v>
      </c>
      <c r="L16" s="101">
        <f t="shared" si="2"/>
        <v>7800</v>
      </c>
      <c r="M16" s="101">
        <f t="shared" si="2"/>
        <v>8800</v>
      </c>
      <c r="N16" s="101">
        <f t="shared" si="2"/>
        <v>8800</v>
      </c>
      <c r="O16" s="110"/>
      <c r="X16" s="2"/>
      <c r="Y16" s="2"/>
      <c r="Z16" s="11"/>
    </row>
    <row r="17" spans="2:15" ht="9" customHeight="1" x14ac:dyDescent="0.35">
      <c r="B17" s="7"/>
      <c r="C17" s="2"/>
      <c r="D17" s="2"/>
      <c r="F17" s="12"/>
      <c r="G17" s="2"/>
      <c r="H17" s="2"/>
      <c r="I17" s="13"/>
      <c r="J17" s="11"/>
      <c r="K17" s="11"/>
      <c r="L17" s="11"/>
      <c r="M17" s="11"/>
      <c r="N17" s="14"/>
      <c r="O17" s="14"/>
    </row>
    <row r="18" spans="2:15" x14ac:dyDescent="0.35">
      <c r="B18" s="117" t="s">
        <v>105</v>
      </c>
      <c r="F18" s="12"/>
      <c r="G18" s="2"/>
      <c r="H18" s="2"/>
      <c r="I18" s="13"/>
      <c r="J18" s="11"/>
      <c r="K18" s="11"/>
      <c r="L18" s="11"/>
      <c r="M18" s="11"/>
      <c r="N18" s="14"/>
      <c r="O18" s="14"/>
    </row>
    <row r="19" spans="2:15" ht="16" customHeight="1" x14ac:dyDescent="0.4">
      <c r="B19" s="17" t="s">
        <v>4</v>
      </c>
      <c r="C19" s="2"/>
      <c r="D19" s="2"/>
      <c r="E19" s="13" t="e">
        <f>(E9*10^3*E7+10^3*E10*E8)/E11</f>
        <v>#DIV/0!</v>
      </c>
      <c r="F19" s="13" t="e">
        <f t="shared" ref="F19:N19" si="3">(F9*10^3*F7+10^3*F10*F8)/F11</f>
        <v>#DIV/0!</v>
      </c>
      <c r="G19" s="13" t="e">
        <f t="shared" si="3"/>
        <v>#DIV/0!</v>
      </c>
      <c r="H19" s="13" t="e">
        <f t="shared" si="3"/>
        <v>#DIV/0!</v>
      </c>
      <c r="I19" s="13" t="e">
        <f t="shared" si="3"/>
        <v>#DIV/0!</v>
      </c>
      <c r="J19" s="13" t="e">
        <f t="shared" si="3"/>
        <v>#DIV/0!</v>
      </c>
      <c r="K19" s="13" t="e">
        <f t="shared" si="3"/>
        <v>#DIV/0!</v>
      </c>
      <c r="L19" s="13" t="e">
        <f t="shared" si="3"/>
        <v>#DIV/0!</v>
      </c>
      <c r="M19" s="13" t="e">
        <f t="shared" si="3"/>
        <v>#DIV/0!</v>
      </c>
      <c r="N19" s="13" t="e">
        <f t="shared" si="3"/>
        <v>#DIV/0!</v>
      </c>
      <c r="O19" s="13"/>
    </row>
    <row r="20" spans="2:15" ht="15" x14ac:dyDescent="0.4">
      <c r="B20" s="17" t="s">
        <v>6</v>
      </c>
      <c r="C20" s="2"/>
      <c r="D20" s="2"/>
      <c r="E20" s="13" t="e">
        <f>E12*E19*E11</f>
        <v>#DIV/0!</v>
      </c>
      <c r="F20" s="13" t="e">
        <f t="shared" ref="F20:N20" si="4">F12*F19*F11</f>
        <v>#DIV/0!</v>
      </c>
      <c r="G20" s="13" t="e">
        <f t="shared" si="4"/>
        <v>#DIV/0!</v>
      </c>
      <c r="H20" s="13" t="e">
        <f t="shared" si="4"/>
        <v>#DIV/0!</v>
      </c>
      <c r="I20" s="13" t="e">
        <f t="shared" si="4"/>
        <v>#DIV/0!</v>
      </c>
      <c r="J20" s="13" t="e">
        <f t="shared" si="4"/>
        <v>#DIV/0!</v>
      </c>
      <c r="K20" s="13" t="e">
        <f t="shared" si="4"/>
        <v>#DIV/0!</v>
      </c>
      <c r="L20" s="13" t="e">
        <f t="shared" si="4"/>
        <v>#DIV/0!</v>
      </c>
      <c r="M20" s="13" t="e">
        <f t="shared" si="4"/>
        <v>#DIV/0!</v>
      </c>
      <c r="N20" s="13" t="e">
        <f t="shared" si="4"/>
        <v>#DIV/0!</v>
      </c>
      <c r="O20" s="13"/>
    </row>
    <row r="21" spans="2:15" ht="15" x14ac:dyDescent="0.4">
      <c r="B21" s="17" t="s">
        <v>8</v>
      </c>
      <c r="C21" s="2"/>
      <c r="D21" s="2"/>
      <c r="E21" s="20">
        <f>10^6*$E$4*$I$4</f>
        <v>0</v>
      </c>
      <c r="F21" s="20">
        <f t="shared" ref="F21:N21" si="5">10^6*$E$4*$I$4</f>
        <v>0</v>
      </c>
      <c r="G21" s="20">
        <f t="shared" si="5"/>
        <v>0</v>
      </c>
      <c r="H21" s="20">
        <f t="shared" si="5"/>
        <v>0</v>
      </c>
      <c r="I21" s="20">
        <f t="shared" si="5"/>
        <v>0</v>
      </c>
      <c r="J21" s="20">
        <f t="shared" si="5"/>
        <v>0</v>
      </c>
      <c r="K21" s="20">
        <f t="shared" si="5"/>
        <v>0</v>
      </c>
      <c r="L21" s="20">
        <f t="shared" si="5"/>
        <v>0</v>
      </c>
      <c r="M21" s="20">
        <f t="shared" si="5"/>
        <v>0</v>
      </c>
      <c r="N21" s="20">
        <f t="shared" si="5"/>
        <v>0</v>
      </c>
      <c r="O21" s="13"/>
    </row>
    <row r="22" spans="2:15" ht="15" x14ac:dyDescent="0.4">
      <c r="B22" s="17" t="s">
        <v>10</v>
      </c>
      <c r="C22" s="2"/>
      <c r="D22" s="2"/>
      <c r="E22" s="13" t="e">
        <f>SUM(E19:E21)</f>
        <v>#DIV/0!</v>
      </c>
      <c r="F22" s="13" t="e">
        <f t="shared" ref="F22:N22" si="6">SUM(F19:F21)</f>
        <v>#DIV/0!</v>
      </c>
      <c r="G22" s="13" t="e">
        <f t="shared" si="6"/>
        <v>#DIV/0!</v>
      </c>
      <c r="H22" s="13" t="e">
        <f t="shared" si="6"/>
        <v>#DIV/0!</v>
      </c>
      <c r="I22" s="13" t="e">
        <f t="shared" si="6"/>
        <v>#DIV/0!</v>
      </c>
      <c r="J22" s="13" t="e">
        <f t="shared" si="6"/>
        <v>#DIV/0!</v>
      </c>
      <c r="K22" s="13" t="e">
        <f t="shared" si="6"/>
        <v>#DIV/0!</v>
      </c>
      <c r="L22" s="13" t="e">
        <f t="shared" si="6"/>
        <v>#DIV/0!</v>
      </c>
      <c r="M22" s="13" t="e">
        <f t="shared" si="6"/>
        <v>#DIV/0!</v>
      </c>
      <c r="N22" s="13" t="e">
        <f t="shared" si="6"/>
        <v>#DIV/0!</v>
      </c>
      <c r="O22" s="13"/>
    </row>
    <row r="23" spans="2:15" ht="18" customHeight="1" x14ac:dyDescent="0.4">
      <c r="C23" s="21" t="s">
        <v>11</v>
      </c>
      <c r="D23" s="22"/>
      <c r="E23" s="23" t="e">
        <f>E22/(10^3*E16)</f>
        <v>#DIV/0!</v>
      </c>
      <c r="F23" s="23" t="e">
        <f t="shared" ref="F23:N23" si="7">F22/(10^3*F16)</f>
        <v>#DIV/0!</v>
      </c>
      <c r="G23" s="23" t="e">
        <f t="shared" si="7"/>
        <v>#DIV/0!</v>
      </c>
      <c r="H23" s="23" t="e">
        <f t="shared" si="7"/>
        <v>#DIV/0!</v>
      </c>
      <c r="I23" s="23" t="e">
        <f t="shared" si="7"/>
        <v>#DIV/0!</v>
      </c>
      <c r="J23" s="23" t="e">
        <f t="shared" si="7"/>
        <v>#DIV/0!</v>
      </c>
      <c r="K23" s="23" t="e">
        <f t="shared" si="7"/>
        <v>#DIV/0!</v>
      </c>
      <c r="L23" s="23" t="e">
        <f t="shared" si="7"/>
        <v>#DIV/0!</v>
      </c>
      <c r="M23" s="23" t="e">
        <f t="shared" si="7"/>
        <v>#DIV/0!</v>
      </c>
      <c r="N23" s="23" t="e">
        <f t="shared" si="7"/>
        <v>#DIV/0!</v>
      </c>
      <c r="O23" s="108"/>
    </row>
    <row r="24" spans="2:15" x14ac:dyDescent="0.35">
      <c r="C24" s="105"/>
      <c r="D24" s="2"/>
      <c r="E24" s="108"/>
      <c r="F24" s="108"/>
      <c r="G24" s="108"/>
      <c r="H24" s="108"/>
      <c r="I24" s="108"/>
      <c r="J24" s="108"/>
      <c r="K24" s="108"/>
      <c r="L24" s="108"/>
      <c r="M24" s="108"/>
      <c r="N24" s="108"/>
      <c r="O24" s="108"/>
    </row>
    <row r="25" spans="2:15" ht="16" x14ac:dyDescent="0.45">
      <c r="B25" s="122" t="s">
        <v>108</v>
      </c>
      <c r="C25" s="113"/>
      <c r="D25" s="85" t="s">
        <v>100</v>
      </c>
      <c r="E25" s="6" t="s">
        <v>14</v>
      </c>
      <c r="F25" s="6" t="s">
        <v>0</v>
      </c>
      <c r="G25" s="6" t="s">
        <v>15</v>
      </c>
      <c r="H25" s="6" t="s">
        <v>97</v>
      </c>
      <c r="I25" s="6" t="s">
        <v>91</v>
      </c>
      <c r="J25" s="6" t="s">
        <v>92</v>
      </c>
      <c r="K25" s="6" t="s">
        <v>93</v>
      </c>
      <c r="L25" s="6" t="s">
        <v>94</v>
      </c>
      <c r="M25" s="6" t="s">
        <v>95</v>
      </c>
      <c r="N25" s="6" t="s">
        <v>96</v>
      </c>
      <c r="O25" s="123"/>
    </row>
    <row r="26" spans="2:15" x14ac:dyDescent="0.35">
      <c r="C26" s="2"/>
      <c r="D26" s="111">
        <v>0.1</v>
      </c>
      <c r="E26" s="112">
        <v>6.075777872721717E-3</v>
      </c>
      <c r="F26" s="112">
        <v>2.9831771208844036E-2</v>
      </c>
      <c r="G26" s="112">
        <v>1.1293822950750819E-2</v>
      </c>
      <c r="H26" s="112">
        <v>2.7324891175306693E-2</v>
      </c>
      <c r="I26" s="112">
        <v>7.3222445363853361E-2</v>
      </c>
      <c r="J26" s="112">
        <v>2.8099352234935662E-2</v>
      </c>
      <c r="K26" s="112">
        <v>2.8661472912383266E-2</v>
      </c>
      <c r="L26" s="112">
        <v>0.53988408851422565</v>
      </c>
      <c r="M26" s="112">
        <v>0.14865262211152624</v>
      </c>
      <c r="N26" s="112">
        <v>6.8975716064757164E-2</v>
      </c>
      <c r="O26" s="112"/>
    </row>
    <row r="27" spans="2:15" ht="17.25" customHeight="1" x14ac:dyDescent="0.35">
      <c r="B27" s="2"/>
      <c r="C27" s="2"/>
      <c r="D27" s="111">
        <v>1</v>
      </c>
      <c r="E27" s="112">
        <v>1.1704232571111528E-2</v>
      </c>
      <c r="F27" s="112">
        <v>3.6061043018505171E-2</v>
      </c>
      <c r="G27" s="112">
        <v>1.6997122985794741E-2</v>
      </c>
      <c r="H27" s="112">
        <v>0.12455480807281363</v>
      </c>
      <c r="I27" s="112">
        <v>0.38795231377036316</v>
      </c>
      <c r="J27" s="112">
        <v>0.15790101615939214</v>
      </c>
      <c r="K27" s="112">
        <v>0.13943918488308985</v>
      </c>
      <c r="L27" s="112">
        <v>5.3395679662802937</v>
      </c>
      <c r="M27" s="112">
        <v>1.442239172547392</v>
      </c>
      <c r="N27" s="112">
        <v>0.58846513075965123</v>
      </c>
      <c r="O27" s="112"/>
    </row>
    <row r="28" spans="2:15" x14ac:dyDescent="0.35">
      <c r="B28" s="2"/>
      <c r="C28" s="2"/>
      <c r="D28" s="111">
        <v>7</v>
      </c>
      <c r="E28" s="112">
        <v>4.9227263893710266E-2</v>
      </c>
      <c r="F28" s="112">
        <v>7.7589521749579407E-2</v>
      </c>
      <c r="G28" s="112">
        <v>5.5019123219420894E-2</v>
      </c>
      <c r="H28" s="112">
        <v>0.77275425405619325</v>
      </c>
      <c r="I28" s="112">
        <v>2.4861514364804287</v>
      </c>
      <c r="J28" s="112">
        <v>1.0232454423224351</v>
      </c>
      <c r="K28" s="112">
        <v>0.87795726468780055</v>
      </c>
      <c r="L28" s="112">
        <v>37.337460484720758</v>
      </c>
      <c r="M28" s="112">
        <v>10.066149508786493</v>
      </c>
      <c r="N28" s="112">
        <v>4.0517278953922782</v>
      </c>
      <c r="O28" s="112"/>
    </row>
    <row r="29" spans="2:15" x14ac:dyDescent="0.35">
      <c r="B29" s="2"/>
      <c r="C29" s="2"/>
      <c r="D29" s="111">
        <v>30</v>
      </c>
      <c r="E29" s="112">
        <v>0.19306555063033878</v>
      </c>
      <c r="F29" s="112">
        <v>0.23678202355203079</v>
      </c>
      <c r="G29" s="112">
        <v>0.20077012411498785</v>
      </c>
      <c r="H29" s="112">
        <v>3.257518796992481</v>
      </c>
      <c r="I29" s="112">
        <v>10.52924807353568</v>
      </c>
      <c r="J29" s="112">
        <v>4.3403990759474338</v>
      </c>
      <c r="K29" s="112">
        <v>3.7089432372725244</v>
      </c>
      <c r="L29" s="112">
        <v>159.99604847207587</v>
      </c>
      <c r="M29" s="112">
        <v>43.124472464369724</v>
      </c>
      <c r="N29" s="112">
        <v>17.327568493150682</v>
      </c>
      <c r="O29" s="112"/>
    </row>
    <row r="31" spans="2:15" ht="16" x14ac:dyDescent="0.45">
      <c r="B31" s="122" t="s">
        <v>106</v>
      </c>
      <c r="C31" s="113"/>
      <c r="D31" s="85" t="s">
        <v>100</v>
      </c>
      <c r="E31" s="6" t="s">
        <v>14</v>
      </c>
      <c r="F31" s="6" t="s">
        <v>0</v>
      </c>
      <c r="G31" s="6" t="s">
        <v>15</v>
      </c>
      <c r="H31" s="6" t="s">
        <v>97</v>
      </c>
      <c r="I31" s="6" t="s">
        <v>91</v>
      </c>
      <c r="J31" s="6" t="s">
        <v>92</v>
      </c>
      <c r="K31" s="6" t="s">
        <v>93</v>
      </c>
      <c r="L31" s="6" t="s">
        <v>94</v>
      </c>
      <c r="M31" s="6" t="s">
        <v>95</v>
      </c>
      <c r="N31" s="6" t="s">
        <v>96</v>
      </c>
      <c r="O31" s="123"/>
    </row>
    <row r="32" spans="2:15" x14ac:dyDescent="0.35">
      <c r="C32" s="2"/>
      <c r="D32" s="111">
        <v>0.1</v>
      </c>
      <c r="E32" s="112">
        <v>7.5520222317166152E-2</v>
      </c>
      <c r="F32" s="112">
        <v>0.16141071857726508</v>
      </c>
      <c r="G32" s="112">
        <v>8.1716358162018429E-2</v>
      </c>
      <c r="H32" s="112">
        <v>9.3114364859517226E-2</v>
      </c>
      <c r="I32" s="112">
        <v>0.13136198024757428</v>
      </c>
      <c r="J32" s="112">
        <v>8.8340316090357349E-2</v>
      </c>
      <c r="K32" s="112">
        <v>9.3596537847448188E-2</v>
      </c>
      <c r="L32" s="112">
        <v>0.60398665261678974</v>
      </c>
      <c r="M32" s="112">
        <v>0.20547080392970807</v>
      </c>
      <c r="N32" s="112">
        <v>0.12579389788293899</v>
      </c>
      <c r="O32" s="112"/>
    </row>
    <row r="33" spans="2:15" x14ac:dyDescent="0.35">
      <c r="B33" s="2"/>
      <c r="C33" s="2"/>
      <c r="D33" s="111">
        <v>1</v>
      </c>
      <c r="E33" s="112">
        <v>8.1148677015555976E-2</v>
      </c>
      <c r="F33" s="112">
        <v>0.16763999038692623</v>
      </c>
      <c r="G33" s="112">
        <v>8.741965819706235E-2</v>
      </c>
      <c r="H33" s="112">
        <v>0.19034428175702414</v>
      </c>
      <c r="I33" s="112">
        <v>0.44609184865408408</v>
      </c>
      <c r="J33" s="112">
        <v>0.21814198001481383</v>
      </c>
      <c r="K33" s="112">
        <v>0.20437424981815477</v>
      </c>
      <c r="L33" s="112">
        <v>5.4036705303828585</v>
      </c>
      <c r="M33" s="112">
        <v>1.4990573543655736</v>
      </c>
      <c r="N33" s="112">
        <v>0.645283312577833</v>
      </c>
      <c r="O33" s="112"/>
    </row>
    <row r="34" spans="2:15" x14ac:dyDescent="0.35">
      <c r="B34" s="2"/>
      <c r="C34" s="2"/>
      <c r="D34" s="111">
        <v>7</v>
      </c>
      <c r="E34" s="112">
        <v>0.11867170833815471</v>
      </c>
      <c r="F34" s="112">
        <v>0.20916846911800044</v>
      </c>
      <c r="G34" s="112">
        <v>0.1254416584306885</v>
      </c>
      <c r="H34" s="112">
        <v>0.83854372774040375</v>
      </c>
      <c r="I34" s="112">
        <v>2.5442909713641497</v>
      </c>
      <c r="J34" s="112">
        <v>1.0834864061778569</v>
      </c>
      <c r="K34" s="112">
        <v>0.94289232962286551</v>
      </c>
      <c r="L34" s="112">
        <v>37.40156304882332</v>
      </c>
      <c r="M34" s="112">
        <v>10.122967690604675</v>
      </c>
      <c r="N34" s="112">
        <v>4.1085460772104607</v>
      </c>
      <c r="O34" s="112"/>
    </row>
    <row r="35" spans="2:15" x14ac:dyDescent="0.35">
      <c r="B35" s="2"/>
      <c r="C35" s="2"/>
      <c r="D35" s="111">
        <v>30</v>
      </c>
      <c r="E35" s="112">
        <v>0.26250999507478323</v>
      </c>
      <c r="F35" s="112">
        <v>0.36836097092045184</v>
      </c>
      <c r="G35" s="112">
        <v>0.27119265932625547</v>
      </c>
      <c r="H35" s="112">
        <v>3.3233082706766912</v>
      </c>
      <c r="I35" s="112">
        <v>10.5873876084194</v>
      </c>
      <c r="J35" s="112">
        <v>4.4006400398028553</v>
      </c>
      <c r="K35" s="112">
        <v>3.773878302207589</v>
      </c>
      <c r="L35" s="112">
        <v>160.06015103617841</v>
      </c>
      <c r="M35" s="112">
        <v>43.181290646187904</v>
      </c>
      <c r="N35" s="112">
        <v>17.384386674968866</v>
      </c>
      <c r="O35" s="112"/>
    </row>
    <row r="36" spans="2:15" ht="15.75" customHeight="1" x14ac:dyDescent="0.35">
      <c r="B36" s="2"/>
      <c r="C36" s="2"/>
      <c r="D36" s="111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2"/>
    </row>
    <row r="37" spans="2:15" ht="16" x14ac:dyDescent="0.45">
      <c r="B37" s="122" t="s">
        <v>107</v>
      </c>
      <c r="C37" s="113"/>
      <c r="D37" s="85" t="s">
        <v>100</v>
      </c>
      <c r="E37" s="6" t="s">
        <v>14</v>
      </c>
      <c r="F37" s="6" t="s">
        <v>0</v>
      </c>
      <c r="G37" s="6" t="s">
        <v>15</v>
      </c>
      <c r="H37" s="6" t="s">
        <v>97</v>
      </c>
      <c r="I37" s="6" t="s">
        <v>91</v>
      </c>
      <c r="J37" s="6" t="s">
        <v>92</v>
      </c>
      <c r="K37" s="6" t="s">
        <v>93</v>
      </c>
      <c r="L37" s="6" t="s">
        <v>94</v>
      </c>
      <c r="M37" s="6" t="s">
        <v>95</v>
      </c>
      <c r="N37" s="6" t="s">
        <v>96</v>
      </c>
      <c r="O37" s="123"/>
    </row>
    <row r="38" spans="2:15" x14ac:dyDescent="0.35">
      <c r="D38" s="111">
        <v>0.1</v>
      </c>
      <c r="E38" s="112">
        <v>0.1449646667616106</v>
      </c>
      <c r="F38" s="112">
        <v>0.29298966594568615</v>
      </c>
      <c r="G38" s="112">
        <v>0.15213889337328604</v>
      </c>
      <c r="H38" s="112">
        <v>0.15890383854372775</v>
      </c>
      <c r="I38" s="112">
        <v>0.18950151513129521</v>
      </c>
      <c r="J38" s="112">
        <v>0.14858127994577902</v>
      </c>
      <c r="K38" s="112">
        <v>0.15853160278251313</v>
      </c>
      <c r="L38" s="112">
        <v>0.66808921671935384</v>
      </c>
      <c r="M38" s="112">
        <v>0.26228898574788989</v>
      </c>
      <c r="N38" s="112">
        <v>0.18261207970112081</v>
      </c>
      <c r="O38" s="112"/>
    </row>
    <row r="39" spans="2:15" x14ac:dyDescent="0.35">
      <c r="B39" s="7"/>
      <c r="C39" s="2"/>
      <c r="D39" s="111">
        <v>1</v>
      </c>
      <c r="E39" s="112">
        <v>0.1505931214600004</v>
      </c>
      <c r="F39" s="112">
        <v>0.2992189377553473</v>
      </c>
      <c r="G39" s="112">
        <v>0.15784219340832994</v>
      </c>
      <c r="H39" s="112">
        <v>0.25613375544123468</v>
      </c>
      <c r="I39" s="112">
        <v>0.50423138353780494</v>
      </c>
      <c r="J39" s="112">
        <v>0.27838294387023549</v>
      </c>
      <c r="K39" s="112">
        <v>0.26930931475321973</v>
      </c>
      <c r="L39" s="112">
        <v>5.4677730944854224</v>
      </c>
      <c r="M39" s="112">
        <v>1.5558755361837555</v>
      </c>
      <c r="N39" s="112">
        <v>0.70210149439601477</v>
      </c>
      <c r="O39" s="112"/>
    </row>
    <row r="40" spans="2:15" x14ac:dyDescent="0.35">
      <c r="D40" s="111">
        <v>7</v>
      </c>
      <c r="E40" s="112">
        <v>0.18811615278259916</v>
      </c>
      <c r="F40" s="112">
        <v>0.34074741648642148</v>
      </c>
      <c r="G40" s="112">
        <v>0.19586419364195612</v>
      </c>
      <c r="H40" s="112">
        <v>0.90433320142461426</v>
      </c>
      <c r="I40" s="112">
        <v>2.6024305062478708</v>
      </c>
      <c r="J40" s="112">
        <v>1.1437273700332786</v>
      </c>
      <c r="K40" s="112">
        <v>1.0078273945579304</v>
      </c>
      <c r="L40" s="112">
        <v>37.465665612925889</v>
      </c>
      <c r="M40" s="112">
        <v>10.179785872422856</v>
      </c>
      <c r="N40" s="112">
        <v>4.1653642590286424</v>
      </c>
      <c r="O40" s="112"/>
    </row>
    <row r="41" spans="2:15" x14ac:dyDescent="0.35">
      <c r="B41" s="4"/>
      <c r="D41" s="111">
        <v>30</v>
      </c>
      <c r="E41" s="112">
        <v>0.33195443951922765</v>
      </c>
      <c r="F41" s="112">
        <v>0.49993991828887291</v>
      </c>
      <c r="G41" s="112">
        <v>0.34161519453752309</v>
      </c>
      <c r="H41" s="112">
        <v>3.3890977443609018</v>
      </c>
      <c r="I41" s="112">
        <v>10.645527143303122</v>
      </c>
      <c r="J41" s="112">
        <v>4.4608810036582769</v>
      </c>
      <c r="K41" s="112">
        <v>3.8388133671426541</v>
      </c>
      <c r="L41" s="112">
        <v>160.12425360028098</v>
      </c>
      <c r="M41" s="112">
        <v>43.238108828006091</v>
      </c>
      <c r="N41" s="112">
        <v>17.441204856787046</v>
      </c>
      <c r="O41" s="112"/>
    </row>
    <row r="42" spans="2:15" x14ac:dyDescent="0.35">
      <c r="B42" s="7"/>
      <c r="C42" s="2"/>
      <c r="D42" s="2"/>
      <c r="F42" s="17"/>
      <c r="G42" s="2"/>
      <c r="H42" s="2"/>
      <c r="I42" s="13"/>
      <c r="J42" s="11"/>
      <c r="K42" s="11"/>
      <c r="L42" s="11"/>
      <c r="M42" s="11"/>
      <c r="N42" s="11"/>
      <c r="O42" s="11"/>
    </row>
    <row r="43" spans="2:15" x14ac:dyDescent="0.35">
      <c r="B43" s="7"/>
      <c r="C43" s="2"/>
      <c r="D43" s="2"/>
      <c r="G43" s="105"/>
      <c r="H43" s="2"/>
      <c r="I43" s="108"/>
      <c r="J43" s="109"/>
      <c r="K43" s="109"/>
      <c r="L43" s="109"/>
      <c r="M43" s="109"/>
      <c r="N43" s="109"/>
      <c r="O43" s="109"/>
    </row>
    <row r="45" spans="2:15" x14ac:dyDescent="0.35">
      <c r="B45" s="4"/>
      <c r="F45" s="8"/>
      <c r="H45" s="24"/>
      <c r="I45" s="110"/>
    </row>
    <row r="46" spans="2:15" x14ac:dyDescent="0.35">
      <c r="B46" s="7"/>
      <c r="C46" s="2"/>
      <c r="D46" s="2"/>
    </row>
    <row r="47" spans="2:15" x14ac:dyDescent="0.35">
      <c r="B47" s="7"/>
      <c r="C47" s="2"/>
      <c r="D47" s="2"/>
      <c r="I47" s="17"/>
      <c r="J47" s="2"/>
      <c r="K47" s="2"/>
      <c r="L47" s="17"/>
      <c r="N47" s="11"/>
      <c r="O47" s="11"/>
    </row>
    <row r="48" spans="2:15" x14ac:dyDescent="0.35">
      <c r="B48" s="2"/>
      <c r="C48" s="2"/>
      <c r="D48" s="2"/>
      <c r="F48" s="16"/>
      <c r="G48" s="25"/>
      <c r="H48" s="24"/>
      <c r="I48" s="106"/>
      <c r="J48" s="106"/>
      <c r="K48" s="106"/>
      <c r="L48" s="106"/>
      <c r="M48" s="106"/>
      <c r="N48" s="107"/>
      <c r="O48" s="107"/>
    </row>
    <row r="49" spans="2:19" x14ac:dyDescent="0.35">
      <c r="B49" s="2"/>
      <c r="C49" s="2"/>
      <c r="D49" s="2"/>
      <c r="F49" s="17"/>
      <c r="G49" s="2"/>
      <c r="H49" s="2"/>
      <c r="I49" s="13"/>
      <c r="J49" s="11"/>
      <c r="K49" s="11"/>
      <c r="L49" s="11"/>
      <c r="M49" s="11"/>
      <c r="N49" s="11"/>
      <c r="O49" s="11"/>
    </row>
    <row r="50" spans="2:19" x14ac:dyDescent="0.35">
      <c r="B50" s="2"/>
      <c r="C50" s="2"/>
      <c r="D50" s="2"/>
      <c r="F50" s="17"/>
      <c r="G50" s="2"/>
      <c r="H50" s="2"/>
      <c r="I50" s="13"/>
      <c r="J50" s="11"/>
      <c r="K50" s="11"/>
      <c r="L50" s="11"/>
      <c r="M50" s="11"/>
      <c r="N50" s="11"/>
      <c r="O50" s="11"/>
    </row>
    <row r="51" spans="2:19" x14ac:dyDescent="0.35">
      <c r="B51" s="2"/>
      <c r="C51" s="2"/>
      <c r="D51" s="2"/>
      <c r="F51" s="17"/>
      <c r="G51" s="2"/>
      <c r="H51" s="2"/>
      <c r="I51" s="13"/>
      <c r="J51" s="11"/>
      <c r="K51" s="11"/>
      <c r="L51" s="11"/>
      <c r="M51" s="11"/>
      <c r="N51" s="11"/>
      <c r="O51" s="11"/>
    </row>
    <row r="52" spans="2:19" x14ac:dyDescent="0.35">
      <c r="B52" s="7"/>
      <c r="C52" s="2"/>
      <c r="D52" s="2"/>
      <c r="F52" s="17"/>
      <c r="G52" s="2"/>
      <c r="H52" s="2"/>
      <c r="I52" s="13"/>
      <c r="J52" s="11"/>
      <c r="K52" s="11"/>
      <c r="L52" s="11"/>
      <c r="M52" s="11"/>
      <c r="N52" s="11"/>
      <c r="O52" s="11"/>
    </row>
    <row r="53" spans="2:19" x14ac:dyDescent="0.35">
      <c r="B53" s="7"/>
      <c r="C53" s="2"/>
      <c r="D53" s="2"/>
      <c r="F53" s="2"/>
      <c r="G53" s="105"/>
      <c r="H53" s="2"/>
      <c r="I53" s="108"/>
      <c r="J53" s="109"/>
      <c r="K53" s="109"/>
      <c r="L53" s="109"/>
      <c r="M53" s="109"/>
      <c r="N53" s="109"/>
      <c r="O53" s="109"/>
      <c r="S53" s="2"/>
    </row>
    <row r="54" spans="2:19" x14ac:dyDescent="0.35">
      <c r="S54" s="2"/>
    </row>
    <row r="55" spans="2:19" x14ac:dyDescent="0.35">
      <c r="B55" s="4"/>
      <c r="F55" s="8"/>
      <c r="H55" s="24"/>
      <c r="I55" s="110"/>
      <c r="S55" s="2"/>
    </row>
    <row r="56" spans="2:19" x14ac:dyDescent="0.35">
      <c r="B56" s="7"/>
      <c r="C56" s="2"/>
      <c r="D56" s="2"/>
    </row>
    <row r="57" spans="2:19" x14ac:dyDescent="0.35">
      <c r="B57" s="7"/>
      <c r="C57" s="2"/>
      <c r="D57" s="2"/>
      <c r="I57" s="17"/>
      <c r="J57" s="2"/>
      <c r="K57" s="2"/>
      <c r="L57" s="17"/>
      <c r="N57" s="11"/>
      <c r="O57" s="11"/>
    </row>
    <row r="58" spans="2:19" x14ac:dyDescent="0.35">
      <c r="B58" s="2"/>
      <c r="C58" s="2"/>
      <c r="D58" s="2"/>
      <c r="F58" s="16"/>
      <c r="G58" s="25"/>
      <c r="H58" s="24"/>
      <c r="I58" s="106"/>
      <c r="J58" s="106"/>
      <c r="K58" s="106"/>
      <c r="L58" s="106"/>
      <c r="M58" s="106"/>
      <c r="N58" s="107"/>
      <c r="O58" s="107"/>
    </row>
    <row r="59" spans="2:19" x14ac:dyDescent="0.35">
      <c r="B59" s="2"/>
      <c r="C59" s="2"/>
      <c r="D59" s="2"/>
      <c r="F59" s="17"/>
      <c r="G59" s="2"/>
      <c r="H59" s="2"/>
      <c r="I59" s="13"/>
      <c r="J59" s="11"/>
      <c r="K59" s="11"/>
      <c r="L59" s="11"/>
      <c r="M59" s="11"/>
      <c r="N59" s="11"/>
      <c r="O59" s="11"/>
    </row>
    <row r="60" spans="2:19" x14ac:dyDescent="0.35">
      <c r="B60" s="2"/>
      <c r="C60" s="2"/>
      <c r="D60" s="2"/>
      <c r="F60" s="17"/>
      <c r="G60" s="2"/>
      <c r="H60" s="2"/>
      <c r="I60" s="13"/>
      <c r="J60" s="11"/>
      <c r="K60" s="11"/>
      <c r="L60" s="11"/>
      <c r="M60" s="11"/>
      <c r="N60" s="11"/>
      <c r="O60" s="11"/>
    </row>
    <row r="61" spans="2:19" x14ac:dyDescent="0.35">
      <c r="B61" s="2"/>
      <c r="C61" s="2"/>
      <c r="D61" s="2"/>
      <c r="F61" s="17"/>
      <c r="G61" s="2"/>
      <c r="H61" s="2"/>
      <c r="I61" s="13"/>
      <c r="J61" s="11"/>
      <c r="K61" s="11"/>
      <c r="L61" s="11"/>
      <c r="M61" s="11"/>
      <c r="N61" s="11"/>
      <c r="O61" s="11"/>
    </row>
    <row r="62" spans="2:19" x14ac:dyDescent="0.35">
      <c r="B62" s="7"/>
      <c r="C62" s="2"/>
      <c r="D62" s="2"/>
      <c r="F62" s="17"/>
      <c r="G62" s="2"/>
      <c r="H62" s="2"/>
      <c r="I62" s="13"/>
      <c r="J62" s="11"/>
      <c r="K62" s="11"/>
      <c r="L62" s="11"/>
      <c r="M62" s="11"/>
      <c r="N62" s="11"/>
      <c r="O62" s="11"/>
    </row>
    <row r="63" spans="2:19" x14ac:dyDescent="0.35">
      <c r="B63" s="7"/>
      <c r="C63" s="2"/>
      <c r="D63" s="2"/>
      <c r="F63" s="2"/>
      <c r="G63" s="105"/>
      <c r="H63" s="2"/>
      <c r="I63" s="108"/>
      <c r="J63" s="109"/>
      <c r="K63" s="109"/>
      <c r="L63" s="109"/>
      <c r="M63" s="109"/>
      <c r="N63" s="109"/>
      <c r="O63" s="109"/>
    </row>
    <row r="64" spans="2:19" x14ac:dyDescent="0.35">
      <c r="B64" s="26"/>
      <c r="L64" s="7"/>
      <c r="P64" s="24"/>
    </row>
    <row r="65" spans="2:19" x14ac:dyDescent="0.35">
      <c r="B65" s="4"/>
      <c r="F65" s="8"/>
      <c r="H65" s="24"/>
      <c r="I65" s="110"/>
      <c r="S65" s="2"/>
    </row>
    <row r="66" spans="2:19" x14ac:dyDescent="0.35">
      <c r="B66" s="7"/>
      <c r="C66" s="2"/>
      <c r="D66" s="2"/>
    </row>
    <row r="67" spans="2:19" x14ac:dyDescent="0.35">
      <c r="B67" s="7"/>
      <c r="C67" s="2"/>
      <c r="D67" s="2"/>
      <c r="I67" s="17"/>
      <c r="J67" s="2"/>
      <c r="K67" s="2"/>
      <c r="L67" s="17"/>
      <c r="N67" s="11"/>
      <c r="O67" s="11"/>
    </row>
    <row r="68" spans="2:19" x14ac:dyDescent="0.35">
      <c r="B68" s="2"/>
      <c r="C68" s="2"/>
      <c r="D68" s="2"/>
      <c r="F68" s="16"/>
      <c r="G68" s="25"/>
      <c r="H68" s="24"/>
      <c r="I68" s="106"/>
      <c r="J68" s="106"/>
      <c r="K68" s="106"/>
      <c r="L68" s="106"/>
      <c r="M68" s="106"/>
      <c r="N68" s="107"/>
      <c r="O68" s="107"/>
    </row>
    <row r="69" spans="2:19" x14ac:dyDescent="0.35">
      <c r="B69" s="2"/>
      <c r="C69" s="2"/>
      <c r="D69" s="2"/>
      <c r="F69" s="17"/>
      <c r="G69" s="2"/>
      <c r="H69" s="2"/>
      <c r="I69" s="13"/>
      <c r="J69" s="11"/>
      <c r="K69" s="11"/>
      <c r="L69" s="11"/>
      <c r="M69" s="11"/>
      <c r="N69" s="11"/>
      <c r="O69" s="11"/>
    </row>
    <row r="70" spans="2:19" x14ac:dyDescent="0.35">
      <c r="B70" s="2"/>
      <c r="C70" s="2"/>
      <c r="D70" s="2"/>
      <c r="F70" s="17"/>
      <c r="G70" s="2"/>
      <c r="H70" s="2"/>
      <c r="I70" s="13"/>
      <c r="J70" s="11"/>
      <c r="K70" s="11"/>
      <c r="L70" s="11"/>
      <c r="M70" s="11"/>
      <c r="N70" s="11"/>
      <c r="O70" s="11"/>
    </row>
    <row r="71" spans="2:19" x14ac:dyDescent="0.35">
      <c r="B71" s="2"/>
      <c r="C71" s="2"/>
      <c r="D71" s="2"/>
      <c r="F71" s="17"/>
      <c r="G71" s="2"/>
      <c r="H71" s="2"/>
      <c r="I71" s="13"/>
      <c r="J71" s="11"/>
      <c r="K71" s="11"/>
      <c r="L71" s="11"/>
      <c r="M71" s="11"/>
      <c r="N71" s="11"/>
      <c r="O71" s="11"/>
    </row>
    <row r="72" spans="2:19" x14ac:dyDescent="0.35">
      <c r="B72" s="7"/>
      <c r="C72" s="2"/>
      <c r="D72" s="2"/>
      <c r="F72" s="17"/>
      <c r="G72" s="2"/>
      <c r="H72" s="2"/>
      <c r="I72" s="13"/>
      <c r="J72" s="11"/>
      <c r="K72" s="11"/>
      <c r="L72" s="11"/>
      <c r="M72" s="11"/>
      <c r="N72" s="11"/>
      <c r="O72" s="11"/>
    </row>
    <row r="73" spans="2:19" x14ac:dyDescent="0.35">
      <c r="B73" s="7"/>
      <c r="C73" s="2"/>
      <c r="D73" s="2"/>
      <c r="F73" s="2"/>
      <c r="G73" s="105"/>
      <c r="H73" s="2"/>
      <c r="I73" s="108"/>
      <c r="J73" s="109"/>
      <c r="K73" s="109"/>
      <c r="L73" s="109"/>
      <c r="M73" s="109"/>
      <c r="N73" s="109"/>
      <c r="O73" s="109"/>
    </row>
    <row r="74" spans="2:19" x14ac:dyDescent="0.35">
      <c r="S74" s="2"/>
    </row>
    <row r="75" spans="2:19" x14ac:dyDescent="0.35">
      <c r="S75" s="2"/>
    </row>
    <row r="76" spans="2:19" x14ac:dyDescent="0.35">
      <c r="B76" s="4"/>
      <c r="F76" s="8"/>
      <c r="H76" s="24"/>
      <c r="I76" s="110"/>
      <c r="S76" s="2"/>
    </row>
    <row r="77" spans="2:19" x14ac:dyDescent="0.35">
      <c r="B77" s="7"/>
      <c r="C77" s="2"/>
      <c r="D77" s="2"/>
      <c r="S77" s="2"/>
    </row>
    <row r="78" spans="2:19" x14ac:dyDescent="0.35">
      <c r="B78" s="7"/>
      <c r="C78" s="2"/>
      <c r="D78" s="2"/>
      <c r="I78" s="17"/>
      <c r="J78" s="2"/>
      <c r="K78" s="2"/>
      <c r="L78" s="17"/>
      <c r="N78" s="11"/>
      <c r="O78" s="11"/>
      <c r="S78" s="2"/>
    </row>
    <row r="79" spans="2:19" x14ac:dyDescent="0.35">
      <c r="B79" s="2"/>
      <c r="C79" s="2"/>
      <c r="D79" s="2"/>
      <c r="F79" s="16"/>
      <c r="G79" s="25"/>
      <c r="H79" s="24"/>
      <c r="I79" s="106"/>
      <c r="J79" s="106"/>
      <c r="K79" s="106"/>
      <c r="L79" s="106"/>
      <c r="M79" s="106"/>
      <c r="N79" s="107"/>
      <c r="O79" s="107"/>
      <c r="S79" s="2"/>
    </row>
    <row r="80" spans="2:19" x14ac:dyDescent="0.35">
      <c r="B80" s="2"/>
      <c r="C80" s="2"/>
      <c r="D80" s="2"/>
      <c r="F80" s="17"/>
      <c r="G80" s="2"/>
      <c r="H80" s="2"/>
      <c r="I80" s="13"/>
      <c r="J80" s="11"/>
      <c r="K80" s="11"/>
      <c r="L80" s="11"/>
      <c r="M80" s="11"/>
      <c r="N80" s="11"/>
      <c r="O80" s="11"/>
      <c r="S80" s="2"/>
    </row>
    <row r="81" spans="2:19" x14ac:dyDescent="0.35">
      <c r="B81" s="2"/>
      <c r="C81" s="2"/>
      <c r="D81" s="2"/>
      <c r="F81" s="17"/>
      <c r="G81" s="2"/>
      <c r="H81" s="2"/>
      <c r="I81" s="13"/>
      <c r="J81" s="11"/>
      <c r="K81" s="11"/>
      <c r="L81" s="11"/>
      <c r="M81" s="11"/>
      <c r="N81" s="11"/>
      <c r="O81" s="11"/>
      <c r="S81" s="2"/>
    </row>
    <row r="82" spans="2:19" x14ac:dyDescent="0.35">
      <c r="B82" s="2"/>
      <c r="C82" s="2"/>
      <c r="D82" s="2"/>
      <c r="F82" s="17"/>
      <c r="G82" s="2"/>
      <c r="H82" s="2"/>
      <c r="I82" s="13"/>
      <c r="J82" s="11"/>
      <c r="K82" s="11"/>
      <c r="L82" s="11"/>
      <c r="M82" s="11"/>
      <c r="N82" s="11"/>
      <c r="O82" s="11"/>
      <c r="S82" s="2"/>
    </row>
    <row r="83" spans="2:19" x14ac:dyDescent="0.35">
      <c r="B83" s="7"/>
      <c r="C83" s="2"/>
      <c r="D83" s="2"/>
      <c r="F83" s="17"/>
      <c r="G83" s="2"/>
      <c r="H83" s="2"/>
      <c r="I83" s="13"/>
      <c r="J83" s="11"/>
      <c r="K83" s="11"/>
      <c r="L83" s="11"/>
      <c r="M83" s="11"/>
      <c r="N83" s="11"/>
      <c r="O83" s="11"/>
      <c r="S83" s="2"/>
    </row>
    <row r="84" spans="2:19" x14ac:dyDescent="0.35">
      <c r="B84" s="7"/>
      <c r="C84" s="2"/>
      <c r="D84" s="2"/>
      <c r="F84" s="2"/>
      <c r="G84" s="105"/>
      <c r="H84" s="2"/>
      <c r="I84" s="108"/>
      <c r="J84" s="109"/>
      <c r="K84" s="109"/>
      <c r="L84" s="109"/>
      <c r="M84" s="109"/>
      <c r="N84" s="109"/>
      <c r="O84" s="109"/>
      <c r="S84" s="2"/>
    </row>
    <row r="86" spans="2:19" x14ac:dyDescent="0.35">
      <c r="B86" s="4"/>
      <c r="F86" s="8"/>
      <c r="H86" s="24"/>
      <c r="I86" s="110"/>
      <c r="S86" s="2"/>
    </row>
    <row r="87" spans="2:19" x14ac:dyDescent="0.35">
      <c r="B87" s="7"/>
      <c r="C87" s="2"/>
      <c r="D87" s="2"/>
      <c r="S87" s="2"/>
    </row>
    <row r="88" spans="2:19" x14ac:dyDescent="0.35">
      <c r="B88" s="7"/>
      <c r="C88" s="2"/>
      <c r="D88" s="2"/>
      <c r="I88" s="17"/>
      <c r="J88" s="2"/>
      <c r="K88" s="2"/>
      <c r="L88" s="17"/>
      <c r="N88" s="11"/>
      <c r="O88" s="11"/>
      <c r="S88" s="2"/>
    </row>
    <row r="89" spans="2:19" x14ac:dyDescent="0.35">
      <c r="B89" s="2"/>
      <c r="C89" s="2"/>
      <c r="D89" s="2"/>
      <c r="F89" s="16"/>
      <c r="G89" s="25"/>
      <c r="H89" s="24"/>
      <c r="I89" s="106"/>
      <c r="J89" s="106"/>
      <c r="K89" s="106"/>
      <c r="L89" s="106"/>
      <c r="M89" s="106"/>
      <c r="N89" s="107"/>
      <c r="O89" s="107"/>
      <c r="S89" s="2"/>
    </row>
    <row r="90" spans="2:19" x14ac:dyDescent="0.35">
      <c r="B90" s="2"/>
      <c r="C90" s="2"/>
      <c r="D90" s="2"/>
      <c r="F90" s="17"/>
      <c r="G90" s="2"/>
      <c r="H90" s="2"/>
      <c r="I90" s="13"/>
      <c r="J90" s="11"/>
      <c r="K90" s="11"/>
      <c r="L90" s="11"/>
      <c r="M90" s="11"/>
      <c r="N90" s="11"/>
      <c r="O90" s="11"/>
      <c r="S90" s="2"/>
    </row>
    <row r="91" spans="2:19" x14ac:dyDescent="0.35">
      <c r="B91" s="2"/>
      <c r="C91" s="2"/>
      <c r="D91" s="2"/>
      <c r="F91" s="17"/>
      <c r="G91" s="2"/>
      <c r="H91" s="2"/>
      <c r="I91" s="13"/>
      <c r="J91" s="11"/>
      <c r="K91" s="11"/>
      <c r="L91" s="11"/>
      <c r="M91" s="11"/>
      <c r="N91" s="11"/>
      <c r="O91" s="11"/>
      <c r="S91" s="2"/>
    </row>
    <row r="92" spans="2:19" x14ac:dyDescent="0.35">
      <c r="B92" s="2"/>
      <c r="C92" s="2"/>
      <c r="D92" s="2"/>
      <c r="F92" s="17"/>
      <c r="G92" s="2"/>
      <c r="H92" s="2"/>
      <c r="I92" s="13"/>
      <c r="J92" s="11"/>
      <c r="K92" s="11"/>
      <c r="L92" s="11"/>
      <c r="M92" s="11"/>
      <c r="N92" s="11"/>
      <c r="O92" s="11"/>
      <c r="S92" s="2"/>
    </row>
    <row r="93" spans="2:19" x14ac:dyDescent="0.35">
      <c r="B93" s="7"/>
      <c r="C93" s="2"/>
      <c r="D93" s="2"/>
      <c r="F93" s="17"/>
      <c r="G93" s="2"/>
      <c r="H93" s="2"/>
      <c r="I93" s="13"/>
      <c r="J93" s="11"/>
      <c r="K93" s="11"/>
      <c r="L93" s="11"/>
      <c r="M93" s="11"/>
      <c r="N93" s="11"/>
      <c r="O93" s="11"/>
      <c r="S93" s="2"/>
    </row>
    <row r="94" spans="2:19" x14ac:dyDescent="0.35">
      <c r="B94" s="7"/>
      <c r="C94" s="2"/>
      <c r="D94" s="2"/>
      <c r="F94" s="2"/>
      <c r="G94" s="105"/>
      <c r="H94" s="2"/>
      <c r="I94" s="108"/>
      <c r="J94" s="109"/>
      <c r="K94" s="109"/>
      <c r="L94" s="109"/>
      <c r="M94" s="109"/>
      <c r="N94" s="109"/>
      <c r="O94" s="109"/>
      <c r="S94" s="2"/>
    </row>
    <row r="96" spans="2:19" x14ac:dyDescent="0.35">
      <c r="B96" s="4"/>
      <c r="F96" s="8"/>
      <c r="H96" s="24"/>
      <c r="I96" s="110"/>
    </row>
    <row r="97" spans="2:15" x14ac:dyDescent="0.35">
      <c r="B97" s="7"/>
      <c r="C97" s="2"/>
      <c r="D97" s="2"/>
    </row>
    <row r="98" spans="2:15" x14ac:dyDescent="0.35">
      <c r="B98" s="7"/>
      <c r="C98" s="2"/>
      <c r="D98" s="2"/>
      <c r="I98" s="17"/>
      <c r="J98" s="2"/>
      <c r="K98" s="2"/>
      <c r="L98" s="17"/>
      <c r="N98" s="11"/>
      <c r="O98" s="11"/>
    </row>
    <row r="99" spans="2:15" x14ac:dyDescent="0.35">
      <c r="B99" s="2"/>
      <c r="C99" s="2"/>
      <c r="D99" s="2"/>
      <c r="F99" s="16"/>
      <c r="G99" s="25"/>
      <c r="H99" s="24"/>
      <c r="I99" s="106"/>
      <c r="J99" s="106"/>
      <c r="K99" s="106"/>
      <c r="L99" s="106"/>
      <c r="M99" s="106"/>
      <c r="N99" s="107"/>
      <c r="O99" s="107"/>
    </row>
    <row r="100" spans="2:15" x14ac:dyDescent="0.35">
      <c r="B100" s="2"/>
      <c r="C100" s="2"/>
      <c r="D100" s="2"/>
      <c r="F100" s="17"/>
      <c r="G100" s="2"/>
      <c r="H100" s="2"/>
      <c r="I100" s="13"/>
      <c r="J100" s="11"/>
      <c r="K100" s="11"/>
      <c r="L100" s="11"/>
      <c r="M100" s="11"/>
      <c r="N100" s="11"/>
      <c r="O100" s="11"/>
    </row>
    <row r="101" spans="2:15" x14ac:dyDescent="0.35">
      <c r="B101" s="2"/>
      <c r="C101" s="2"/>
      <c r="D101" s="2"/>
      <c r="F101" s="17"/>
      <c r="G101" s="2"/>
      <c r="H101" s="2"/>
      <c r="I101" s="13"/>
      <c r="J101" s="11"/>
      <c r="K101" s="11"/>
      <c r="L101" s="11"/>
      <c r="M101" s="11"/>
      <c r="N101" s="11"/>
      <c r="O101" s="11"/>
    </row>
    <row r="102" spans="2:15" x14ac:dyDescent="0.35">
      <c r="B102" s="2"/>
      <c r="C102" s="2"/>
      <c r="D102" s="2"/>
      <c r="F102" s="17"/>
      <c r="G102" s="2"/>
      <c r="H102" s="2"/>
      <c r="I102" s="13"/>
      <c r="J102" s="11"/>
      <c r="K102" s="11"/>
      <c r="L102" s="11"/>
      <c r="M102" s="11"/>
      <c r="N102" s="11"/>
      <c r="O102" s="11"/>
    </row>
    <row r="103" spans="2:15" x14ac:dyDescent="0.35">
      <c r="B103" s="7"/>
      <c r="C103" s="2"/>
      <c r="D103" s="2"/>
      <c r="F103" s="17"/>
      <c r="G103" s="2"/>
      <c r="H103" s="2"/>
      <c r="I103" s="13"/>
      <c r="J103" s="11"/>
      <c r="K103" s="11"/>
      <c r="L103" s="11"/>
      <c r="M103" s="11"/>
      <c r="N103" s="11"/>
      <c r="O103" s="11"/>
    </row>
    <row r="104" spans="2:15" x14ac:dyDescent="0.35">
      <c r="B104" s="7"/>
      <c r="C104" s="2"/>
      <c r="D104" s="2"/>
      <c r="F104" s="2"/>
      <c r="G104" s="105"/>
      <c r="H104" s="2"/>
      <c r="I104" s="108"/>
      <c r="J104" s="109"/>
      <c r="K104" s="109"/>
      <c r="L104" s="109"/>
      <c r="M104" s="109"/>
      <c r="N104" s="109"/>
      <c r="O104" s="109"/>
    </row>
    <row r="106" spans="2:15" x14ac:dyDescent="0.35">
      <c r="B106" s="4"/>
      <c r="F106" s="8"/>
      <c r="H106" s="24"/>
      <c r="I106" s="110"/>
    </row>
    <row r="107" spans="2:15" x14ac:dyDescent="0.35">
      <c r="B107" s="7"/>
      <c r="C107" s="2"/>
      <c r="D107" s="2"/>
    </row>
    <row r="108" spans="2:15" x14ac:dyDescent="0.35">
      <c r="B108" s="7"/>
      <c r="C108" s="2"/>
      <c r="D108" s="2"/>
      <c r="I108" s="17"/>
      <c r="J108" s="2"/>
      <c r="K108" s="2"/>
      <c r="L108" s="17"/>
      <c r="N108" s="11"/>
      <c r="O108" s="11"/>
    </row>
    <row r="109" spans="2:15" x14ac:dyDescent="0.35">
      <c r="B109" s="2"/>
      <c r="C109" s="2"/>
      <c r="D109" s="2"/>
      <c r="F109" s="16"/>
      <c r="G109" s="25"/>
      <c r="H109" s="24"/>
      <c r="I109" s="106"/>
      <c r="J109" s="106"/>
      <c r="K109" s="106"/>
      <c r="L109" s="106"/>
      <c r="M109" s="106"/>
      <c r="N109" s="107"/>
      <c r="O109" s="107"/>
    </row>
    <row r="110" spans="2:15" x14ac:dyDescent="0.35">
      <c r="B110" s="2"/>
      <c r="C110" s="2"/>
      <c r="D110" s="2"/>
      <c r="F110" s="17"/>
      <c r="G110" s="2"/>
      <c r="H110" s="2"/>
      <c r="I110" s="13"/>
      <c r="J110" s="11"/>
      <c r="K110" s="11"/>
      <c r="L110" s="11"/>
      <c r="M110" s="11"/>
      <c r="N110" s="11"/>
      <c r="O110" s="11"/>
    </row>
    <row r="111" spans="2:15" x14ac:dyDescent="0.35">
      <c r="B111" s="2"/>
      <c r="C111" s="2"/>
      <c r="D111" s="2"/>
      <c r="F111" s="17"/>
      <c r="G111" s="2"/>
      <c r="H111" s="2"/>
      <c r="I111" s="13"/>
      <c r="J111" s="11"/>
      <c r="K111" s="11"/>
      <c r="L111" s="11"/>
      <c r="M111" s="11"/>
      <c r="N111" s="11"/>
      <c r="O111" s="11"/>
    </row>
    <row r="112" spans="2:15" x14ac:dyDescent="0.35">
      <c r="B112" s="2"/>
      <c r="C112" s="2"/>
      <c r="D112" s="2"/>
      <c r="F112" s="17"/>
      <c r="G112" s="2"/>
      <c r="H112" s="2"/>
      <c r="I112" s="13"/>
      <c r="J112" s="11"/>
      <c r="K112" s="11"/>
      <c r="L112" s="11"/>
      <c r="M112" s="11"/>
      <c r="N112" s="11"/>
      <c r="O112" s="11"/>
    </row>
    <row r="113" spans="2:15" x14ac:dyDescent="0.35">
      <c r="B113" s="7"/>
      <c r="C113" s="2"/>
      <c r="D113" s="2"/>
      <c r="F113" s="17"/>
      <c r="G113" s="2"/>
      <c r="H113" s="2"/>
      <c r="I113" s="13"/>
      <c r="J113" s="11"/>
      <c r="K113" s="11"/>
      <c r="L113" s="11"/>
      <c r="M113" s="11"/>
      <c r="N113" s="11"/>
      <c r="O113" s="11"/>
    </row>
    <row r="114" spans="2:15" x14ac:dyDescent="0.35">
      <c r="B114" s="7"/>
      <c r="C114" s="2"/>
      <c r="D114" s="2"/>
      <c r="F114" s="2"/>
      <c r="G114" s="105"/>
      <c r="H114" s="2"/>
      <c r="I114" s="108"/>
      <c r="J114" s="109"/>
      <c r="K114" s="109"/>
      <c r="L114" s="109"/>
      <c r="M114" s="109"/>
      <c r="N114" s="109"/>
      <c r="O114" s="109"/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E5B1B-6BBA-41E1-9CA8-35324C3EA133}">
  <dimension ref="A1:V83"/>
  <sheetViews>
    <sheetView zoomScale="95" zoomScaleNormal="95" workbookViewId="0">
      <selection activeCell="C4" sqref="C2:C4"/>
    </sheetView>
  </sheetViews>
  <sheetFormatPr baseColWidth="10" defaultRowHeight="14.5" x14ac:dyDescent="0.35"/>
  <cols>
    <col min="1" max="1" width="6.1796875" customWidth="1"/>
    <col min="2" max="2" width="10.54296875" customWidth="1"/>
    <col min="4" max="4" width="12" bestFit="1" customWidth="1"/>
    <col min="13" max="13" width="6.1796875" customWidth="1"/>
    <col min="15" max="15" width="10.1796875" customWidth="1"/>
    <col min="16" max="16" width="10.54296875" customWidth="1"/>
    <col min="21" max="21" width="12.81640625" customWidth="1"/>
  </cols>
  <sheetData>
    <row r="1" spans="1:22" ht="24" customHeight="1" x14ac:dyDescent="0.35">
      <c r="A1" s="140" t="s">
        <v>119</v>
      </c>
      <c r="I1" s="139" t="s">
        <v>88</v>
      </c>
    </row>
    <row r="2" spans="1:22" ht="16.5" x14ac:dyDescent="0.35">
      <c r="B2" s="3" t="s">
        <v>19</v>
      </c>
      <c r="C2" s="36">
        <v>7.55</v>
      </c>
      <c r="D2" s="37"/>
      <c r="E2" s="38" t="s">
        <v>20</v>
      </c>
      <c r="F2" s="39">
        <v>0.4</v>
      </c>
      <c r="G2" s="40" t="s">
        <v>21</v>
      </c>
      <c r="H2" s="41" t="s">
        <v>22</v>
      </c>
      <c r="I2" s="41" t="s">
        <v>23</v>
      </c>
      <c r="K2" t="s">
        <v>24</v>
      </c>
      <c r="L2" s="42">
        <v>7.6349999999999998</v>
      </c>
      <c r="N2" s="43" t="s">
        <v>25</v>
      </c>
      <c r="S2" s="44" t="s">
        <v>26</v>
      </c>
      <c r="T2" s="41" t="s">
        <v>27</v>
      </c>
      <c r="U2" s="45" t="s">
        <v>28</v>
      </c>
      <c r="V2" s="41" t="s">
        <v>29</v>
      </c>
    </row>
    <row r="3" spans="1:22" ht="17.5" x14ac:dyDescent="0.45">
      <c r="B3" s="3" t="s">
        <v>30</v>
      </c>
      <c r="C3" s="46">
        <v>3.48</v>
      </c>
      <c r="D3" s="37"/>
      <c r="E3" s="3" t="s">
        <v>31</v>
      </c>
      <c r="F3" s="47">
        <v>0</v>
      </c>
      <c r="G3" s="40"/>
      <c r="H3" s="48">
        <f>H4</f>
        <v>0.65393987193161796</v>
      </c>
      <c r="I3" s="49">
        <f>H3+(1-C4)/2-I5</f>
        <v>0.73046357615894042</v>
      </c>
      <c r="K3" t="s">
        <v>32</v>
      </c>
      <c r="L3" s="50">
        <f>L2/24</f>
        <v>0.31812499999999999</v>
      </c>
      <c r="N3" s="51" t="s">
        <v>33</v>
      </c>
      <c r="O3" s="52">
        <v>0.5</v>
      </c>
      <c r="S3" s="51" t="s">
        <v>34</v>
      </c>
      <c r="T3" s="26">
        <v>15</v>
      </c>
      <c r="U3" s="53">
        <v>3.6</v>
      </c>
      <c r="V3" s="49">
        <f t="shared" ref="V3:V14" si="0">U3/$U$15</f>
        <v>0.47682119205298018</v>
      </c>
    </row>
    <row r="4" spans="1:22" ht="16.5" x14ac:dyDescent="0.45">
      <c r="B4" s="3" t="s">
        <v>35</v>
      </c>
      <c r="C4" s="54">
        <f>C3/C2</f>
        <v>0.46092715231788078</v>
      </c>
      <c r="D4" s="37"/>
      <c r="E4" s="3" t="s">
        <v>36</v>
      </c>
      <c r="F4" s="55">
        <v>74.52730153192266</v>
      </c>
      <c r="G4" s="56">
        <f>(F2-1)*(TAN(2*PI()*(365-F4+365/2)/365)-2*PI()*(365-F4+365/2)/365+2*PI())-PI()</f>
        <v>5.0175561794318924E-7</v>
      </c>
      <c r="H4" s="48">
        <f>(1-$C$4)/2*(COS(2*PI()*(F4+365/2)/365)+1)+$C$4</f>
        <v>0.65393987193161796</v>
      </c>
      <c r="I4" s="57" t="s">
        <v>37</v>
      </c>
      <c r="K4" s="58" t="s">
        <v>38</v>
      </c>
      <c r="L4" s="54">
        <f>L3/H4</f>
        <v>0.48647438954948158</v>
      </c>
      <c r="N4" s="51" t="s">
        <v>39</v>
      </c>
      <c r="O4" s="59">
        <v>0.7</v>
      </c>
      <c r="S4" s="51" t="s">
        <v>40</v>
      </c>
      <c r="T4" s="26">
        <f>T3+30</f>
        <v>45</v>
      </c>
      <c r="U4" s="53">
        <v>4.76</v>
      </c>
      <c r="V4" s="49">
        <f t="shared" si="0"/>
        <v>0.63046357615894033</v>
      </c>
    </row>
    <row r="5" spans="1:22" ht="16.5" x14ac:dyDescent="0.45">
      <c r="E5" s="3" t="s">
        <v>41</v>
      </c>
      <c r="F5" s="55">
        <v>290.47269846807734</v>
      </c>
      <c r="G5" s="56">
        <f>(F2-1)*(TAN(2*PI()*(F5+365/2)/365)-2*PI()*(F5+365/2)/365+2*PI())-PI()</f>
        <v>5.0175561794318924E-7</v>
      </c>
      <c r="H5" s="48">
        <f>(1-$C$4)/2*(COS(2*PI()*(F5+365/2)/365)+1)+$C$4</f>
        <v>0.65393987193161807</v>
      </c>
      <c r="I5" s="60">
        <f>H4-C4</f>
        <v>0.19301271961373717</v>
      </c>
      <c r="K5" s="61" t="s">
        <v>42</v>
      </c>
      <c r="L5" s="62">
        <v>0.8</v>
      </c>
      <c r="N5" s="51" t="s">
        <v>43</v>
      </c>
      <c r="O5" s="59">
        <v>0.8</v>
      </c>
      <c r="S5" s="51" t="s">
        <v>44</v>
      </c>
      <c r="T5" s="26">
        <f>T4+31</f>
        <v>76</v>
      </c>
      <c r="U5" s="53">
        <v>5.96</v>
      </c>
      <c r="V5" s="49">
        <f t="shared" si="0"/>
        <v>0.78940397350993374</v>
      </c>
    </row>
    <row r="6" spans="1:22" ht="15.75" customHeight="1" x14ac:dyDescent="0.45">
      <c r="E6" s="3" t="s">
        <v>45</v>
      </c>
      <c r="F6" s="63">
        <v>365</v>
      </c>
      <c r="G6" s="64"/>
      <c r="H6" s="65">
        <f>H5</f>
        <v>0.65393987193161807</v>
      </c>
      <c r="I6" s="66">
        <f>I3</f>
        <v>0.73046357615894042</v>
      </c>
      <c r="K6" s="67" t="s">
        <v>46</v>
      </c>
      <c r="L6" s="68">
        <v>0.5</v>
      </c>
      <c r="N6" s="51" t="s">
        <v>47</v>
      </c>
      <c r="O6" s="55">
        <f>24*L3*O3/O5/(1-O4)</f>
        <v>15.906249999999996</v>
      </c>
      <c r="S6" s="51" t="s">
        <v>48</v>
      </c>
      <c r="T6" s="26">
        <f>T5+30</f>
        <v>106</v>
      </c>
      <c r="U6" s="53">
        <v>6.07</v>
      </c>
      <c r="V6" s="49">
        <f t="shared" si="0"/>
        <v>0.80397350993377492</v>
      </c>
    </row>
    <row r="7" spans="1:22" ht="16.5" customHeight="1" x14ac:dyDescent="0.35">
      <c r="B7" s="41" t="s">
        <v>27</v>
      </c>
      <c r="C7" s="41" t="s">
        <v>49</v>
      </c>
      <c r="D7" s="41" t="s">
        <v>50</v>
      </c>
      <c r="E7" s="3"/>
      <c r="F7" s="69"/>
      <c r="I7" s="70"/>
      <c r="P7" s="71" t="s">
        <v>51</v>
      </c>
      <c r="Q7" s="71" t="s">
        <v>52</v>
      </c>
      <c r="S7" s="51" t="s">
        <v>53</v>
      </c>
      <c r="T7" s="26">
        <f>T6+31</f>
        <v>137</v>
      </c>
      <c r="U7" s="53">
        <v>6.43</v>
      </c>
      <c r="V7" s="49">
        <f t="shared" si="0"/>
        <v>0.85165562913907278</v>
      </c>
    </row>
    <row r="8" spans="1:22" ht="16.5" x14ac:dyDescent="0.45">
      <c r="B8" s="26">
        <v>0</v>
      </c>
      <c r="C8" s="48">
        <f t="shared" ref="C8:C72" si="1">(1-$C$4)/2*(COS(2*PI()*(B8+365/2)/365)+1)+$C$4</f>
        <v>0.46092715231788078</v>
      </c>
      <c r="D8" s="49">
        <f>C8+$I$5</f>
        <v>0.65393987193161796</v>
      </c>
      <c r="K8" s="72" t="s">
        <v>54</v>
      </c>
      <c r="L8" s="73">
        <f>5.5*L4</f>
        <v>2.6756091425221489</v>
      </c>
      <c r="N8" t="s">
        <v>55</v>
      </c>
      <c r="O8" s="52">
        <v>2</v>
      </c>
      <c r="P8" s="26">
        <v>20</v>
      </c>
      <c r="Q8" s="55">
        <f>10^3*$I$5*$L$8*O8/P8</f>
        <v>51.64265972215793</v>
      </c>
      <c r="S8" s="51" t="s">
        <v>56</v>
      </c>
      <c r="T8" s="26">
        <f>T7+30</f>
        <v>167</v>
      </c>
      <c r="U8" s="53">
        <v>7.05</v>
      </c>
      <c r="V8" s="49">
        <f t="shared" si="0"/>
        <v>0.93377483443708609</v>
      </c>
    </row>
    <row r="9" spans="1:22" ht="16.5" x14ac:dyDescent="0.45">
      <c r="B9" s="26">
        <f>B8+5</f>
        <v>5</v>
      </c>
      <c r="C9" s="48">
        <f t="shared" si="1"/>
        <v>0.46192492900769178</v>
      </c>
      <c r="D9" s="49">
        <f t="shared" ref="D9:D72" si="2">C9+$I$5</f>
        <v>0.65493764862142889</v>
      </c>
      <c r="K9" s="51" t="s">
        <v>57</v>
      </c>
      <c r="N9" t="s">
        <v>58</v>
      </c>
      <c r="O9" s="52">
        <v>1.2</v>
      </c>
      <c r="P9" s="26">
        <v>10</v>
      </c>
      <c r="Q9" s="55">
        <f>10^3*$I$5*$L$8*O9/P9</f>
        <v>61.971191666589519</v>
      </c>
      <c r="S9" s="51" t="s">
        <v>59</v>
      </c>
      <c r="T9" s="26">
        <f>T8+31</f>
        <v>198</v>
      </c>
      <c r="U9" s="53">
        <v>7.55</v>
      </c>
      <c r="V9" s="49">
        <f t="shared" si="0"/>
        <v>1</v>
      </c>
    </row>
    <row r="10" spans="1:22" ht="16.5" x14ac:dyDescent="0.45">
      <c r="B10" s="26">
        <f t="shared" ref="B10:B73" si="3">B9+5</f>
        <v>10</v>
      </c>
      <c r="C10" s="48">
        <f t="shared" si="1"/>
        <v>0.46491087188760483</v>
      </c>
      <c r="D10" s="49">
        <f t="shared" si="2"/>
        <v>0.65792359150134194</v>
      </c>
      <c r="K10" s="3" t="s">
        <v>60</v>
      </c>
      <c r="L10" s="50">
        <f>L8-L3</f>
        <v>2.3574841425221491</v>
      </c>
      <c r="N10" t="s">
        <v>61</v>
      </c>
      <c r="O10" s="74">
        <v>600</v>
      </c>
      <c r="P10" s="26">
        <v>15</v>
      </c>
      <c r="Q10" s="55">
        <f>-L10*O10/P10</f>
        <v>-94.299365700885971</v>
      </c>
      <c r="S10" s="51" t="s">
        <v>62</v>
      </c>
      <c r="T10" s="26">
        <f>T9+31</f>
        <v>229</v>
      </c>
      <c r="U10" s="53">
        <v>7.35</v>
      </c>
      <c r="V10" s="49">
        <f t="shared" si="0"/>
        <v>0.97350993377483441</v>
      </c>
    </row>
    <row r="11" spans="1:22" ht="16.5" x14ac:dyDescent="0.45">
      <c r="B11" s="26">
        <f t="shared" si="3"/>
        <v>15</v>
      </c>
      <c r="C11" s="48">
        <f t="shared" si="1"/>
        <v>0.46986287408122651</v>
      </c>
      <c r="D11" s="49">
        <f t="shared" si="2"/>
        <v>0.66287559369496374</v>
      </c>
      <c r="K11" s="3" t="s">
        <v>63</v>
      </c>
      <c r="L11" s="50">
        <f>2.5*L3</f>
        <v>0.79531249999999998</v>
      </c>
      <c r="N11" t="s">
        <v>64</v>
      </c>
      <c r="O11" s="74">
        <v>800</v>
      </c>
      <c r="P11" s="26">
        <v>15</v>
      </c>
      <c r="Q11" s="55">
        <f>-L11*O11/P11</f>
        <v>-42.416666666666664</v>
      </c>
      <c r="S11" s="51" t="s">
        <v>65</v>
      </c>
      <c r="T11" s="26">
        <f>T10+30</f>
        <v>259</v>
      </c>
      <c r="U11" s="53">
        <v>6.56</v>
      </c>
      <c r="V11" s="49">
        <f t="shared" si="0"/>
        <v>0.86887417218543039</v>
      </c>
    </row>
    <row r="12" spans="1:22" ht="16.5" x14ac:dyDescent="0.45">
      <c r="B12" s="26">
        <f t="shared" si="3"/>
        <v>20</v>
      </c>
      <c r="C12" s="48">
        <f t="shared" si="1"/>
        <v>0.47674427269686831</v>
      </c>
      <c r="D12" s="49">
        <f t="shared" si="2"/>
        <v>0.66975699231060548</v>
      </c>
      <c r="K12" s="51" t="s">
        <v>66</v>
      </c>
      <c r="L12" s="50">
        <f>110*L4*F2/(1-F2)/L6*(1-2*I5-C4)</f>
        <v>10.919867874681852</v>
      </c>
      <c r="N12" t="s">
        <v>67</v>
      </c>
      <c r="O12" s="74">
        <v>200</v>
      </c>
      <c r="P12" s="26">
        <v>30</v>
      </c>
      <c r="Q12" s="55">
        <f>-L12*O12/P12</f>
        <v>-72.799119164545672</v>
      </c>
      <c r="S12" s="51" t="s">
        <v>68</v>
      </c>
      <c r="T12" s="26">
        <f>T11+31</f>
        <v>290</v>
      </c>
      <c r="U12" s="53">
        <v>5.29</v>
      </c>
      <c r="V12" s="49">
        <f t="shared" si="0"/>
        <v>0.70066225165562912</v>
      </c>
    </row>
    <row r="13" spans="1:22" ht="16.5" x14ac:dyDescent="0.45">
      <c r="B13" s="26">
        <f t="shared" si="3"/>
        <v>25</v>
      </c>
      <c r="C13" s="48">
        <f t="shared" si="1"/>
        <v>0.4855041202667697</v>
      </c>
      <c r="D13" s="49">
        <f t="shared" si="2"/>
        <v>0.67851683988050682</v>
      </c>
      <c r="N13" s="5" t="s">
        <v>69</v>
      </c>
      <c r="O13" s="75">
        <v>180</v>
      </c>
      <c r="P13" s="41">
        <v>12</v>
      </c>
      <c r="Q13" s="76">
        <f>O6*O13/P13</f>
        <v>238.59374999999997</v>
      </c>
      <c r="S13" s="51" t="s">
        <v>70</v>
      </c>
      <c r="T13" s="26">
        <f>T12+30</f>
        <v>320</v>
      </c>
      <c r="U13" s="53">
        <v>3.96</v>
      </c>
      <c r="V13" s="49">
        <f t="shared" si="0"/>
        <v>0.5245033112582782</v>
      </c>
    </row>
    <row r="14" spans="1:22" x14ac:dyDescent="0.35">
      <c r="B14" s="26">
        <f t="shared" si="3"/>
        <v>30</v>
      </c>
      <c r="C14" s="48">
        <f t="shared" si="1"/>
        <v>0.49607756194432401</v>
      </c>
      <c r="D14" s="49">
        <f t="shared" si="2"/>
        <v>0.68909028155806118</v>
      </c>
      <c r="P14" s="28" t="s">
        <v>71</v>
      </c>
      <c r="Q14" s="55">
        <f>SUM(Q8:Q13)</f>
        <v>142.69244985664912</v>
      </c>
      <c r="S14" s="51" t="s">
        <v>72</v>
      </c>
      <c r="T14" s="26">
        <f>T13+31</f>
        <v>351</v>
      </c>
      <c r="U14" s="53">
        <v>3.48</v>
      </c>
      <c r="V14" s="49">
        <f t="shared" si="0"/>
        <v>0.46092715231788078</v>
      </c>
    </row>
    <row r="15" spans="1:22" x14ac:dyDescent="0.35">
      <c r="B15" s="26">
        <f t="shared" si="3"/>
        <v>35</v>
      </c>
      <c r="C15" s="48">
        <f t="shared" si="1"/>
        <v>0.50838631566667236</v>
      </c>
      <c r="D15" s="49">
        <f t="shared" si="2"/>
        <v>0.70139903528040959</v>
      </c>
      <c r="S15" s="26"/>
      <c r="T15" s="3" t="s">
        <v>73</v>
      </c>
      <c r="U15" s="77">
        <f>MAX(U3:U14)</f>
        <v>7.55</v>
      </c>
    </row>
    <row r="16" spans="1:22" x14ac:dyDescent="0.35">
      <c r="B16" s="26">
        <f t="shared" si="3"/>
        <v>40</v>
      </c>
      <c r="C16" s="48">
        <f t="shared" si="1"/>
        <v>0.52233925172770868</v>
      </c>
      <c r="D16" s="49">
        <f t="shared" si="2"/>
        <v>0.71535197134144579</v>
      </c>
      <c r="S16" s="26"/>
    </row>
    <row r="17" spans="2:19" x14ac:dyDescent="0.35">
      <c r="B17" s="26">
        <f t="shared" si="3"/>
        <v>45</v>
      </c>
      <c r="C17" s="48">
        <f t="shared" si="1"/>
        <v>0.53783306747053961</v>
      </c>
      <c r="D17" s="49">
        <f t="shared" si="2"/>
        <v>0.73084578708427683</v>
      </c>
      <c r="S17" s="26"/>
    </row>
    <row r="18" spans="2:19" x14ac:dyDescent="0.35">
      <c r="B18" s="26">
        <f t="shared" si="3"/>
        <v>50</v>
      </c>
      <c r="C18" s="48">
        <f t="shared" si="1"/>
        <v>0.55475305210421455</v>
      </c>
      <c r="D18" s="49">
        <f t="shared" si="2"/>
        <v>0.74776577171795178</v>
      </c>
      <c r="S18" s="26"/>
    </row>
    <row r="19" spans="2:19" x14ac:dyDescent="0.35">
      <c r="B19" s="26">
        <f t="shared" si="3"/>
        <v>55</v>
      </c>
      <c r="C19" s="48">
        <f t="shared" si="1"/>
        <v>0.57297393598228741</v>
      </c>
      <c r="D19" s="49">
        <f t="shared" si="2"/>
        <v>0.76598665559602463</v>
      </c>
      <c r="S19" s="26"/>
    </row>
    <row r="20" spans="2:19" x14ac:dyDescent="0.35">
      <c r="B20" s="26">
        <f t="shared" si="3"/>
        <v>60</v>
      </c>
      <c r="C20" s="48">
        <f t="shared" si="1"/>
        <v>0.59236081805545127</v>
      </c>
      <c r="D20" s="49">
        <f t="shared" si="2"/>
        <v>0.78537353766918838</v>
      </c>
      <c r="S20" s="26"/>
    </row>
    <row r="21" spans="2:19" x14ac:dyDescent="0.35">
      <c r="B21" s="26">
        <f t="shared" si="3"/>
        <v>65</v>
      </c>
      <c r="C21" s="48">
        <f t="shared" si="1"/>
        <v>0.61277016463170986</v>
      </c>
      <c r="D21" s="49">
        <f t="shared" si="2"/>
        <v>0.80578288424544708</v>
      </c>
      <c r="S21" s="26"/>
    </row>
    <row r="22" spans="2:19" x14ac:dyDescent="0.35">
      <c r="B22" s="26">
        <f t="shared" si="3"/>
        <v>70</v>
      </c>
      <c r="C22" s="48">
        <f t="shared" si="1"/>
        <v>0.63405087204961441</v>
      </c>
      <c r="D22" s="49">
        <f t="shared" si="2"/>
        <v>0.82706359166335153</v>
      </c>
      <c r="S22" s="26"/>
    </row>
    <row r="23" spans="2:19" x14ac:dyDescent="0.35">
      <c r="B23" s="26">
        <f t="shared" si="3"/>
        <v>75</v>
      </c>
      <c r="C23" s="48">
        <f t="shared" si="1"/>
        <v>0.65604538539690727</v>
      </c>
      <c r="D23" s="49">
        <f t="shared" si="2"/>
        <v>0.84905810501064449</v>
      </c>
      <c r="S23" s="26"/>
    </row>
    <row r="24" spans="2:19" ht="16.5" x14ac:dyDescent="0.45">
      <c r="B24" s="26">
        <f t="shared" si="3"/>
        <v>80</v>
      </c>
      <c r="C24" s="48">
        <f t="shared" si="1"/>
        <v>0.67859086499196819</v>
      </c>
      <c r="D24" s="49">
        <f t="shared" si="2"/>
        <v>0.87160358460570531</v>
      </c>
      <c r="K24" s="78" t="s">
        <v>74</v>
      </c>
      <c r="L24" s="79">
        <v>0.114</v>
      </c>
      <c r="M24" s="80"/>
      <c r="N24" s="81" t="s">
        <v>75</v>
      </c>
      <c r="O24" s="82">
        <f>H4*C2*L24</f>
        <v>0.56284604777154357</v>
      </c>
      <c r="P24" s="83" t="s">
        <v>76</v>
      </c>
      <c r="Q24" s="84">
        <f>L2/O24</f>
        <v>13.564988206329218</v>
      </c>
      <c r="S24" s="26"/>
    </row>
    <row r="25" spans="2:19" x14ac:dyDescent="0.35">
      <c r="B25" s="26">
        <f t="shared" si="3"/>
        <v>85</v>
      </c>
      <c r="C25" s="48">
        <f t="shared" si="1"/>
        <v>0.7015203919918449</v>
      </c>
      <c r="D25" s="49">
        <f t="shared" si="2"/>
        <v>0.89453311160558213</v>
      </c>
      <c r="S25" s="26"/>
    </row>
    <row r="26" spans="2:19" x14ac:dyDescent="0.35">
      <c r="B26" s="26">
        <f t="shared" si="3"/>
        <v>90</v>
      </c>
      <c r="C26" s="48">
        <f t="shared" si="1"/>
        <v>0.72466420420096511</v>
      </c>
      <c r="D26" s="49">
        <f t="shared" si="2"/>
        <v>0.91767692381470223</v>
      </c>
      <c r="K26" s="74"/>
      <c r="L26" s="26"/>
      <c r="O26" s="74"/>
      <c r="P26" s="26"/>
      <c r="S26" s="26"/>
    </row>
    <row r="27" spans="2:19" x14ac:dyDescent="0.35">
      <c r="B27" s="26">
        <f t="shared" si="3"/>
        <v>95</v>
      </c>
      <c r="C27" s="48">
        <f t="shared" si="1"/>
        <v>0.74785095293104098</v>
      </c>
      <c r="D27" s="49">
        <f t="shared" si="2"/>
        <v>0.9408636725447781</v>
      </c>
      <c r="K27" s="74"/>
      <c r="O27" s="74"/>
      <c r="P27" s="26"/>
      <c r="S27" s="26"/>
    </row>
    <row r="28" spans="2:19" x14ac:dyDescent="0.35">
      <c r="B28" s="26">
        <f t="shared" si="3"/>
        <v>100</v>
      </c>
      <c r="C28" s="48">
        <f t="shared" si="1"/>
        <v>0.77090897160680361</v>
      </c>
      <c r="D28" s="49">
        <f t="shared" si="2"/>
        <v>0.96392169122054083</v>
      </c>
      <c r="K28" s="74"/>
      <c r="L28" s="26"/>
      <c r="O28" s="74"/>
      <c r="P28" s="26"/>
      <c r="S28" s="26"/>
    </row>
    <row r="29" spans="2:19" x14ac:dyDescent="0.35">
      <c r="B29" s="26">
        <f t="shared" si="3"/>
        <v>105</v>
      </c>
      <c r="C29" s="48">
        <f t="shared" si="1"/>
        <v>0.79366754672526918</v>
      </c>
      <c r="D29" s="49">
        <f t="shared" si="2"/>
        <v>0.98668026633900641</v>
      </c>
      <c r="K29" s="74"/>
      <c r="L29" s="26"/>
      <c r="O29" s="74"/>
      <c r="P29" s="26"/>
      <c r="S29" s="26"/>
    </row>
    <row r="30" spans="2:19" x14ac:dyDescent="0.35">
      <c r="B30" s="26">
        <f t="shared" si="3"/>
        <v>110</v>
      </c>
      <c r="C30" s="48">
        <f t="shared" si="1"/>
        <v>0.81595818175878532</v>
      </c>
      <c r="D30" s="49">
        <f t="shared" si="2"/>
        <v>1.0089709013725225</v>
      </c>
      <c r="K30" s="74"/>
      <c r="L30" s="26"/>
      <c r="O30" s="74"/>
      <c r="P30" s="26"/>
      <c r="S30" s="26"/>
    </row>
    <row r="31" spans="2:19" x14ac:dyDescent="0.35">
      <c r="B31" s="26">
        <f t="shared" si="3"/>
        <v>115</v>
      </c>
      <c r="C31" s="48">
        <f t="shared" si="1"/>
        <v>0.83761584464437089</v>
      </c>
      <c r="D31" s="49">
        <f t="shared" si="2"/>
        <v>1.0306285642581081</v>
      </c>
      <c r="K31" s="74"/>
      <c r="L31" s="26"/>
      <c r="O31" s="74"/>
      <c r="P31" s="26"/>
      <c r="S31" s="26"/>
    </row>
    <row r="32" spans="2:19" x14ac:dyDescent="0.35">
      <c r="B32" s="26">
        <f t="shared" si="3"/>
        <v>120</v>
      </c>
      <c r="C32" s="48">
        <f t="shared" si="1"/>
        <v>0.85848018962337025</v>
      </c>
      <c r="D32" s="49">
        <f t="shared" si="2"/>
        <v>1.0514929092371075</v>
      </c>
      <c r="S32" s="26"/>
    </row>
    <row r="33" spans="2:19" x14ac:dyDescent="0.35">
      <c r="B33" s="26">
        <f t="shared" si="3"/>
        <v>125</v>
      </c>
      <c r="C33" s="48">
        <f t="shared" si="1"/>
        <v>0.87839674438535131</v>
      </c>
      <c r="D33" s="49">
        <f t="shared" si="2"/>
        <v>1.0714094639990885</v>
      </c>
      <c r="S33" s="26"/>
    </row>
    <row r="34" spans="2:19" x14ac:dyDescent="0.35">
      <c r="B34" s="26">
        <f t="shared" si="3"/>
        <v>130</v>
      </c>
      <c r="C34" s="48">
        <f t="shared" si="1"/>
        <v>0.89721805372704544</v>
      </c>
      <c r="D34" s="49">
        <f t="shared" si="2"/>
        <v>1.0902307733407826</v>
      </c>
      <c r="S34" s="26"/>
    </row>
    <row r="35" spans="2:19" x14ac:dyDescent="0.35">
      <c r="B35" s="26">
        <f t="shared" si="3"/>
        <v>135</v>
      </c>
      <c r="C35" s="48">
        <f t="shared" si="1"/>
        <v>0.91480477125908366</v>
      </c>
      <c r="D35" s="49">
        <f t="shared" si="2"/>
        <v>1.1078174908728209</v>
      </c>
      <c r="L35" s="86"/>
      <c r="M35" s="87"/>
      <c r="N35" s="87"/>
      <c r="O35" s="87"/>
      <c r="P35" s="87"/>
      <c r="Q35" s="88"/>
      <c r="S35" s="26"/>
    </row>
    <row r="36" spans="2:19" x14ac:dyDescent="0.35">
      <c r="B36" s="26">
        <f t="shared" si="3"/>
        <v>140</v>
      </c>
      <c r="C36" s="48">
        <f t="shared" si="1"/>
        <v>0.93102669107790981</v>
      </c>
      <c r="D36" s="49">
        <f t="shared" si="2"/>
        <v>1.1240394106916469</v>
      </c>
      <c r="L36" s="89" t="s">
        <v>86</v>
      </c>
      <c r="Q36" s="90"/>
      <c r="S36" s="26"/>
    </row>
    <row r="37" spans="2:19" x14ac:dyDescent="0.35">
      <c r="B37" s="26">
        <f t="shared" si="3"/>
        <v>145</v>
      </c>
      <c r="C37" s="48">
        <f t="shared" si="1"/>
        <v>0.94576371176473528</v>
      </c>
      <c r="D37" s="49">
        <f t="shared" si="2"/>
        <v>1.1387764313784725</v>
      </c>
      <c r="L37" s="91"/>
      <c r="Q37" s="90"/>
      <c r="S37" s="26"/>
    </row>
    <row r="38" spans="2:19" ht="16.5" x14ac:dyDescent="0.45">
      <c r="B38" s="26">
        <f t="shared" si="3"/>
        <v>150</v>
      </c>
      <c r="C38" s="48">
        <f t="shared" si="1"/>
        <v>0.95890672557442536</v>
      </c>
      <c r="D38" s="49">
        <f t="shared" si="2"/>
        <v>1.1519194451881625</v>
      </c>
      <c r="L38" s="91"/>
      <c r="N38" s="28" t="s">
        <v>89</v>
      </c>
      <c r="P38" s="3" t="s">
        <v>80</v>
      </c>
      <c r="Q38" s="92">
        <f>P42/(1+P44^-1)</f>
        <v>47.368421052631575</v>
      </c>
      <c r="S38" s="26"/>
    </row>
    <row r="39" spans="2:19" ht="16.5" x14ac:dyDescent="0.45">
      <c r="B39" s="26">
        <f t="shared" si="3"/>
        <v>155</v>
      </c>
      <c r="C39" s="48">
        <f t="shared" si="1"/>
        <v>0.97035842623106849</v>
      </c>
      <c r="D39" s="49">
        <f t="shared" si="2"/>
        <v>1.1633711458448057</v>
      </c>
      <c r="L39" s="91"/>
      <c r="N39" s="28" t="s">
        <v>78</v>
      </c>
      <c r="P39" s="3" t="s">
        <v>81</v>
      </c>
      <c r="Q39" s="92">
        <f>Q38/P44</f>
        <v>52.631578947368418</v>
      </c>
    </row>
    <row r="40" spans="2:19" ht="16.5" x14ac:dyDescent="0.45">
      <c r="B40" s="26">
        <f t="shared" si="3"/>
        <v>160</v>
      </c>
      <c r="C40" s="48">
        <f t="shared" si="1"/>
        <v>0.98003402934960038</v>
      </c>
      <c r="D40" s="49">
        <f t="shared" si="2"/>
        <v>1.1730467489633376</v>
      </c>
      <c r="L40" s="91"/>
      <c r="N40" s="28" t="s">
        <v>84</v>
      </c>
      <c r="P40" s="3" t="s">
        <v>85</v>
      </c>
      <c r="Q40" s="93">
        <f>Q39*P43/P45</f>
        <v>743.03405572755423</v>
      </c>
    </row>
    <row r="41" spans="2:19" x14ac:dyDescent="0.35">
      <c r="B41" s="26">
        <f t="shared" si="3"/>
        <v>165</v>
      </c>
      <c r="C41" s="48">
        <f t="shared" si="1"/>
        <v>0.98786190014972752</v>
      </c>
      <c r="D41" s="49">
        <f t="shared" si="2"/>
        <v>1.1808746197634648</v>
      </c>
      <c r="L41" s="91"/>
      <c r="Q41" s="90"/>
    </row>
    <row r="42" spans="2:19" ht="16.5" x14ac:dyDescent="0.45">
      <c r="B42" s="26">
        <f t="shared" si="3"/>
        <v>170</v>
      </c>
      <c r="C42" s="48">
        <f t="shared" si="1"/>
        <v>0.99378408381477668</v>
      </c>
      <c r="D42" s="49">
        <f t="shared" si="2"/>
        <v>1.1867968034285139</v>
      </c>
      <c r="L42" s="91"/>
      <c r="O42" s="3" t="s">
        <v>83</v>
      </c>
      <c r="P42" s="51">
        <v>100</v>
      </c>
      <c r="Q42" s="90"/>
    </row>
    <row r="43" spans="2:19" x14ac:dyDescent="0.35">
      <c r="B43" s="26">
        <f t="shared" si="3"/>
        <v>175</v>
      </c>
      <c r="C43" s="48">
        <f t="shared" si="1"/>
        <v>0.99775673456888136</v>
      </c>
      <c r="D43" s="49">
        <f t="shared" si="2"/>
        <v>1.1907694541826186</v>
      </c>
      <c r="L43" s="91"/>
      <c r="O43" s="3" t="s">
        <v>82</v>
      </c>
      <c r="P43" s="51">
        <v>12</v>
      </c>
      <c r="Q43" s="90"/>
    </row>
    <row r="44" spans="2:19" ht="16.5" x14ac:dyDescent="0.45">
      <c r="B44" s="26">
        <f t="shared" si="3"/>
        <v>180</v>
      </c>
      <c r="C44" s="48">
        <f t="shared" si="1"/>
        <v>0.99975044029576665</v>
      </c>
      <c r="D44" s="49">
        <f t="shared" si="2"/>
        <v>1.1927631599095039</v>
      </c>
      <c r="L44" s="91"/>
      <c r="O44" s="3" t="s">
        <v>79</v>
      </c>
      <c r="P44" s="94">
        <v>0.9</v>
      </c>
      <c r="Q44" s="90"/>
      <c r="S44" s="26"/>
    </row>
    <row r="45" spans="2:19" x14ac:dyDescent="0.35">
      <c r="B45" s="26">
        <f t="shared" si="3"/>
        <v>185</v>
      </c>
      <c r="C45" s="48">
        <f t="shared" si="1"/>
        <v>0.99975044029576665</v>
      </c>
      <c r="D45" s="49">
        <f t="shared" si="2"/>
        <v>1.1927631599095039</v>
      </c>
      <c r="L45" s="91"/>
      <c r="O45" s="3" t="s">
        <v>77</v>
      </c>
      <c r="P45" s="94">
        <v>0.85</v>
      </c>
      <c r="Q45" s="90"/>
      <c r="S45" s="26"/>
    </row>
    <row r="46" spans="2:19" x14ac:dyDescent="0.35">
      <c r="B46" s="26">
        <f t="shared" si="3"/>
        <v>190</v>
      </c>
      <c r="C46" s="48">
        <f t="shared" si="1"/>
        <v>0.99775673456888136</v>
      </c>
      <c r="D46" s="49">
        <f t="shared" si="2"/>
        <v>1.1907694541826186</v>
      </c>
      <c r="L46" s="95"/>
      <c r="M46" s="5"/>
      <c r="N46" s="5"/>
      <c r="O46" s="5"/>
      <c r="P46" s="5"/>
      <c r="Q46" s="96"/>
      <c r="S46" s="26"/>
    </row>
    <row r="47" spans="2:19" x14ac:dyDescent="0.35">
      <c r="B47" s="26">
        <f t="shared" si="3"/>
        <v>195</v>
      </c>
      <c r="C47" s="48">
        <f t="shared" si="1"/>
        <v>0.99378408381477668</v>
      </c>
      <c r="D47" s="49">
        <f t="shared" si="2"/>
        <v>1.1867968034285139</v>
      </c>
      <c r="Q47" s="97" t="s">
        <v>87</v>
      </c>
      <c r="S47" s="26"/>
    </row>
    <row r="48" spans="2:19" x14ac:dyDescent="0.35">
      <c r="B48" s="26">
        <f t="shared" si="3"/>
        <v>200</v>
      </c>
      <c r="C48" s="48">
        <f t="shared" si="1"/>
        <v>0.98786190014972775</v>
      </c>
      <c r="D48" s="49">
        <f t="shared" si="2"/>
        <v>1.180874619763465</v>
      </c>
      <c r="S48" s="26"/>
    </row>
    <row r="49" spans="2:19" x14ac:dyDescent="0.35">
      <c r="B49" s="26">
        <f t="shared" si="3"/>
        <v>205</v>
      </c>
      <c r="C49" s="48">
        <f t="shared" si="1"/>
        <v>0.9800340293496006</v>
      </c>
      <c r="D49" s="49">
        <f t="shared" si="2"/>
        <v>1.1730467489633378</v>
      </c>
      <c r="S49" s="26"/>
    </row>
    <row r="50" spans="2:19" x14ac:dyDescent="0.35">
      <c r="B50" s="26">
        <f t="shared" si="3"/>
        <v>210</v>
      </c>
      <c r="C50" s="48">
        <f t="shared" si="1"/>
        <v>0.97035842623106849</v>
      </c>
      <c r="D50" s="49">
        <f t="shared" si="2"/>
        <v>1.1633711458448057</v>
      </c>
      <c r="S50" s="26"/>
    </row>
    <row r="51" spans="2:19" x14ac:dyDescent="0.35">
      <c r="B51" s="26">
        <f t="shared" si="3"/>
        <v>215</v>
      </c>
      <c r="C51" s="48">
        <f t="shared" si="1"/>
        <v>0.95890672557442536</v>
      </c>
      <c r="D51" s="49">
        <f t="shared" si="2"/>
        <v>1.1519194451881625</v>
      </c>
      <c r="S51" s="26"/>
    </row>
    <row r="52" spans="2:19" x14ac:dyDescent="0.35">
      <c r="B52" s="26">
        <f t="shared" si="3"/>
        <v>220</v>
      </c>
      <c r="C52" s="48">
        <f t="shared" si="1"/>
        <v>0.9457637117647355</v>
      </c>
      <c r="D52" s="49">
        <f t="shared" si="2"/>
        <v>1.1387764313784727</v>
      </c>
      <c r="S52" s="26"/>
    </row>
    <row r="53" spans="2:19" x14ac:dyDescent="0.35">
      <c r="B53" s="26">
        <f t="shared" si="3"/>
        <v>225</v>
      </c>
      <c r="C53" s="48">
        <f t="shared" si="1"/>
        <v>0.9310266910779097</v>
      </c>
      <c r="D53" s="49">
        <f t="shared" si="2"/>
        <v>1.1240394106916469</v>
      </c>
      <c r="S53" s="26"/>
    </row>
    <row r="54" spans="2:19" x14ac:dyDescent="0.35">
      <c r="B54" s="26">
        <f t="shared" si="3"/>
        <v>230</v>
      </c>
      <c r="C54" s="48">
        <f t="shared" si="1"/>
        <v>0.91480477125908366</v>
      </c>
      <c r="D54" s="49">
        <f t="shared" si="2"/>
        <v>1.1078174908728209</v>
      </c>
      <c r="S54" s="26"/>
    </row>
    <row r="55" spans="2:19" x14ac:dyDescent="0.35">
      <c r="B55" s="26">
        <f t="shared" si="3"/>
        <v>235</v>
      </c>
      <c r="C55" s="48">
        <f t="shared" si="1"/>
        <v>0.89721805372704577</v>
      </c>
      <c r="D55" s="49">
        <f t="shared" si="2"/>
        <v>1.090230773340783</v>
      </c>
      <c r="S55" s="26"/>
    </row>
    <row r="56" spans="2:19" x14ac:dyDescent="0.35">
      <c r="B56" s="26">
        <f t="shared" si="3"/>
        <v>240</v>
      </c>
      <c r="C56" s="48">
        <f t="shared" si="1"/>
        <v>0.87839674438535142</v>
      </c>
      <c r="D56" s="49">
        <f t="shared" si="2"/>
        <v>1.0714094639990885</v>
      </c>
      <c r="S56" s="26"/>
    </row>
    <row r="57" spans="2:19" x14ac:dyDescent="0.35">
      <c r="B57" s="26">
        <f t="shared" si="3"/>
        <v>245</v>
      </c>
      <c r="C57" s="48">
        <f t="shared" si="1"/>
        <v>0.85848018962337047</v>
      </c>
      <c r="D57" s="49">
        <f t="shared" si="2"/>
        <v>1.0514929092371077</v>
      </c>
      <c r="S57" s="26"/>
    </row>
    <row r="58" spans="2:19" x14ac:dyDescent="0.35">
      <c r="B58" s="26">
        <f t="shared" si="3"/>
        <v>250</v>
      </c>
      <c r="C58" s="48">
        <f t="shared" si="1"/>
        <v>0.837615844644371</v>
      </c>
      <c r="D58" s="49">
        <f t="shared" si="2"/>
        <v>1.0306285642581081</v>
      </c>
      <c r="S58" s="26"/>
    </row>
    <row r="59" spans="2:19" x14ac:dyDescent="0.35">
      <c r="B59" s="26">
        <f t="shared" si="3"/>
        <v>255</v>
      </c>
      <c r="C59" s="48">
        <f t="shared" si="1"/>
        <v>0.81595818175878576</v>
      </c>
      <c r="D59" s="49">
        <f t="shared" si="2"/>
        <v>1.008970901372523</v>
      </c>
      <c r="S59" s="26"/>
    </row>
    <row r="60" spans="2:19" x14ac:dyDescent="0.35">
      <c r="B60" s="26">
        <f t="shared" si="3"/>
        <v>260</v>
      </c>
      <c r="C60" s="48">
        <f t="shared" si="1"/>
        <v>0.7936675467252694</v>
      </c>
      <c r="D60" s="49">
        <f t="shared" si="2"/>
        <v>0.98668026633900663</v>
      </c>
      <c r="S60" s="26"/>
    </row>
    <row r="61" spans="2:19" x14ac:dyDescent="0.35">
      <c r="B61" s="26">
        <f t="shared" si="3"/>
        <v>265</v>
      </c>
      <c r="C61" s="48">
        <f t="shared" si="1"/>
        <v>0.77090897160680372</v>
      </c>
      <c r="D61" s="49">
        <f t="shared" si="2"/>
        <v>0.96392169122054083</v>
      </c>
      <c r="S61" s="26"/>
    </row>
    <row r="62" spans="2:19" x14ac:dyDescent="0.35">
      <c r="B62" s="26">
        <f t="shared" si="3"/>
        <v>270</v>
      </c>
      <c r="C62" s="48">
        <f t="shared" si="1"/>
        <v>0.74785095293104109</v>
      </c>
      <c r="D62" s="49">
        <f t="shared" si="2"/>
        <v>0.94086367254477832</v>
      </c>
      <c r="S62" s="26"/>
    </row>
    <row r="63" spans="2:19" x14ac:dyDescent="0.35">
      <c r="B63" s="26">
        <f t="shared" si="3"/>
        <v>275</v>
      </c>
      <c r="C63" s="48">
        <f t="shared" si="1"/>
        <v>0.72466420420096544</v>
      </c>
      <c r="D63" s="49">
        <f t="shared" si="2"/>
        <v>0.91767692381470267</v>
      </c>
      <c r="S63" s="26"/>
    </row>
    <row r="64" spans="2:19" x14ac:dyDescent="0.35">
      <c r="B64" s="26">
        <f t="shared" si="3"/>
        <v>280</v>
      </c>
      <c r="C64" s="48">
        <f t="shared" si="1"/>
        <v>0.70152039199184479</v>
      </c>
      <c r="D64" s="49">
        <f t="shared" si="2"/>
        <v>0.89453311160558191</v>
      </c>
      <c r="S64" s="26"/>
    </row>
    <row r="65" spans="2:19" x14ac:dyDescent="0.35">
      <c r="B65" s="26">
        <f t="shared" si="3"/>
        <v>285</v>
      </c>
      <c r="C65" s="48">
        <f t="shared" si="1"/>
        <v>0.6785908649919683</v>
      </c>
      <c r="D65" s="49">
        <f t="shared" si="2"/>
        <v>0.87160358460570553</v>
      </c>
      <c r="S65" s="26"/>
    </row>
    <row r="66" spans="2:19" x14ac:dyDescent="0.35">
      <c r="B66" s="26">
        <f t="shared" si="3"/>
        <v>290</v>
      </c>
      <c r="C66" s="48">
        <f t="shared" si="1"/>
        <v>0.65604538539690771</v>
      </c>
      <c r="D66" s="49">
        <f t="shared" si="2"/>
        <v>0.84905810501064494</v>
      </c>
      <c r="S66" s="26"/>
    </row>
    <row r="67" spans="2:19" x14ac:dyDescent="0.35">
      <c r="B67" s="26">
        <f t="shared" si="3"/>
        <v>295</v>
      </c>
      <c r="C67" s="48">
        <f t="shared" si="1"/>
        <v>0.63405087204961452</v>
      </c>
      <c r="D67" s="49">
        <f t="shared" si="2"/>
        <v>0.82706359166335175</v>
      </c>
      <c r="S67" s="26"/>
    </row>
    <row r="68" spans="2:19" x14ac:dyDescent="0.35">
      <c r="B68" s="26">
        <f t="shared" si="3"/>
        <v>300</v>
      </c>
      <c r="C68" s="48">
        <f t="shared" si="1"/>
        <v>0.61277016463170975</v>
      </c>
      <c r="D68" s="49">
        <f t="shared" si="2"/>
        <v>0.80578288424544686</v>
      </c>
      <c r="S68" s="26"/>
    </row>
    <row r="69" spans="2:19" x14ac:dyDescent="0.35">
      <c r="B69" s="26">
        <f t="shared" si="3"/>
        <v>305</v>
      </c>
      <c r="C69" s="48">
        <f t="shared" si="1"/>
        <v>0.59236081805545138</v>
      </c>
      <c r="D69" s="49">
        <f t="shared" si="2"/>
        <v>0.7853735376691886</v>
      </c>
      <c r="S69" s="26"/>
    </row>
    <row r="70" spans="2:19" x14ac:dyDescent="0.35">
      <c r="B70" s="26">
        <f t="shared" si="3"/>
        <v>310</v>
      </c>
      <c r="C70" s="48">
        <f t="shared" si="1"/>
        <v>0.57297393598228763</v>
      </c>
      <c r="D70" s="49">
        <f t="shared" si="2"/>
        <v>0.76598665559602486</v>
      </c>
      <c r="S70" s="26"/>
    </row>
    <row r="71" spans="2:19" x14ac:dyDescent="0.35">
      <c r="B71" s="26">
        <f t="shared" si="3"/>
        <v>315</v>
      </c>
      <c r="C71" s="48">
        <f t="shared" si="1"/>
        <v>0.55475305210421455</v>
      </c>
      <c r="D71" s="49">
        <f t="shared" si="2"/>
        <v>0.74776577171795178</v>
      </c>
      <c r="S71" s="26"/>
    </row>
    <row r="72" spans="2:19" x14ac:dyDescent="0.35">
      <c r="B72" s="26">
        <f t="shared" si="3"/>
        <v>320</v>
      </c>
      <c r="C72" s="48">
        <f t="shared" si="1"/>
        <v>0.53783306747053949</v>
      </c>
      <c r="D72" s="49">
        <f t="shared" si="2"/>
        <v>0.73084578708427661</v>
      </c>
      <c r="S72" s="26"/>
    </row>
    <row r="73" spans="2:19" x14ac:dyDescent="0.35">
      <c r="B73" s="26">
        <f t="shared" si="3"/>
        <v>325</v>
      </c>
      <c r="C73" s="48">
        <f t="shared" ref="C73:C81" si="4">(1-$C$4)/2*(COS(2*PI()*(B73+365/2)/365)+1)+$C$4</f>
        <v>0.52233925172770868</v>
      </c>
      <c r="D73" s="49">
        <f t="shared" ref="D73:D81" si="5">C73+$I$5</f>
        <v>0.71535197134144579</v>
      </c>
      <c r="S73" s="26"/>
    </row>
    <row r="74" spans="2:19" x14ac:dyDescent="0.35">
      <c r="B74" s="26">
        <f t="shared" ref="B74:B81" si="6">B73+5</f>
        <v>330</v>
      </c>
      <c r="C74" s="48">
        <f t="shared" si="4"/>
        <v>0.50838631566667258</v>
      </c>
      <c r="D74" s="49">
        <f t="shared" si="5"/>
        <v>0.70139903528040981</v>
      </c>
      <c r="S74" s="26"/>
    </row>
    <row r="75" spans="2:19" x14ac:dyDescent="0.35">
      <c r="B75" s="26">
        <f t="shared" si="6"/>
        <v>335</v>
      </c>
      <c r="C75" s="48">
        <f t="shared" si="4"/>
        <v>0.49607756194432406</v>
      </c>
      <c r="D75" s="49">
        <f t="shared" si="5"/>
        <v>0.68909028155806129</v>
      </c>
      <c r="S75" s="26"/>
    </row>
    <row r="76" spans="2:19" x14ac:dyDescent="0.35">
      <c r="B76" s="26">
        <f t="shared" si="6"/>
        <v>340</v>
      </c>
      <c r="C76" s="48">
        <f t="shared" si="4"/>
        <v>0.48550412026676965</v>
      </c>
      <c r="D76" s="49">
        <f t="shared" si="5"/>
        <v>0.67851683988050682</v>
      </c>
      <c r="S76" s="26"/>
    </row>
    <row r="77" spans="2:19" x14ac:dyDescent="0.35">
      <c r="B77" s="26">
        <f t="shared" si="6"/>
        <v>345</v>
      </c>
      <c r="C77" s="48">
        <f t="shared" si="4"/>
        <v>0.47674427269686837</v>
      </c>
      <c r="D77" s="49">
        <f t="shared" si="5"/>
        <v>0.66975699231060548</v>
      </c>
      <c r="S77" s="26"/>
    </row>
    <row r="78" spans="2:19" x14ac:dyDescent="0.35">
      <c r="B78" s="26">
        <f t="shared" si="6"/>
        <v>350</v>
      </c>
      <c r="C78" s="48">
        <f t="shared" si="4"/>
        <v>0.46986287408122657</v>
      </c>
      <c r="D78" s="49">
        <f t="shared" si="5"/>
        <v>0.66287559369496374</v>
      </c>
      <c r="S78" s="26"/>
    </row>
    <row r="79" spans="2:19" x14ac:dyDescent="0.35">
      <c r="B79" s="26">
        <f t="shared" si="6"/>
        <v>355</v>
      </c>
      <c r="C79" s="48">
        <f t="shared" si="4"/>
        <v>0.46491087188760488</v>
      </c>
      <c r="D79" s="49">
        <f t="shared" si="5"/>
        <v>0.65792359150134205</v>
      </c>
      <c r="S79" s="26"/>
    </row>
    <row r="80" spans="2:19" x14ac:dyDescent="0.35">
      <c r="B80" s="26">
        <f t="shared" si="6"/>
        <v>360</v>
      </c>
      <c r="C80" s="48">
        <f t="shared" si="4"/>
        <v>0.46192492900769178</v>
      </c>
      <c r="D80" s="49">
        <f t="shared" si="5"/>
        <v>0.65493764862142889</v>
      </c>
      <c r="S80" s="26"/>
    </row>
    <row r="81" spans="2:19" x14ac:dyDescent="0.35">
      <c r="B81" s="26">
        <f t="shared" si="6"/>
        <v>365</v>
      </c>
      <c r="C81" s="48">
        <f t="shared" si="4"/>
        <v>0.46092715231788078</v>
      </c>
      <c r="D81" s="49">
        <f t="shared" si="5"/>
        <v>0.65393987193161796</v>
      </c>
      <c r="S81" s="26"/>
    </row>
    <row r="83" spans="2:19" x14ac:dyDescent="0.35">
      <c r="B83" s="26"/>
      <c r="C83" s="26"/>
    </row>
  </sheetData>
  <hyperlinks>
    <hyperlink ref="Q47" r:id="rId1" xr:uid="{2A48DD26-2196-4F42-B9B6-B90E66D33F93}"/>
    <hyperlink ref="I1" r:id="rId2" xr:uid="{74B3C8D8-0611-4398-A086-A73CBDB392E0}"/>
  </hyperlinks>
  <pageMargins left="0.7" right="0.7" top="0.75" bottom="0.75" header="0.3" footer="0.3"/>
  <pageSetup paperSize="9" orientation="portrait" horizontalDpi="1200" verticalDpi="1200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Volúmenes (1)</vt:lpstr>
      <vt:lpstr>Economía (2)</vt:lpstr>
      <vt:lpstr>Solar-H2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2025-10-04T08:34:54Z</dcterms:modified>
</cp:coreProperties>
</file>