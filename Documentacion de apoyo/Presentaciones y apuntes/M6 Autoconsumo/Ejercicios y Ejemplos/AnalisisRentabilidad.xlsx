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repsol365-my.sharepoint.com/personal/miguel_duvison_repsol_com/Documents/Documentos/06_Formación y referencias técnicas/02_Clases MD/Clase Master ERMA 2026/"/>
    </mc:Choice>
  </mc:AlternateContent>
  <xr:revisionPtr revIDLastSave="197" documentId="11_4A6011DDB56CD3CECDEC196C2AC95F2FD0F3C9CA" xr6:coauthVersionLast="47" xr6:coauthVersionMax="47" xr10:uidLastSave="{716DF84E-D408-4081-B96A-1AF22DA350F5}"/>
  <bookViews>
    <workbookView xWindow="-120" yWindow="-120" windowWidth="29040" windowHeight="17520" tabRatio="847" xr2:uid="{00000000-000D-0000-FFFF-FFFF00000000}"/>
  </bookViews>
  <sheets>
    <sheet name="Caso planta PV agro" sheetId="12" r:id="rId1"/>
    <sheet name="Estructura capital" sheetId="15" r:id="rId2"/>
    <sheet name="Caso planta PV auto" sheetId="18" r:id="rId3"/>
    <sheet name="Referencias CAPEX_OPEX" sheetId="17" r:id="rId4"/>
    <sheet name="PeriodosElectricos" sheetId="16" r:id="rId5"/>
  </sheets>
  <externalReferences>
    <externalReference r:id="rId6"/>
    <externalReference r:id="rId7"/>
  </externalReferences>
  <definedNames>
    <definedName name="Apalancamiento" localSheetId="2">[1]INPUTS!#REF!</definedName>
    <definedName name="Apalancamiento">[1]INPUTS!#REF!</definedName>
    <definedName name="Name">[2]Cuadro_de_Mandos!$D$7</definedName>
    <definedName name="SFDeuda" localSheetId="2">[1]INPUTS!#REF!</definedName>
    <definedName name="SFDeuda">[1]INPUTS!#REF!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2" l="1"/>
  <c r="J97" i="12"/>
  <c r="K97" i="12"/>
  <c r="L97" i="12"/>
  <c r="M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I97" i="12"/>
  <c r="J33" i="12"/>
  <c r="E15" i="18" s="1"/>
  <c r="K33" i="12"/>
  <c r="F15" i="18" s="1"/>
  <c r="L33" i="12"/>
  <c r="G15" i="18" s="1"/>
  <c r="M33" i="12"/>
  <c r="H15" i="18" s="1"/>
  <c r="N33" i="12"/>
  <c r="I15" i="18" s="1"/>
  <c r="O33" i="12"/>
  <c r="J15" i="18" s="1"/>
  <c r="P33" i="12"/>
  <c r="K15" i="18" s="1"/>
  <c r="Q33" i="12"/>
  <c r="L15" i="18" s="1"/>
  <c r="R33" i="12"/>
  <c r="M15" i="18" s="1"/>
  <c r="S33" i="12"/>
  <c r="N15" i="18" s="1"/>
  <c r="T33" i="12"/>
  <c r="O15" i="18" s="1"/>
  <c r="U33" i="12"/>
  <c r="P15" i="18" s="1"/>
  <c r="V33" i="12"/>
  <c r="Q15" i="18" s="1"/>
  <c r="W33" i="12"/>
  <c r="R15" i="18" s="1"/>
  <c r="X33" i="12"/>
  <c r="S15" i="18" s="1"/>
  <c r="Y33" i="12"/>
  <c r="T15" i="18" s="1"/>
  <c r="Z33" i="12"/>
  <c r="U15" i="18" s="1"/>
  <c r="AA33" i="12"/>
  <c r="V15" i="18" s="1"/>
  <c r="AB33" i="12"/>
  <c r="W15" i="18" s="1"/>
  <c r="I33" i="12"/>
  <c r="D15" i="18" s="1"/>
  <c r="E17" i="18" l="1"/>
  <c r="F17" i="18" s="1"/>
  <c r="G17" i="18" s="1"/>
  <c r="H17" i="18" s="1"/>
  <c r="I17" i="18" s="1"/>
  <c r="J17" i="18" s="1"/>
  <c r="K17" i="18" s="1"/>
  <c r="L17" i="18" s="1"/>
  <c r="M17" i="18" s="1"/>
  <c r="N17" i="18" s="1"/>
  <c r="O17" i="18" s="1"/>
  <c r="P17" i="18" s="1"/>
  <c r="Q17" i="18" s="1"/>
  <c r="R17" i="18" s="1"/>
  <c r="S17" i="18" s="1"/>
  <c r="T17" i="18" s="1"/>
  <c r="U17" i="18" s="1"/>
  <c r="V17" i="18" s="1"/>
  <c r="W17" i="18" s="1"/>
  <c r="D17" i="18"/>
  <c r="F15" i="12"/>
  <c r="I35" i="12" s="1"/>
  <c r="J35" i="12" s="1"/>
  <c r="K35" i="12" s="1"/>
  <c r="L35" i="12" s="1"/>
  <c r="M35" i="12" s="1"/>
  <c r="N35" i="12" s="1"/>
  <c r="O35" i="12" s="1"/>
  <c r="P35" i="12" s="1"/>
  <c r="Q35" i="12" s="1"/>
  <c r="R35" i="12" s="1"/>
  <c r="S35" i="12" s="1"/>
  <c r="T35" i="12" s="1"/>
  <c r="U35" i="12" s="1"/>
  <c r="V35" i="12" s="1"/>
  <c r="W35" i="12" s="1"/>
  <c r="X35" i="12" s="1"/>
  <c r="Y35" i="12" s="1"/>
  <c r="Z35" i="12" s="1"/>
  <c r="AA35" i="12" s="1"/>
  <c r="AB35" i="12" s="1"/>
  <c r="F13" i="12"/>
  <c r="F12" i="12" l="1"/>
  <c r="F14" i="12" s="1"/>
  <c r="I34" i="12" s="1"/>
  <c r="J34" i="12" s="1"/>
  <c r="K34" i="12" s="1"/>
  <c r="L34" i="12" s="1"/>
  <c r="M34" i="12" s="1"/>
  <c r="N34" i="12" s="1"/>
  <c r="O34" i="12" s="1"/>
  <c r="P34" i="12" s="1"/>
  <c r="Q34" i="12" s="1"/>
  <c r="R34" i="12" s="1"/>
  <c r="S34" i="12" s="1"/>
  <c r="T34" i="12" s="1"/>
  <c r="U34" i="12" s="1"/>
  <c r="V34" i="12" s="1"/>
  <c r="W34" i="12" s="1"/>
  <c r="X34" i="12" s="1"/>
  <c r="Y34" i="12" s="1"/>
  <c r="Z34" i="12" s="1"/>
  <c r="AA34" i="12" s="1"/>
  <c r="AB34" i="12" s="1"/>
  <c r="C9" i="18" l="1"/>
  <c r="C8" i="18"/>
  <c r="V26" i="18" s="1"/>
  <c r="B44" i="18"/>
  <c r="D16" i="18"/>
  <c r="C4" i="18"/>
  <c r="D20" i="18" l="1"/>
  <c r="E16" i="18"/>
  <c r="E21" i="18" s="1"/>
  <c r="L16" i="18"/>
  <c r="Q26" i="18"/>
  <c r="E39" i="18"/>
  <c r="C53" i="18" s="1"/>
  <c r="G26" i="18"/>
  <c r="H16" i="18"/>
  <c r="K26" i="18"/>
  <c r="E38" i="18"/>
  <c r="T26" i="18"/>
  <c r="P26" i="18"/>
  <c r="L26" i="18"/>
  <c r="H26" i="18"/>
  <c r="D26" i="18"/>
  <c r="U26" i="18"/>
  <c r="O26" i="18"/>
  <c r="J26" i="18"/>
  <c r="E26" i="18"/>
  <c r="S26" i="18"/>
  <c r="N26" i="18"/>
  <c r="I26" i="18"/>
  <c r="D21" i="18"/>
  <c r="D19" i="18"/>
  <c r="F26" i="18"/>
  <c r="C34" i="18"/>
  <c r="R26" i="18"/>
  <c r="I16" i="18"/>
  <c r="M26" i="18"/>
  <c r="W26" i="18"/>
  <c r="F16" i="18"/>
  <c r="J16" i="18"/>
  <c r="G16" i="18"/>
  <c r="K16" i="18"/>
  <c r="E19" i="18" l="1"/>
  <c r="E22" i="18" s="1"/>
  <c r="D22" i="18"/>
  <c r="D24" i="18" s="1"/>
  <c r="D28" i="18" s="1"/>
  <c r="G19" i="18"/>
  <c r="G21" i="18"/>
  <c r="J21" i="18"/>
  <c r="J19" i="18"/>
  <c r="X26" i="18"/>
  <c r="Y26" i="18" s="1"/>
  <c r="H21" i="18"/>
  <c r="H19" i="18"/>
  <c r="I19" i="18"/>
  <c r="I21" i="18"/>
  <c r="F21" i="18"/>
  <c r="F19" i="18"/>
  <c r="Q47" i="18"/>
  <c r="M47" i="18"/>
  <c r="I47" i="18"/>
  <c r="E47" i="18"/>
  <c r="Q46" i="18"/>
  <c r="M46" i="18"/>
  <c r="I46" i="18"/>
  <c r="E46" i="18"/>
  <c r="P47" i="18"/>
  <c r="L47" i="18"/>
  <c r="H47" i="18"/>
  <c r="D47" i="18"/>
  <c r="P46" i="18"/>
  <c r="L46" i="18"/>
  <c r="H46" i="18"/>
  <c r="D46" i="18"/>
  <c r="S47" i="18"/>
  <c r="K47" i="18"/>
  <c r="S46" i="18"/>
  <c r="K46" i="18"/>
  <c r="G47" i="18"/>
  <c r="G46" i="18"/>
  <c r="R47" i="18"/>
  <c r="J47" i="18"/>
  <c r="R46" i="18"/>
  <c r="J46" i="18"/>
  <c r="O47" i="18"/>
  <c r="O46" i="18"/>
  <c r="N47" i="18"/>
  <c r="N46" i="18"/>
  <c r="F46" i="18"/>
  <c r="F47" i="18"/>
  <c r="L21" i="18"/>
  <c r="L19" i="18"/>
  <c r="K21" i="18"/>
  <c r="K19" i="18"/>
  <c r="E20" i="18"/>
  <c r="M16" i="18"/>
  <c r="E24" i="18" l="1"/>
  <c r="E28" i="18" s="1"/>
  <c r="E44" i="18" s="1"/>
  <c r="D44" i="18"/>
  <c r="D30" i="18"/>
  <c r="D32" i="18" s="1"/>
  <c r="D34" i="18" s="1"/>
  <c r="F22" i="18"/>
  <c r="G22" i="18"/>
  <c r="N16" i="18"/>
  <c r="F20" i="18"/>
  <c r="L22" i="18"/>
  <c r="I22" i="18"/>
  <c r="J22" i="18"/>
  <c r="H22" i="18"/>
  <c r="M19" i="18"/>
  <c r="M21" i="18"/>
  <c r="K22" i="18"/>
  <c r="X47" i="18"/>
  <c r="Y47" i="18" s="1"/>
  <c r="F24" i="18" l="1"/>
  <c r="F28" i="18" s="1"/>
  <c r="F30" i="18" s="1"/>
  <c r="F32" i="18" s="1"/>
  <c r="F34" i="18" s="1"/>
  <c r="E30" i="18"/>
  <c r="E32" i="18" s="1"/>
  <c r="E34" i="18" s="1"/>
  <c r="O16" i="18"/>
  <c r="M22" i="18"/>
  <c r="N19" i="18"/>
  <c r="N21" i="18"/>
  <c r="D49" i="18"/>
  <c r="D51" i="18" s="1"/>
  <c r="D53" i="18" s="1"/>
  <c r="G20" i="18"/>
  <c r="G24" i="18" s="1"/>
  <c r="G28" i="18" s="1"/>
  <c r="E49" i="18"/>
  <c r="E51" i="18" s="1"/>
  <c r="E53" i="18" s="1"/>
  <c r="F44" i="18" l="1"/>
  <c r="F49" i="18" s="1"/>
  <c r="F51" i="18" s="1"/>
  <c r="F53" i="18" s="1"/>
  <c r="N22" i="18"/>
  <c r="H20" i="18"/>
  <c r="H24" i="18" s="1"/>
  <c r="H28" i="18" s="1"/>
  <c r="O21" i="18"/>
  <c r="O19" i="18"/>
  <c r="G44" i="18"/>
  <c r="G30" i="18"/>
  <c r="G32" i="18" s="1"/>
  <c r="G34" i="18" s="1"/>
  <c r="P16" i="18"/>
  <c r="O22" i="18" l="1"/>
  <c r="Q16" i="18"/>
  <c r="I20" i="18"/>
  <c r="I24" i="18" s="1"/>
  <c r="I28" i="18" s="1"/>
  <c r="P21" i="18"/>
  <c r="P19" i="18"/>
  <c r="G49" i="18"/>
  <c r="G51" i="18" s="1"/>
  <c r="G53" i="18" s="1"/>
  <c r="H44" i="18"/>
  <c r="H30" i="18"/>
  <c r="H32" i="18" s="1"/>
  <c r="H34" i="18" s="1"/>
  <c r="H49" i="18" l="1"/>
  <c r="H51" i="18" s="1"/>
  <c r="H53" i="18" s="1"/>
  <c r="R16" i="18"/>
  <c r="J20" i="18"/>
  <c r="J24" i="18" s="1"/>
  <c r="J28" i="18" s="1"/>
  <c r="I44" i="18"/>
  <c r="I30" i="18"/>
  <c r="I32" i="18" s="1"/>
  <c r="I34" i="18" s="1"/>
  <c r="P22" i="18"/>
  <c r="Q21" i="18"/>
  <c r="Q19" i="18"/>
  <c r="R19" i="18" l="1"/>
  <c r="R21" i="18"/>
  <c r="I49" i="18"/>
  <c r="I51" i="18" s="1"/>
  <c r="I53" i="18" s="1"/>
  <c r="K20" i="18"/>
  <c r="K24" i="18" s="1"/>
  <c r="K28" i="18" s="1"/>
  <c r="S16" i="18"/>
  <c r="Q22" i="18"/>
  <c r="J30" i="18"/>
  <c r="J32" i="18" s="1"/>
  <c r="J34" i="18" s="1"/>
  <c r="J44" i="18"/>
  <c r="S19" i="18" l="1"/>
  <c r="S21" i="18"/>
  <c r="K30" i="18"/>
  <c r="K32" i="18" s="1"/>
  <c r="K34" i="18" s="1"/>
  <c r="K44" i="18"/>
  <c r="T16" i="18"/>
  <c r="J49" i="18"/>
  <c r="J51" i="18" s="1"/>
  <c r="J53" i="18" s="1"/>
  <c r="L20" i="18"/>
  <c r="L24" i="18" s="1"/>
  <c r="L28" i="18" s="1"/>
  <c r="R22" i="18"/>
  <c r="K49" i="18" l="1"/>
  <c r="K51" i="18" s="1"/>
  <c r="K53" i="18" s="1"/>
  <c r="M20" i="18"/>
  <c r="M24" i="18" s="1"/>
  <c r="M28" i="18" s="1"/>
  <c r="T21" i="18"/>
  <c r="T19" i="18"/>
  <c r="L44" i="18"/>
  <c r="L30" i="18"/>
  <c r="L32" i="18" s="1"/>
  <c r="L34" i="18" s="1"/>
  <c r="U16" i="18"/>
  <c r="S22" i="18"/>
  <c r="M44" i="18" l="1"/>
  <c r="M30" i="18"/>
  <c r="M32" i="18" s="1"/>
  <c r="M34" i="18" s="1"/>
  <c r="U21" i="18"/>
  <c r="U19" i="18"/>
  <c r="L49" i="18"/>
  <c r="L51" i="18" s="1"/>
  <c r="L53" i="18" s="1"/>
  <c r="N20" i="18"/>
  <c r="N24" i="18" s="1"/>
  <c r="N28" i="18" s="1"/>
  <c r="W16" i="18"/>
  <c r="V16" i="18"/>
  <c r="T22" i="18"/>
  <c r="W19" i="18" l="1"/>
  <c r="W21" i="18"/>
  <c r="O20" i="18"/>
  <c r="O24" i="18" s="1"/>
  <c r="O28" i="18" s="1"/>
  <c r="M49" i="18"/>
  <c r="M51" i="18" s="1"/>
  <c r="M53" i="18" s="1"/>
  <c r="N30" i="18"/>
  <c r="N32" i="18" s="1"/>
  <c r="N34" i="18" s="1"/>
  <c r="N44" i="18"/>
  <c r="U22" i="18"/>
  <c r="V21" i="18"/>
  <c r="V19" i="18"/>
  <c r="V22" i="18" l="1"/>
  <c r="N49" i="18"/>
  <c r="N51" i="18" s="1"/>
  <c r="N53" i="18" s="1"/>
  <c r="W22" i="18"/>
  <c r="O44" i="18"/>
  <c r="O30" i="18"/>
  <c r="O32" i="18" s="1"/>
  <c r="O34" i="18" s="1"/>
  <c r="P20" i="18"/>
  <c r="P24" i="18" s="1"/>
  <c r="P28" i="18" s="1"/>
  <c r="Q20" i="18" l="1"/>
  <c r="Q24" i="18" s="1"/>
  <c r="Q28" i="18" s="1"/>
  <c r="O49" i="18"/>
  <c r="O51" i="18" s="1"/>
  <c r="O53" i="18" s="1"/>
  <c r="P44" i="18"/>
  <c r="P30" i="18"/>
  <c r="P32" i="18" s="1"/>
  <c r="P34" i="18" s="1"/>
  <c r="Q44" i="18" l="1"/>
  <c r="Q30" i="18"/>
  <c r="Q32" i="18" s="1"/>
  <c r="Q34" i="18" s="1"/>
  <c r="P49" i="18"/>
  <c r="P51" i="18" s="1"/>
  <c r="P53" i="18" s="1"/>
  <c r="R20" i="18"/>
  <c r="R24" i="18" s="1"/>
  <c r="R28" i="18" s="1"/>
  <c r="S20" i="18" l="1"/>
  <c r="S24" i="18" s="1"/>
  <c r="S28" i="18" s="1"/>
  <c r="R30" i="18"/>
  <c r="R32" i="18" s="1"/>
  <c r="R34" i="18" s="1"/>
  <c r="R44" i="18"/>
  <c r="Q49" i="18"/>
  <c r="Q51" i="18" s="1"/>
  <c r="Q53" i="18" s="1"/>
  <c r="S30" i="18" l="1"/>
  <c r="S32" i="18" s="1"/>
  <c r="S34" i="18" s="1"/>
  <c r="S44" i="18"/>
  <c r="R49" i="18"/>
  <c r="R51" i="18" s="1"/>
  <c r="R53" i="18" s="1"/>
  <c r="T20" i="18"/>
  <c r="T24" i="18" s="1"/>
  <c r="T28" i="18" s="1"/>
  <c r="U20" i="18" l="1"/>
  <c r="U24" i="18" s="1"/>
  <c r="U28" i="18" s="1"/>
  <c r="T44" i="18"/>
  <c r="T30" i="18"/>
  <c r="T32" i="18" s="1"/>
  <c r="T34" i="18" s="1"/>
  <c r="S49" i="18"/>
  <c r="S51" i="18" s="1"/>
  <c r="S53" i="18" s="1"/>
  <c r="T49" i="18" l="1"/>
  <c r="T51" i="18" s="1"/>
  <c r="T53" i="18" s="1"/>
  <c r="W20" i="18"/>
  <c r="W24" i="18" s="1"/>
  <c r="W28" i="18" s="1"/>
  <c r="V20" i="18"/>
  <c r="V24" i="18" s="1"/>
  <c r="V28" i="18" s="1"/>
  <c r="U44" i="18"/>
  <c r="U30" i="18"/>
  <c r="U32" i="18" s="1"/>
  <c r="U34" i="18" s="1"/>
  <c r="U49" i="18" l="1"/>
  <c r="U51" i="18" s="1"/>
  <c r="U53" i="18" s="1"/>
  <c r="V30" i="18"/>
  <c r="V32" i="18" s="1"/>
  <c r="V34" i="18" s="1"/>
  <c r="V44" i="18"/>
  <c r="W44" i="18"/>
  <c r="W30" i="18"/>
  <c r="W32" i="18" s="1"/>
  <c r="W34" i="18" s="1"/>
  <c r="C36" i="18" l="1"/>
  <c r="V49" i="18"/>
  <c r="V51" i="18" s="1"/>
  <c r="V53" i="18" s="1"/>
  <c r="W49" i="18"/>
  <c r="W51" i="18" s="1"/>
  <c r="W53" i="18" s="1"/>
  <c r="C55" i="18" l="1"/>
  <c r="D30" i="17" l="1"/>
  <c r="D31" i="17"/>
  <c r="D32" i="17"/>
  <c r="D33" i="17"/>
  <c r="D34" i="17"/>
  <c r="D35" i="17"/>
  <c r="D29" i="17"/>
  <c r="C36" i="17"/>
  <c r="D8" i="17"/>
  <c r="D9" i="17"/>
  <c r="D10" i="17"/>
  <c r="D11" i="17"/>
  <c r="D12" i="17"/>
  <c r="D13" i="17"/>
  <c r="D14" i="17"/>
  <c r="D15" i="17"/>
  <c r="D16" i="17"/>
  <c r="D17" i="17"/>
  <c r="D7" i="17"/>
  <c r="C18" i="17"/>
  <c r="D18" i="17" s="1"/>
  <c r="E11" i="17" l="1"/>
  <c r="D36" i="17"/>
  <c r="C12" i="16"/>
  <c r="C13" i="16" s="1"/>
  <c r="G11" i="16"/>
  <c r="H11" i="16" s="1"/>
  <c r="C14" i="16" l="1"/>
  <c r="G13" i="16"/>
  <c r="H13" i="16" s="1"/>
  <c r="G12" i="16"/>
  <c r="H12" i="16" s="1"/>
  <c r="H91" i="12"/>
  <c r="I96" i="12" s="1"/>
  <c r="J96" i="12" s="1"/>
  <c r="K96" i="12" s="1"/>
  <c r="L96" i="12" s="1"/>
  <c r="M96" i="12" s="1"/>
  <c r="N96" i="12" s="1"/>
  <c r="O96" i="12" s="1"/>
  <c r="P96" i="12" s="1"/>
  <c r="Q96" i="12" s="1"/>
  <c r="R96" i="12" s="1"/>
  <c r="S96" i="12" s="1"/>
  <c r="T96" i="12" s="1"/>
  <c r="U96" i="12" s="1"/>
  <c r="V96" i="12" s="1"/>
  <c r="W96" i="12" s="1"/>
  <c r="X96" i="12" s="1"/>
  <c r="Y96" i="12" s="1"/>
  <c r="Z96" i="12" s="1"/>
  <c r="AA96" i="12" s="1"/>
  <c r="AB96" i="12" s="1"/>
  <c r="H90" i="12"/>
  <c r="H87" i="12"/>
  <c r="F20" i="12"/>
  <c r="F16" i="12"/>
  <c r="G14" i="16" l="1"/>
  <c r="H14" i="16" s="1"/>
  <c r="C15" i="16"/>
  <c r="C16" i="16" s="1"/>
  <c r="C17" i="16" s="1"/>
  <c r="C18" i="16" s="1"/>
  <c r="C19" i="16" s="1"/>
  <c r="C20" i="16" s="1"/>
  <c r="C21" i="16" s="1"/>
  <c r="C22" i="16" s="1"/>
  <c r="F16" i="15"/>
  <c r="F5" i="15"/>
  <c r="F9" i="15" s="1"/>
  <c r="F13" i="15" s="1"/>
  <c r="G16" i="16" l="1"/>
  <c r="H16" i="16" s="1"/>
  <c r="G15" i="16"/>
  <c r="H15" i="16" s="1"/>
  <c r="F19" i="15"/>
  <c r="G49" i="12" s="1"/>
  <c r="G17" i="16" l="1"/>
  <c r="H17" i="16" l="1"/>
  <c r="G18" i="16"/>
  <c r="G70" i="12"/>
  <c r="H18" i="16" l="1"/>
  <c r="G19" i="16"/>
  <c r="H96" i="12"/>
  <c r="G20" i="16" l="1"/>
  <c r="H19" i="16"/>
  <c r="F21" i="12"/>
  <c r="H46" i="12" s="1"/>
  <c r="H47" i="12" s="1"/>
  <c r="J38" i="12" l="1"/>
  <c r="R38" i="12"/>
  <c r="Z38" i="12"/>
  <c r="K38" i="12"/>
  <c r="S38" i="12"/>
  <c r="AA38" i="12"/>
  <c r="L38" i="12"/>
  <c r="T38" i="12"/>
  <c r="AB38" i="12"/>
  <c r="W38" i="12"/>
  <c r="M38" i="12"/>
  <c r="U38" i="12"/>
  <c r="I38" i="12"/>
  <c r="N38" i="12"/>
  <c r="V38" i="12"/>
  <c r="O38" i="12"/>
  <c r="P38" i="12"/>
  <c r="X38" i="12"/>
  <c r="Q38" i="12"/>
  <c r="Y38" i="12"/>
  <c r="G21" i="16"/>
  <c r="H20" i="16"/>
  <c r="G21" i="12"/>
  <c r="H89" i="12" s="1"/>
  <c r="H88" i="12"/>
  <c r="H95" i="12" s="1"/>
  <c r="H99" i="12" s="1"/>
  <c r="G71" i="12"/>
  <c r="G75" i="12" s="1"/>
  <c r="H21" i="16" l="1"/>
  <c r="G22" i="16" l="1"/>
  <c r="H22" i="16" s="1"/>
  <c r="F23" i="12"/>
  <c r="I36" i="12" l="1"/>
  <c r="I40" i="12" s="1"/>
  <c r="I42" i="12" l="1"/>
  <c r="J36" i="12"/>
  <c r="J40" i="12" s="1"/>
  <c r="I44" i="12" l="1"/>
  <c r="I46" i="12" s="1"/>
  <c r="J42" i="12"/>
  <c r="K36" i="12"/>
  <c r="K40" i="12" s="1"/>
  <c r="I47" i="12" l="1"/>
  <c r="J44" i="12"/>
  <c r="J46" i="12" s="1"/>
  <c r="K42" i="12"/>
  <c r="K44" i="12" s="1"/>
  <c r="K46" i="12" s="1"/>
  <c r="L36" i="12"/>
  <c r="L40" i="12" s="1"/>
  <c r="J47" i="12" l="1"/>
  <c r="K47" i="12" s="1"/>
  <c r="L42" i="12"/>
  <c r="L44" i="12" s="1"/>
  <c r="L46" i="12" s="1"/>
  <c r="M36" i="12"/>
  <c r="M40" i="12" s="1"/>
  <c r="L47" i="12" l="1"/>
  <c r="M42" i="12"/>
  <c r="N36" i="12"/>
  <c r="N40" i="12" s="1"/>
  <c r="M44" i="12" l="1"/>
  <c r="M46" i="12" s="1"/>
  <c r="N42" i="12"/>
  <c r="O36" i="12"/>
  <c r="O40" i="12" s="1"/>
  <c r="M47" i="12" l="1"/>
  <c r="N44" i="12"/>
  <c r="N46" i="12" s="1"/>
  <c r="O42" i="12"/>
  <c r="P36" i="12"/>
  <c r="P40" i="12" s="1"/>
  <c r="N47" i="12" l="1"/>
  <c r="O44" i="12"/>
  <c r="O46" i="12" s="1"/>
  <c r="O47" i="12" s="1"/>
  <c r="P42" i="12"/>
  <c r="P44" i="12" s="1"/>
  <c r="P46" i="12" s="1"/>
  <c r="Q36" i="12"/>
  <c r="Q40" i="12" s="1"/>
  <c r="P47" i="12" l="1"/>
  <c r="Q42" i="12"/>
  <c r="R36" i="12"/>
  <c r="R40" i="12" s="1"/>
  <c r="Q44" i="12" l="1"/>
  <c r="Q46" i="12" s="1"/>
  <c r="Q47" i="12" s="1"/>
  <c r="R42" i="12"/>
  <c r="S36" i="12"/>
  <c r="S40" i="12" s="1"/>
  <c r="R44" i="12" l="1"/>
  <c r="R46" i="12" s="1"/>
  <c r="R47" i="12" s="1"/>
  <c r="S42" i="12"/>
  <c r="T36" i="12"/>
  <c r="T40" i="12" s="1"/>
  <c r="S44" i="12" l="1"/>
  <c r="S46" i="12" s="1"/>
  <c r="S47" i="12" s="1"/>
  <c r="T42" i="12"/>
  <c r="U36" i="12"/>
  <c r="U40" i="12" s="1"/>
  <c r="T44" i="12" l="1"/>
  <c r="T46" i="12" s="1"/>
  <c r="T47" i="12" s="1"/>
  <c r="U42" i="12"/>
  <c r="V36" i="12"/>
  <c r="V40" i="12" s="1"/>
  <c r="U44" i="12" l="1"/>
  <c r="U46" i="12" s="1"/>
  <c r="U47" i="12" s="1"/>
  <c r="V42" i="12"/>
  <c r="W36" i="12"/>
  <c r="W40" i="12" s="1"/>
  <c r="V44" i="12" l="1"/>
  <c r="V46" i="12" s="1"/>
  <c r="V47" i="12" s="1"/>
  <c r="W42" i="12"/>
  <c r="W44" i="12" s="1"/>
  <c r="W46" i="12" s="1"/>
  <c r="X36" i="12"/>
  <c r="X40" i="12" s="1"/>
  <c r="W47" i="12" l="1"/>
  <c r="X42" i="12"/>
  <c r="Y36" i="12"/>
  <c r="Y40" i="12" s="1"/>
  <c r="X44" i="12" l="1"/>
  <c r="X46" i="12" s="1"/>
  <c r="X47" i="12" s="1"/>
  <c r="Y42" i="12"/>
  <c r="Y44" i="12" s="1"/>
  <c r="Y46" i="12" s="1"/>
  <c r="Z36" i="12"/>
  <c r="Z40" i="12" s="1"/>
  <c r="Y47" i="12" l="1"/>
  <c r="Z42" i="12"/>
  <c r="AA36" i="12"/>
  <c r="AA40" i="12" s="1"/>
  <c r="Z44" i="12" l="1"/>
  <c r="Z46" i="12" s="1"/>
  <c r="Z47" i="12" s="1"/>
  <c r="AA42" i="12"/>
  <c r="AA44" i="12" s="1"/>
  <c r="AA46" i="12" s="1"/>
  <c r="AB36" i="12"/>
  <c r="AB40" i="12" s="1"/>
  <c r="AA47" i="12" l="1"/>
  <c r="AB44" i="12"/>
  <c r="AB46" i="12" s="1"/>
  <c r="G51" i="12" l="1"/>
  <c r="G50" i="12"/>
  <c r="AB4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DDR</author>
  </authors>
  <commentList>
    <comment ref="D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Discriminación horaria de seis periodos (P1, P2, P3, P4, P5 y P6) en alta tensión.   
De aplicación a las tarifas de acceso:
6.1 (P&gt;450kW y 1kV=&lt;V&lt;36kV)
6.2 (P&gt;450kW y 36kV=&lt;V&lt;72.5kV)
6.3 (P&gt;450kW y 72.5kV=&lt;V&lt;145kV)
6.4 (P&gt;450kW y 145kV=&lt;V) 
6.5 (P&gt;450kW y Conexiones Inter.).</t>
        </r>
      </text>
    </comment>
  </commentList>
</comments>
</file>

<file path=xl/sharedStrings.xml><?xml version="1.0" encoding="utf-8"?>
<sst xmlns="http://schemas.openxmlformats.org/spreadsheetml/2006/main" count="307" uniqueCount="226">
  <si>
    <t>Total</t>
  </si>
  <si>
    <t>Año</t>
  </si>
  <si>
    <t>kW</t>
  </si>
  <si>
    <t>€</t>
  </si>
  <si>
    <t>€/año</t>
  </si>
  <si>
    <t>Ahorro término energía</t>
  </si>
  <si>
    <t>Ahorro impuesto eléctrico</t>
  </si>
  <si>
    <t>Total ahorro variable</t>
  </si>
  <si>
    <t>Potencia sistema fotovoltaico</t>
  </si>
  <si>
    <t>Peaje de acceso a la generación vertida a red</t>
  </si>
  <si>
    <t>Balance ahorro</t>
  </si>
  <si>
    <t>Remuneración por exportación</t>
  </si>
  <si>
    <t>Producción anual fotovoltaica</t>
  </si>
  <si>
    <t>Producción anual fotovoltaica autoconsumida</t>
  </si>
  <si>
    <t>MWhe</t>
  </si>
  <si>
    <t>Refuerzo estructural de la cubierta</t>
  </si>
  <si>
    <t>PRSI</t>
  </si>
  <si>
    <t>Suministro, ingeniería, montaje y dirección de obra del sistema fotovoltaico</t>
  </si>
  <si>
    <t>EU</t>
  </si>
  <si>
    <t>CARG 2020/2030</t>
  </si>
  <si>
    <t>CARG 2030/2040</t>
  </si>
  <si>
    <t>Ingresos</t>
  </si>
  <si>
    <t>Gastos</t>
  </si>
  <si>
    <t>IPC</t>
  </si>
  <si>
    <t>EBITDA</t>
  </si>
  <si>
    <t>EBIT</t>
  </si>
  <si>
    <t>Impuesto sociedades (25%)</t>
  </si>
  <si>
    <t>BDI</t>
  </si>
  <si>
    <t>FCF</t>
  </si>
  <si>
    <t>TIR</t>
  </si>
  <si>
    <t>WACC</t>
  </si>
  <si>
    <t>VAN</t>
  </si>
  <si>
    <t>Ahorro CO2</t>
  </si>
  <si>
    <t>ORDEN IET/107/2014</t>
  </si>
  <si>
    <t>kg CO2/año</t>
  </si>
  <si>
    <t>Arboles</t>
  </si>
  <si>
    <t>Ref. Fundación Aquae</t>
  </si>
  <si>
    <t>FC agregado</t>
  </si>
  <si>
    <t>Factor emisión mix (REE, 2018)</t>
  </si>
  <si>
    <t>tCO2/MWhe</t>
  </si>
  <si>
    <t>Factor emisión hasta BT</t>
  </si>
  <si>
    <t>tCO2/año</t>
  </si>
  <si>
    <t>Ahorro emisiones PV</t>
  </si>
  <si>
    <t>Planta PV equivale a CO2 fijado por</t>
  </si>
  <si>
    <t>P (MWp)</t>
  </si>
  <si>
    <t>CAPEX (€)</t>
  </si>
  <si>
    <t>CAPEX (€/kWp)</t>
  </si>
  <si>
    <t>Net electrical energy (MWh/año)</t>
  </si>
  <si>
    <t>O+M (€/año)</t>
  </si>
  <si>
    <t>CAPEX</t>
  </si>
  <si>
    <t>O+M</t>
  </si>
  <si>
    <t>Electrical energy (MWh)</t>
  </si>
  <si>
    <t>LCOE (€/MWh)</t>
  </si>
  <si>
    <t>E</t>
  </si>
  <si>
    <t>A</t>
  </si>
  <si>
    <t>Tf</t>
  </si>
  <si>
    <t>Beta desapalancada</t>
  </si>
  <si>
    <t>http://pages.stern.nyu.edu/~adamodar/New_Home_Page/datafile/Betas.html</t>
  </si>
  <si>
    <t>(Prof. Damodaran)</t>
  </si>
  <si>
    <t>Beta apalancada</t>
  </si>
  <si>
    <t>Tlr</t>
  </si>
  <si>
    <t>Prm</t>
  </si>
  <si>
    <t>Ke</t>
  </si>
  <si>
    <t>Cdm</t>
  </si>
  <si>
    <t>Kd</t>
  </si>
  <si>
    <t>Ref. rentabilidad deuda pública</t>
  </si>
  <si>
    <t>ESTIMACIÓN LCOE</t>
  </si>
  <si>
    <t>EUR/kWp</t>
  </si>
  <si>
    <t>Obtenido tras la comparación hora a hora con la demanda de la instalación industrial</t>
  </si>
  <si>
    <t>Corresponde con el coste de la energía eléctrica que hubiera tenido el industrial si la hubiera importado de la red (suma hora a hora anual)</t>
  </si>
  <si>
    <t>Corresponde con el coste asociado al impuesto eléctrico (5,11269632%) que hubiera tenido el industrial si la hubiera importado de la red</t>
  </si>
  <si>
    <t>Volumen exportado (MWh) por precio de venta en las horas de exportación correspondientes (€/MWh)</t>
  </si>
  <si>
    <t>Suma de los anteriores</t>
  </si>
  <si>
    <t>Estimación para este caso</t>
  </si>
  <si>
    <t>Endeudamiento</t>
  </si>
  <si>
    <t>Apalancamiento</t>
  </si>
  <si>
    <t>Tasa fiscal = Impuesto sociedades España</t>
  </si>
  <si>
    <t>Valor del riesgo intrínseco al activo</t>
  </si>
  <si>
    <t>Componente del WACC asociada a los fondos propios (Equity en inglés)</t>
  </si>
  <si>
    <t>Prima exigida por el agente que aporta la deuda (banco, fondo de inversión) para entrar en el proyecto</t>
  </si>
  <si>
    <t>Componente del WACC asociada a la deuda (Debt en inglés)</t>
  </si>
  <si>
    <t>Procedimiento de cálculo del coste de capital</t>
  </si>
  <si>
    <t>OPEX unitario = 10 EUR/kW</t>
  </si>
  <si>
    <t>EBITDA hipotético año 0</t>
  </si>
  <si>
    <t>Referencia coste inversión de este tipo de instalaciones</t>
  </si>
  <si>
    <t>Incluyendo coste de refuerzo estructural en este caso</t>
  </si>
  <si>
    <t>Sistema fotovoltaico en cubierta</t>
  </si>
  <si>
    <t>Resultados obtenidos</t>
  </si>
  <si>
    <t>Relación de inversiones</t>
  </si>
  <si>
    <t>Mantenimiento (OPEX)</t>
  </si>
  <si>
    <t>Tasa de descuento a considerar. Valor mínimo que exigimos a un proyecto, de acuerdo con esta estructura de capital, para invertir en el mismo</t>
  </si>
  <si>
    <t>Días laborables</t>
  </si>
  <si>
    <t>Días festivos</t>
  </si>
  <si>
    <t>Peninsula</t>
  </si>
  <si>
    <t>Hora</t>
  </si>
  <si>
    <t>Identificación mes</t>
  </si>
  <si>
    <t>Inicio</t>
  </si>
  <si>
    <t>Fin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</si>
  <si>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</si>
  <si>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</si>
  <si>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</si>
  <si>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</si>
  <si>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</si>
  <si>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</si>
  <si>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</si>
  <si>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</si>
  <si>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</si>
  <si>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</si>
  <si>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</si>
  <si>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</si>
  <si>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</si>
  <si>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Módulos</t>
  </si>
  <si>
    <t>Seguidor</t>
  </si>
  <si>
    <t>Inversores</t>
  </si>
  <si>
    <t>Otros equipos (cables BT, MT, cajas de conexión, etc.)</t>
  </si>
  <si>
    <t>Auxiliares planta</t>
  </si>
  <si>
    <t>SET + LAT</t>
  </si>
  <si>
    <t>Conexión</t>
  </si>
  <si>
    <t>Otros CAPEX</t>
  </si>
  <si>
    <t>Tasas</t>
  </si>
  <si>
    <t>Ingeniería y Dirección de Obra</t>
  </si>
  <si>
    <t>DEVEX</t>
  </si>
  <si>
    <t>TOTAL</t>
  </si>
  <si>
    <t>CAPEX Fotovoltaica</t>
  </si>
  <si>
    <t>Precio referencia EUR/MWp</t>
  </si>
  <si>
    <t>Precio referencia MEUR/MWp</t>
  </si>
  <si>
    <t>MEUR/MWp</t>
  </si>
  <si>
    <t>OPEX Fotovoltaica</t>
  </si>
  <si>
    <t>O&amp;M Planta</t>
  </si>
  <si>
    <t>O&amp;M Evacuación</t>
  </si>
  <si>
    <t>SCADA, Sistemas y comunicaciones</t>
  </si>
  <si>
    <t>Terrenos</t>
  </si>
  <si>
    <t>Personal y gestión del parque</t>
  </si>
  <si>
    <t>Otros (seguros, servicios, suministros)</t>
  </si>
  <si>
    <t>Impuestos locales</t>
  </si>
  <si>
    <t>EUR/MWp</t>
  </si>
  <si>
    <t>Referencias para plantas de mayor tamaño</t>
  </si>
  <si>
    <t>Mutiplicando la energía excedentaria vertida a la red por el coste de colocación (0,28 €/MWh)</t>
  </si>
  <si>
    <t>%</t>
  </si>
  <si>
    <t>Potencia (MWp)</t>
  </si>
  <si>
    <t>Degradación</t>
  </si>
  <si>
    <t>Tipo impositivo (%)</t>
  </si>
  <si>
    <t>Factor de capacidad (%)</t>
  </si>
  <si>
    <t>Peaje incorporación a red (€/MWh)</t>
  </si>
  <si>
    <t>HEPC (kWh/kWp/año)</t>
  </si>
  <si>
    <t>% entregado</t>
  </si>
  <si>
    <t>Impuesto GEN EE (%)</t>
  </si>
  <si>
    <t>PPA (€/MWh)</t>
  </si>
  <si>
    <t>OPEX anual año 0 (€)</t>
  </si>
  <si>
    <t>Evolución con inflación</t>
  </si>
  <si>
    <t>Vida contrato (años)</t>
  </si>
  <si>
    <t>Vida útil (años)</t>
  </si>
  <si>
    <t>Producción entregada (MWhe)</t>
  </si>
  <si>
    <t>OPEX anual (€)</t>
  </si>
  <si>
    <t>Ingresos (€)</t>
  </si>
  <si>
    <t>OPEX planta (€)</t>
  </si>
  <si>
    <t>OPEX peaje red (€)</t>
  </si>
  <si>
    <t>Impuesto GEN EE (€)</t>
  </si>
  <si>
    <t>EBITDA (€)</t>
  </si>
  <si>
    <t>Amortización (€)</t>
  </si>
  <si>
    <t>EBIT (€)</t>
  </si>
  <si>
    <t>Impuestos (€)</t>
  </si>
  <si>
    <t>EBI (€)</t>
  </si>
  <si>
    <t>FCF Proyecto (€)</t>
  </si>
  <si>
    <t>TIR Proyecto</t>
  </si>
  <si>
    <t>%Deuda</t>
  </si>
  <si>
    <t>Principal de la deuda</t>
  </si>
  <si>
    <t>Años</t>
  </si>
  <si>
    <t>CAPEX Equity</t>
  </si>
  <si>
    <t>Intereses deuda (€)</t>
  </si>
  <si>
    <t>Principal deuda (€)</t>
  </si>
  <si>
    <t>FCF Equity (€)</t>
  </si>
  <si>
    <t>TIR Equity</t>
  </si>
  <si>
    <t xml:space="preserve">IPC (Enero-Diciembre) </t>
  </si>
  <si>
    <t>España</t>
  </si>
  <si>
    <t>https://www.bde.es/webbde/es/estadis/infoest/si_1_2.pdf</t>
  </si>
  <si>
    <t>CAPEX - valor ya amortizado</t>
  </si>
  <si>
    <t>f (mercado)</t>
  </si>
  <si>
    <t>(3) Escudo fiscal =</t>
  </si>
  <si>
    <t>Valor residual =</t>
  </si>
  <si>
    <t>(2) + (3)</t>
  </si>
  <si>
    <t>((1) - (2)) * tipo impositivo</t>
  </si>
  <si>
    <t>*Se amortiza toda la instalación en la vida útil del contrato (VR=0)</t>
  </si>
  <si>
    <t>*Cálculo VR si distinto de cero</t>
  </si>
  <si>
    <t>(a sumar en los flujos el último año del proyecto)</t>
  </si>
  <si>
    <t>Apalancamiento de Beta. Inclusión del riesgo financiero</t>
  </si>
  <si>
    <t>Lo que el inversor adicionalmente exige a los fondos propios que introduce en el proyecto</t>
  </si>
  <si>
    <t>Impuesto a la generación eléctrica</t>
  </si>
  <si>
    <t>Corresponde con el 7% del ingreso percibido por la energía colocada en la red</t>
  </si>
  <si>
    <t>(1) Valor en libros =</t>
  </si>
  <si>
    <t>(2) Valor de mercado =</t>
  </si>
  <si>
    <t>Potencia superior a 15 kW para acceso a tarifa en 6 períodos:</t>
  </si>
  <si>
    <t>Tarifa 6 periodos peninsular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</si>
  <si>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</si>
  <si>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</si>
  <si>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</si>
  <si>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</si>
  <si>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</si>
  <si>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</si>
  <si>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</si>
  <si>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</si>
  <si>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</si>
  <si>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</si>
  <si>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</si>
  <si>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</si>
  <si>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</si>
  <si>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</si>
  <si>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</si>
  <si>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</si>
  <si>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</si>
  <si>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</si>
  <si>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</si>
  <si>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</si>
  <si>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</si>
  <si>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</si>
  <si>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</si>
  <si>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</si>
  <si>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Dimensionamiento realizado en función del espacio disponible, potencias unitarias de módulos, configuración de planta, características estructurales, etc.</t>
  </si>
  <si>
    <t>Obtenido de las simulaciones con PVSYST para esta planta (considerando orientación, selección de módulos, inversores, pérdidas, irradiación, etc.)</t>
  </si>
  <si>
    <t>Senda de degradación</t>
  </si>
  <si>
    <t>Factor de degradación anual</t>
  </si>
  <si>
    <t>Según senda</t>
  </si>
  <si>
    <t>Sin valorización excedentes</t>
  </si>
  <si>
    <t>Amortización lineal 20 años</t>
  </si>
  <si>
    <t>Senda aumento precio energía importada</t>
  </si>
  <si>
    <t>Construcción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</si>
</sst>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"/>
    <numFmt numFmtId="165" formatCode="0.0"/>
    <numFmt numFmtId="166" formatCode="0.0%"/>
    <numFmt numFmtId="167" formatCode="0.000"/>
    <numFmt numFmtId="168" formatCode="#,##0.000"/>
    <numFmt numFmtId="169" formatCode="_-* #,##0\ [$USD]_-;\-* #,##0\ [$USD]_-;_-* &quot;-&quot;\ [$USD]_-;_-@_-"/>
    <numFmt numFmtId="170" formatCode="_-* #,##0\ &quot;€&quot;_-;\-* #,##0\ &quot;€&quot;_-;_-* &quot;-&quot;??\ &quot;€&quot;_-;_-@_-"/>
    <numFmt numFmtId="171" formatCode="_-* #,##0.00\ [$€-C0A]_-;\-* #,##0.00\ [$€-C0A]_-;_-* &quot;-&quot;??\ [$€-C0A]_-;_-@_-"/>
    <numFmt numFmtId="172" formatCode="0.000000000%"/>
  </numFmts>
  <fonts count="2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sz val="10"/>
      <color theme="1"/>
      <name val="FS Emeric"/>
    </font>
    <font>
      <b/>
      <sz val="10"/>
      <color theme="1"/>
      <name val="FS Emeric"/>
    </font>
    <font>
      <sz val="14"/>
      <color theme="1"/>
      <name val="FS Emeric"/>
    </font>
    <font>
      <b/>
      <sz val="10"/>
      <color rgb="FFFFFFFF"/>
      <name val="FS Emeric"/>
    </font>
    <font>
      <b/>
      <sz val="10"/>
      <color rgb="FF004165"/>
      <name val="FS Emeric"/>
    </font>
    <font>
      <sz val="10"/>
      <name val="FS Emeric"/>
    </font>
    <font>
      <sz val="10"/>
      <color rgb="FF004165"/>
      <name val="FS Emeric"/>
    </font>
    <font>
      <u/>
      <sz val="10"/>
      <color theme="1"/>
      <name val="FS Emeric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57200"/>
        <bgColor indexed="64"/>
      </patternFill>
    </fill>
    <fill>
      <patternFill patternType="solid">
        <fgColor rgb="FF004165"/>
        <bgColor indexed="64"/>
      </patternFill>
    </fill>
    <fill>
      <patternFill patternType="solid">
        <fgColor theme="6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4571"/>
      </left>
      <right style="thin">
        <color rgb="FF004571"/>
      </right>
      <top style="thin">
        <color rgb="FF004571"/>
      </top>
      <bottom/>
      <diagonal/>
    </border>
    <border>
      <left style="medium">
        <color indexed="64"/>
      </left>
      <right style="thin">
        <color rgb="FF004571"/>
      </right>
      <top style="medium">
        <color indexed="64"/>
      </top>
      <bottom style="medium">
        <color indexed="64"/>
      </bottom>
      <diagonal/>
    </border>
    <border>
      <left style="thin">
        <color rgb="FF004571"/>
      </left>
      <right style="thin">
        <color rgb="FF00457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73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6" fontId="0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0" fontId="0" fillId="0" borderId="18" xfId="1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0" fontId="0" fillId="0" borderId="21" xfId="1" applyNumberFormat="1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66" fontId="2" fillId="0" borderId="23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8" fontId="2" fillId="0" borderId="21" xfId="0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0" fillId="3" borderId="0" xfId="0" applyFill="1"/>
    <xf numFmtId="168" fontId="0" fillId="3" borderId="0" xfId="0" applyNumberFormat="1" applyFill="1"/>
    <xf numFmtId="169" fontId="0" fillId="3" borderId="0" xfId="0" applyNumberFormat="1" applyFill="1"/>
    <xf numFmtId="170" fontId="3" fillId="3" borderId="0" xfId="2" applyNumberFormat="1" applyFont="1" applyFill="1"/>
    <xf numFmtId="3" fontId="0" fillId="3" borderId="0" xfId="0" applyNumberFormat="1" applyFill="1"/>
    <xf numFmtId="9" fontId="0" fillId="3" borderId="0" xfId="1" applyFont="1" applyFill="1"/>
    <xf numFmtId="170" fontId="0" fillId="3" borderId="0" xfId="0" applyNumberFormat="1" applyFill="1"/>
    <xf numFmtId="8" fontId="0" fillId="3" borderId="0" xfId="0" applyNumberFormat="1" applyFill="1"/>
    <xf numFmtId="165" fontId="0" fillId="0" borderId="0" xfId="0" applyNumberFormat="1"/>
    <xf numFmtId="0" fontId="8" fillId="0" borderId="0" xfId="3"/>
    <xf numFmtId="0" fontId="2" fillId="0" borderId="0" xfId="0" applyFont="1"/>
    <xf numFmtId="166" fontId="2" fillId="0" borderId="0" xfId="1" applyNumberFormat="1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166" fontId="2" fillId="0" borderId="18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3" fontId="4" fillId="0" borderId="27" xfId="0" applyNumberFormat="1" applyFont="1" applyBorder="1" applyAlignment="1">
      <alignment horizontal="center" vertical="center" wrapText="1"/>
    </xf>
    <xf numFmtId="3" fontId="4" fillId="0" borderId="28" xfId="0" applyNumberFormat="1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 wrapText="1"/>
    </xf>
    <xf numFmtId="3" fontId="1" fillId="0" borderId="27" xfId="0" applyNumberFormat="1" applyFont="1" applyBorder="1" applyAlignment="1">
      <alignment horizontal="center" vertical="center" wrapText="1"/>
    </xf>
    <xf numFmtId="3" fontId="3" fillId="0" borderId="29" xfId="0" applyNumberFormat="1" applyFont="1" applyBorder="1" applyAlignment="1">
      <alignment horizontal="center" vertical="center" wrapText="1"/>
    </xf>
    <xf numFmtId="164" fontId="3" fillId="0" borderId="24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72" fontId="0" fillId="0" borderId="0" xfId="1" applyNumberFormat="1" applyFont="1" applyAlignment="1">
      <alignment horizontal="left" vertical="center"/>
    </xf>
    <xf numFmtId="0" fontId="0" fillId="0" borderId="0" xfId="0" applyAlignment="1">
      <alignment vertical="center"/>
    </xf>
    <xf numFmtId="0" fontId="9" fillId="0" borderId="0" xfId="0" applyFont="1"/>
    <xf numFmtId="0" fontId="0" fillId="0" borderId="13" xfId="0" applyBorder="1"/>
    <xf numFmtId="0" fontId="5" fillId="2" borderId="31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3" fillId="3" borderId="13" xfId="0" applyFont="1" applyFill="1" applyBorder="1"/>
    <xf numFmtId="171" fontId="3" fillId="3" borderId="15" xfId="0" applyNumberFormat="1" applyFont="1" applyFill="1" applyBorder="1"/>
    <xf numFmtId="0" fontId="0" fillId="3" borderId="0" xfId="0" applyFill="1" applyAlignment="1">
      <alignment horizontal="right"/>
    </xf>
    <xf numFmtId="0" fontId="0" fillId="3" borderId="0" xfId="0" applyFill="1" applyAlignment="1">
      <alignment wrapText="1"/>
    </xf>
    <xf numFmtId="3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170" fontId="0" fillId="3" borderId="0" xfId="2" applyNumberFormat="1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2" fillId="0" borderId="13" xfId="0" applyFont="1" applyBorder="1"/>
    <xf numFmtId="2" fontId="12" fillId="6" borderId="15" xfId="0" applyNumberFormat="1" applyFont="1" applyFill="1" applyBorder="1"/>
    <xf numFmtId="0" fontId="12" fillId="0" borderId="12" xfId="0" applyFont="1" applyBorder="1"/>
    <xf numFmtId="9" fontId="12" fillId="6" borderId="39" xfId="1" applyFont="1" applyFill="1" applyBorder="1"/>
    <xf numFmtId="0" fontId="12" fillId="0" borderId="16" xfId="0" applyFont="1" applyBorder="1"/>
    <xf numFmtId="166" fontId="12" fillId="0" borderId="18" xfId="1" applyNumberFormat="1" applyFont="1" applyFill="1" applyBorder="1"/>
    <xf numFmtId="0" fontId="12" fillId="0" borderId="9" xfId="0" applyFont="1" applyBorder="1" applyAlignment="1">
      <alignment vertical="center"/>
    </xf>
    <xf numFmtId="0" fontId="12" fillId="6" borderId="40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9" xfId="0" applyFont="1" applyBorder="1"/>
    <xf numFmtId="1" fontId="12" fillId="6" borderId="21" xfId="0" applyNumberFormat="1" applyFont="1" applyFill="1" applyBorder="1"/>
    <xf numFmtId="10" fontId="12" fillId="5" borderId="15" xfId="1" applyNumberFormat="1" applyFont="1" applyFill="1" applyBorder="1"/>
    <xf numFmtId="0" fontId="12" fillId="0" borderId="10" xfId="0" applyFont="1" applyBorder="1"/>
    <xf numFmtId="9" fontId="12" fillId="6" borderId="41" xfId="1" applyFont="1" applyFill="1" applyBorder="1"/>
    <xf numFmtId="0" fontId="12" fillId="0" borderId="1" xfId="0" applyFont="1" applyBorder="1"/>
    <xf numFmtId="0" fontId="14" fillId="0" borderId="13" xfId="0" applyFont="1" applyBorder="1"/>
    <xf numFmtId="0" fontId="14" fillId="5" borderId="15" xfId="0" applyFont="1" applyFill="1" applyBorder="1"/>
    <xf numFmtId="170" fontId="13" fillId="0" borderId="1" xfId="2" applyNumberFormat="1" applyFont="1" applyBorder="1"/>
    <xf numFmtId="0" fontId="12" fillId="0" borderId="1" xfId="0" applyFont="1" applyBorder="1" applyAlignment="1">
      <alignment vertical="center"/>
    </xf>
    <xf numFmtId="170" fontId="13" fillId="0" borderId="1" xfId="2" applyNumberFormat="1" applyFont="1" applyBorder="1" applyAlignment="1">
      <alignment vertical="center"/>
    </xf>
    <xf numFmtId="170" fontId="12" fillId="0" borderId="0" xfId="2" applyNumberFormat="1" applyFont="1"/>
    <xf numFmtId="0" fontId="15" fillId="7" borderId="42" xfId="0" applyFont="1" applyFill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/>
    </xf>
    <xf numFmtId="2" fontId="12" fillId="0" borderId="0" xfId="0" applyNumberFormat="1" applyFont="1"/>
    <xf numFmtId="3" fontId="12" fillId="0" borderId="1" xfId="0" applyNumberFormat="1" applyFont="1" applyBorder="1" applyAlignment="1">
      <alignment horizontal="center"/>
    </xf>
    <xf numFmtId="3" fontId="12" fillId="0" borderId="0" xfId="0" applyNumberFormat="1" applyFont="1"/>
    <xf numFmtId="170" fontId="12" fillId="0" borderId="1" xfId="0" applyNumberFormat="1" applyFont="1" applyBorder="1" applyAlignment="1">
      <alignment horizontal="center"/>
    </xf>
    <xf numFmtId="170" fontId="12" fillId="0" borderId="0" xfId="0" applyNumberFormat="1" applyFont="1"/>
    <xf numFmtId="170" fontId="12" fillId="0" borderId="1" xfId="0" applyNumberFormat="1" applyFont="1" applyBorder="1" applyAlignment="1">
      <alignment horizontal="center" vertical="center"/>
    </xf>
    <xf numFmtId="10" fontId="12" fillId="0" borderId="15" xfId="0" applyNumberFormat="1" applyFont="1" applyBorder="1"/>
    <xf numFmtId="9" fontId="12" fillId="6" borderId="18" xfId="1" applyFont="1" applyFill="1" applyBorder="1"/>
    <xf numFmtId="170" fontId="12" fillId="0" borderId="1" xfId="0" applyNumberFormat="1" applyFont="1" applyBorder="1"/>
    <xf numFmtId="0" fontId="12" fillId="0" borderId="22" xfId="0" applyFont="1" applyBorder="1"/>
    <xf numFmtId="1" fontId="12" fillId="6" borderId="23" xfId="1" applyNumberFormat="1" applyFont="1" applyFill="1" applyBorder="1"/>
    <xf numFmtId="166" fontId="12" fillId="6" borderId="21" xfId="1" applyNumberFormat="1" applyFont="1" applyFill="1" applyBorder="1"/>
    <xf numFmtId="8" fontId="12" fillId="0" borderId="1" xfId="0" applyNumberFormat="1" applyFont="1" applyBorder="1"/>
    <xf numFmtId="8" fontId="12" fillId="0" borderId="0" xfId="0" applyNumberFormat="1" applyFont="1"/>
    <xf numFmtId="0" fontId="16" fillId="0" borderId="0" xfId="0" applyFont="1" applyAlignment="1">
      <alignment horizontal="left" vertical="center" wrapText="1" readingOrder="1"/>
    </xf>
    <xf numFmtId="0" fontId="17" fillId="0" borderId="0" xfId="0" applyFont="1" applyAlignment="1">
      <alignment horizontal="center" vertical="center" wrapText="1"/>
    </xf>
    <xf numFmtId="0" fontId="15" fillId="8" borderId="43" xfId="0" applyFont="1" applyFill="1" applyBorder="1" applyAlignment="1">
      <alignment horizontal="left" vertical="center" wrapText="1" indent="1" readingOrder="1"/>
    </xf>
    <xf numFmtId="0" fontId="16" fillId="0" borderId="14" xfId="0" applyFont="1" applyBorder="1" applyAlignment="1">
      <alignment horizontal="center" vertical="center" wrapText="1" readingOrder="1"/>
    </xf>
    <xf numFmtId="166" fontId="18" fillId="0" borderId="44" xfId="0" applyNumberFormat="1" applyFont="1" applyBorder="1" applyAlignment="1">
      <alignment horizontal="center" vertical="center" wrapText="1" readingOrder="1"/>
    </xf>
    <xf numFmtId="0" fontId="12" fillId="0" borderId="0" xfId="0" quotePrefix="1" applyFont="1"/>
    <xf numFmtId="0" fontId="19" fillId="0" borderId="0" xfId="0" applyFont="1"/>
    <xf numFmtId="10" fontId="0" fillId="0" borderId="0" xfId="0" applyNumberFormat="1"/>
    <xf numFmtId="9" fontId="0" fillId="9" borderId="0" xfId="1" applyFont="1" applyFill="1"/>
    <xf numFmtId="0" fontId="0" fillId="9" borderId="0" xfId="0" applyFill="1"/>
    <xf numFmtId="10" fontId="0" fillId="9" borderId="0" xfId="1" applyNumberFormat="1" applyFont="1" applyFill="1"/>
    <xf numFmtId="166" fontId="0" fillId="9" borderId="0" xfId="1" applyNumberFormat="1" applyFont="1" applyFill="1"/>
    <xf numFmtId="166" fontId="0" fillId="5" borderId="15" xfId="1" applyNumberFormat="1" applyFont="1" applyFill="1" applyBorder="1"/>
    <xf numFmtId="0" fontId="2" fillId="2" borderId="46" xfId="0" applyFont="1" applyFill="1" applyBorder="1" applyAlignment="1">
      <alignment horizontal="center" vertical="center" wrapText="1"/>
    </xf>
    <xf numFmtId="164" fontId="4" fillId="0" borderId="32" xfId="0" applyNumberFormat="1" applyFont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164" fontId="4" fillId="0" borderId="53" xfId="0" applyNumberFormat="1" applyFont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16" fontId="2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/>
    <xf numFmtId="166" fontId="0" fillId="0" borderId="1" xfId="1" applyNumberFormat="1" applyFont="1" applyBorder="1"/>
    <xf numFmtId="9" fontId="0" fillId="0" borderId="1" xfId="1" applyFont="1" applyBorder="1"/>
    <xf numFmtId="165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 applyAlignment="1">
      <alignment horizontal="center" vertical="center" wrapText="1"/>
    </xf>
    <xf numFmtId="165" fontId="4" fillId="0" borderId="47" xfId="1" applyNumberFormat="1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/>
    </xf>
    <xf numFmtId="166" fontId="12" fillId="6" borderId="15" xfId="1" applyNumberFormat="1" applyFont="1" applyFill="1" applyBorder="1" applyAlignment="1">
      <alignment horizontal="right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</cellXfs>
  <cellStyles count="4">
    <cellStyle name="Hipervínculo" xfId="3" builtinId="8"/>
    <cellStyle name="Moneda" xfId="2" builtinId="4"/>
    <cellStyle name="Normal" xfId="0" builtinId="0"/>
    <cellStyle name="Porcentaje" xfId="1" builtinId="5"/>
  </cellStyles>
  <dxfs count="6">
    <dxf>
      <font>
        <color theme="0"/>
      </font>
      <fill>
        <patternFill>
          <bgColor rgb="FF002060"/>
        </patternFill>
      </fill>
    </dxf>
    <dxf>
      <fill>
        <patternFill>
          <bgColor theme="6" tint="-0.2499465926084170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2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Flujo de caja agregado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'Caso planta PV agro'!$H$31:$AB$31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'Caso planta PV agro'!$H$47:$AB$47</c:f>
              <c:numCache>
                <c:formatCode>#,##0</c:formatCode>
                <c:ptCount val="21"/>
                <c:pt idx="0">
                  <c:v>-245100</c:v>
                </c:pt>
                <c:pt idx="1">
                  <c:v>-222663.19179862275</c:v>
                </c:pt>
                <c:pt idx="2">
                  <c:v>-199735.33772035135</c:v>
                </c:pt>
                <c:pt idx="3">
                  <c:v>-176397.16634081205</c:v>
                </c:pt>
                <c:pt idx="4">
                  <c:v>-152733.32900505199</c:v>
                </c:pt>
                <c:pt idx="5">
                  <c:v>-128833.27496902773</c:v>
                </c:pt>
                <c:pt idx="6">
                  <c:v>-104790.23273538717</c:v>
                </c:pt>
                <c:pt idx="7">
                  <c:v>-80700.30863739668</c:v>
                </c:pt>
                <c:pt idx="8">
                  <c:v>-57100.395387274119</c:v>
                </c:pt>
                <c:pt idx="9">
                  <c:v>-34075.847090481868</c:v>
                </c:pt>
                <c:pt idx="10">
                  <c:v>-11705.99762192152</c:v>
                </c:pt>
                <c:pt idx="11">
                  <c:v>9936.691778602999</c:v>
                </c:pt>
                <c:pt idx="12">
                  <c:v>30787.354785319207</c:v>
                </c:pt>
                <c:pt idx="13">
                  <c:v>50789.29978319646</c:v>
                </c:pt>
                <c:pt idx="14">
                  <c:v>69894.438588010686</c:v>
                </c:pt>
                <c:pt idx="15">
                  <c:v>88063.559432260925</c:v>
                </c:pt>
                <c:pt idx="16">
                  <c:v>105266.44353791917</c:v>
                </c:pt>
                <c:pt idx="17">
                  <c:v>121481.82848493359</c:v>
                </c:pt>
                <c:pt idx="18">
                  <c:v>136697.22525615714</c:v>
                </c:pt>
                <c:pt idx="19">
                  <c:v>150908.59918079359</c:v>
                </c:pt>
                <c:pt idx="20">
                  <c:v>164438.70415476561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00-4C4C-BA44-7DB20745B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8965224"/>
        <c:axId val="558964832"/>
      </c:barChart>
      <c:catAx>
        <c:axId val="558965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8964832"/>
        <c:crosses val="autoZero"/>
        <c:auto val="1"/>
        <c:lblAlgn val="ctr"/>
        <c:lblOffset val="100"/>
        <c:noMultiLvlLbl val="0"/>
      </c:catAx>
      <c:valAx>
        <c:axId val="55896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896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FCF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'Caso planta PV agro'!$H$31:$AB$31</c:f>
              <c:numCache>
                <c:formatCode>General</c:formatCode>
                <c:ptCount val="2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</c:numCache>
            </c:numRef>
          </c:cat>
          <c:val>
            <c:numRef>
              <c:f>'Caso planta PV agro'!$H$46:$AB$46</c:f>
              <c:numCache>
                <c:formatCode>#,##0</c:formatCode>
                <c:ptCount val="21"/>
                <c:pt idx="0">
                  <c:v>-245100</c:v>
                </c:pt>
                <c:pt idx="1">
                  <c:v>22436.808201377244</c:v>
                </c:pt>
                <c:pt idx="2">
                  <c:v>22927.854078271401</c:v>
                </c:pt>
                <c:pt idx="3">
                  <c:v>23338.171379539293</c:v>
                </c:pt>
                <c:pt idx="4">
                  <c:v>23663.837335760079</c:v>
                </c:pt>
                <c:pt idx="5">
                  <c:v>23900.054036024259</c:v>
                </c:pt>
                <c:pt idx="6">
                  <c:v>24043.042233640561</c:v>
                </c:pt>
                <c:pt idx="7">
                  <c:v>24089.924097990486</c:v>
                </c:pt>
                <c:pt idx="8">
                  <c:v>23599.913250122561</c:v>
                </c:pt>
                <c:pt idx="9">
                  <c:v>23024.548296792254</c:v>
                </c:pt>
                <c:pt idx="10">
                  <c:v>22369.849468560347</c:v>
                </c:pt>
                <c:pt idx="11">
                  <c:v>21642.689400524519</c:v>
                </c:pt>
                <c:pt idx="12">
                  <c:v>20850.663006716208</c:v>
                </c:pt>
                <c:pt idx="13">
                  <c:v>20001.944997877254</c:v>
                </c:pt>
                <c:pt idx="14">
                  <c:v>19105.138804814229</c:v>
                </c:pt>
                <c:pt idx="15">
                  <c:v>18169.120844250232</c:v>
                </c:pt>
                <c:pt idx="16">
                  <c:v>17202.884105658239</c:v>
                </c:pt>
                <c:pt idx="17">
                  <c:v>16215.384947014416</c:v>
                </c:pt>
                <c:pt idx="18">
                  <c:v>15215.39677122355</c:v>
                </c:pt>
                <c:pt idx="19">
                  <c:v>14211.373924636448</c:v>
                </c:pt>
                <c:pt idx="20">
                  <c:v>13530.104973972017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D-4E21-A48A-FAB9A7E50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9699272"/>
        <c:axId val="529698880"/>
      </c:barChart>
      <c:catAx>
        <c:axId val="52969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698880"/>
        <c:crosses val="autoZero"/>
        <c:auto val="1"/>
        <c:lblAlgn val="ctr"/>
        <c:lblOffset val="100"/>
        <c:noMultiLvlLbl val="0"/>
      </c:catAx>
      <c:valAx>
        <c:axId val="5296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969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1C5-4726-874F-89C7B6AC4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1C5-4726-874F-89C7B6AC4F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1C5-4726-874F-89C7B6AC4F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1C5-4726-874F-89C7B6AC4F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1C5-4726-874F-89C7B6AC4FB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1C5-4726-874F-89C7B6AC4FB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1C5-4726-874F-89C7B6AC4FB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1C5-4726-874F-89C7B6AC4FB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1C5-4726-874F-89C7B6AC4FB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1C5-4726-874F-89C7B6AC4FB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1C5-4726-874F-89C7B6AC4FBF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1C5-4726-874F-89C7B6AC4FB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1C5-4726-874F-89C7B6AC4FB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1C5-4726-874F-89C7B6AC4FB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1C5-4726-874F-89C7B6AC4FB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1C5-4726-874F-89C7B6AC4FB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31C5-4726-874F-89C7B6AC4FBF}"/>
                </c:ext>
              </c:extLst>
            </c:dLbl>
            <c:dLbl>
              <c:idx val="6"/>
              <c:layout>
                <c:manualLayout>
                  <c:x val="-8.9147286821705432E-2"/>
                  <c:y val="2.6533996683250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34883720930233"/>
                      <c:h val="9.09121061359867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1C5-4726-874F-89C7B6AC4FBF}"/>
                </c:ext>
              </c:extLst>
            </c:dLbl>
            <c:dLbl>
              <c:idx val="7"/>
              <c:layout>
                <c:manualLayout>
                  <c:x val="-0.20736434108527133"/>
                  <c:y val="-5.9701492537313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1C5-4726-874F-89C7B6AC4FBF}"/>
                </c:ext>
              </c:extLst>
            </c:dLbl>
            <c:dLbl>
              <c:idx val="8"/>
              <c:layout>
                <c:manualLayout>
                  <c:x val="-3.4883720930232558E-2"/>
                  <c:y val="-9.5009958268805911E-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C5-4726-874F-89C7B6AC4FBF}"/>
                </c:ext>
              </c:extLst>
            </c:dLbl>
            <c:dLbl>
              <c:idx val="9"/>
              <c:layout>
                <c:manualLayout>
                  <c:x val="0.11046511627906977"/>
                  <c:y val="3.31674958540630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1C5-4726-874F-89C7B6AC4FBF}"/>
                </c:ext>
              </c:extLst>
            </c:dLbl>
            <c:dLbl>
              <c:idx val="10"/>
              <c:layout>
                <c:manualLayout>
                  <c:x val="0.16085271317829455"/>
                  <c:y val="3.92721432209033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41472868217052"/>
                      <c:h val="0.107495854063018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1C5-4726-874F-89C7B6AC4FB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'Referencias CAPEX_OPEX'!$B$7:$B$17</c:f>
              <c:strCache>
                <c:ptCount val="11"/>
                <c:pt idx="0">
                  <c:v>Módulos</c:v>
                </c:pt>
                <c:pt idx="1">
                  <c:v>Seguidor</c:v>
                </c:pt>
                <c:pt idx="2">
                  <c:v>Inversores</c:v>
                </c:pt>
                <c:pt idx="3">
                  <c:v>Otros equipos (cables BT, MT, cajas de conexión, etc.)</c:v>
                </c:pt>
                <c:pt idx="4">
                  <c:v>Auxiliares planta</c:v>
                </c:pt>
                <c:pt idx="5">
                  <c:v>SET + LAT</c:v>
                </c:pt>
                <c:pt idx="6">
                  <c:v>Conexión</c:v>
                </c:pt>
                <c:pt idx="7">
                  <c:v>Otros CAPEX</c:v>
                </c:pt>
                <c:pt idx="8">
                  <c:v>Tasas</c:v>
                </c:pt>
                <c:pt idx="9">
                  <c:v>Ingeniería y Dirección de Obra</c:v>
                </c:pt>
                <c:pt idx="10">
                  <c:v>DEVEX</c:v>
                </c:pt>
              </c:strCache>
            </c:strRef>
          </c:cat>
          <c:val>
            <c:numRef>
              <c:f>'Referencias CAPEX_OPEX'!$C$7:$C$17</c:f>
              <c:numCache>
                <c:formatCode>0.0%</c:formatCode>
                <c:ptCount val="11"/>
                <c:pt idx="0">
                  <c:v>0.28000000000000003</c:v>
                </c:pt>
                <c:pt idx="1">
                  <c:v>0.16300000000000001</c:v>
                </c:pt>
                <c:pt idx="2">
                  <c:v>7.6999999999999999E-2</c:v>
                </c:pt>
                <c:pt idx="3">
                  <c:v>0.109</c:v>
                </c:pt>
                <c:pt idx="4">
                  <c:v>0.13600000000000001</c:v>
                </c:pt>
                <c:pt idx="5">
                  <c:v>0.115</c:v>
                </c:pt>
                <c:pt idx="6">
                  <c:v>5.3999999999999999E-2</c:v>
                </c:pt>
                <c:pt idx="7">
                  <c:v>8.0000000000000002E-3</c:v>
                </c:pt>
                <c:pt idx="8">
                  <c:v>3.2000000000000001E-2</c:v>
                </c:pt>
                <c:pt idx="9">
                  <c:v>1.6E-2</c:v>
                </c:pt>
                <c:pt idx="10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5-4726-874F-89C7B6AC4FB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46A-4D16-9C28-9BA375D4DA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46A-4D16-9C28-9BA375D4DA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46A-4D16-9C28-9BA375D4DA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46A-4D16-9C28-9BA375D4DA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46A-4D16-9C28-9BA375D4DA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46A-4D16-9C28-9BA375D4DA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46A-4D16-9C28-9BA375D4DA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46A-4D16-9C28-9BA375D4DA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46A-4D16-9C28-9BA375D4DA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46A-4D16-9C28-9BA375D4DA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46A-4D16-9C28-9BA375D4DA6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46A-4D16-9C28-9BA375D4DA63}"/>
                </c:ext>
              </c:extLst>
            </c:dLbl>
            <c:dLbl>
              <c:idx val="1"/>
              <c:layout>
                <c:manualLayout>
                  <c:x val="0.11046511627906977"/>
                  <c:y val="-9.95024875621891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6A-4D16-9C28-9BA375D4DA6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46A-4D16-9C28-9BA375D4DA6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46A-4D16-9C28-9BA375D4DA6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46A-4D16-9C28-9BA375D4DA6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46A-4D16-9C28-9BA375D4DA63}"/>
                </c:ext>
              </c:extLst>
            </c:dLbl>
            <c:dLbl>
              <c:idx val="6"/>
              <c:layout>
                <c:manualLayout>
                  <c:x val="-8.9147286821705432E-2"/>
                  <c:y val="2.65339966832503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34883720930233"/>
                      <c:h val="9.09121061359867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346A-4D16-9C28-9BA375D4DA63}"/>
                </c:ext>
              </c:extLst>
            </c:dLbl>
            <c:dLbl>
              <c:idx val="7"/>
              <c:layout>
                <c:manualLayout>
                  <c:x val="-0.20736434108527133"/>
                  <c:y val="-5.97014925373134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46A-4D16-9C28-9BA375D4DA63}"/>
                </c:ext>
              </c:extLst>
            </c:dLbl>
            <c:dLbl>
              <c:idx val="8"/>
              <c:layout>
                <c:manualLayout>
                  <c:x val="-3.4883720930232558E-2"/>
                  <c:y val="-9.5009958268805911E-1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46A-4D16-9C28-9BA375D4DA63}"/>
                </c:ext>
              </c:extLst>
            </c:dLbl>
            <c:dLbl>
              <c:idx val="9"/>
              <c:layout>
                <c:manualLayout>
                  <c:x val="0.11046511627906977"/>
                  <c:y val="3.31674958540630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346A-4D16-9C28-9BA375D4DA63}"/>
                </c:ext>
              </c:extLst>
            </c:dLbl>
            <c:dLbl>
              <c:idx val="10"/>
              <c:layout>
                <c:manualLayout>
                  <c:x val="0.16085271317829455"/>
                  <c:y val="3.927214322090336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141472868217052"/>
                      <c:h val="0.1074958540630182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346A-4D16-9C28-9BA375D4DA6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'Referencias CAPEX_OPEX'!$B$29:$B$35</c:f>
              <c:strCache>
                <c:ptCount val="7"/>
                <c:pt idx="0">
                  <c:v>O&amp;M Planta</c:v>
                </c:pt>
                <c:pt idx="1">
                  <c:v>O&amp;M Evacuación</c:v>
                </c:pt>
                <c:pt idx="2">
                  <c:v>SCADA, Sistemas y comunicaciones</c:v>
                </c:pt>
                <c:pt idx="3">
                  <c:v>Terrenos</c:v>
                </c:pt>
                <c:pt idx="4">
                  <c:v>Personal y gestión del parque</c:v>
                </c:pt>
                <c:pt idx="5">
                  <c:v>Otros (seguros, servicios, suministros)</c:v>
                </c:pt>
                <c:pt idx="6">
                  <c:v>Impuestos locales</c:v>
                </c:pt>
              </c:strCache>
            </c:strRef>
          </c:cat>
          <c:val>
            <c:numRef>
              <c:f>'Referencias CAPEX_OPEX'!$C$29:$C$35</c:f>
              <c:numCache>
                <c:formatCode>0.0%</c:formatCode>
                <c:ptCount val="7"/>
                <c:pt idx="0">
                  <c:v>0.4</c:v>
                </c:pt>
                <c:pt idx="1">
                  <c:v>3.2000000000000001E-2</c:v>
                </c:pt>
                <c:pt idx="2">
                  <c:v>8.9999999999999993E-3</c:v>
                </c:pt>
                <c:pt idx="3">
                  <c:v>0.152</c:v>
                </c:pt>
                <c:pt idx="4">
                  <c:v>7.5999999999999998E-2</c:v>
                </c:pt>
                <c:pt idx="5">
                  <c:v>6.6000000000000003E-2</c:v>
                </c:pt>
                <c:pt idx="6">
                  <c:v>0.26500000000000001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6A-4D16-9C28-9BA375D4DA6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59</xdr:row>
      <xdr:rowOff>28575</xdr:rowOff>
    </xdr:from>
    <xdr:to>
      <xdr:col>7</xdr:col>
      <xdr:colOff>85725</xdr:colOff>
      <xdr:row>68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3344525"/>
          <a:ext cx="399097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9525</xdr:colOff>
      <xdr:row>48</xdr:row>
      <xdr:rowOff>0</xdr:rowOff>
    </xdr:from>
    <xdr:to>
      <xdr:col>33</xdr:col>
      <xdr:colOff>137584</xdr:colOff>
      <xdr:row>63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730249</xdr:colOff>
      <xdr:row>66</xdr:row>
      <xdr:rowOff>0</xdr:rowOff>
    </xdr:from>
    <xdr:to>
      <xdr:col>33</xdr:col>
      <xdr:colOff>179916</xdr:colOff>
      <xdr:row>81</xdr:row>
      <xdr:rowOff>142875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6</xdr:row>
      <xdr:rowOff>180975</xdr:rowOff>
    </xdr:from>
    <xdr:to>
      <xdr:col>3</xdr:col>
      <xdr:colOff>504825</xdr:colOff>
      <xdr:row>8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650" y="942975"/>
          <a:ext cx="178117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276225</xdr:colOff>
      <xdr:row>3</xdr:row>
      <xdr:rowOff>133350</xdr:rowOff>
    </xdr:from>
    <xdr:to>
      <xdr:col>3</xdr:col>
      <xdr:colOff>152400</xdr:colOff>
      <xdr:row>5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44225" y="323850"/>
          <a:ext cx="6381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533400</xdr:colOff>
      <xdr:row>11</xdr:row>
      <xdr:rowOff>28575</xdr:rowOff>
    </xdr:from>
    <xdr:to>
      <xdr:col>3</xdr:col>
      <xdr:colOff>180975</xdr:colOff>
      <xdr:row>12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0" y="1743075"/>
          <a:ext cx="1171575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542925</xdr:colOff>
      <xdr:row>14</xdr:row>
      <xdr:rowOff>180975</xdr:rowOff>
    </xdr:from>
    <xdr:to>
      <xdr:col>3</xdr:col>
      <xdr:colOff>200025</xdr:colOff>
      <xdr:row>16</xdr:row>
      <xdr:rowOff>19050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2466975"/>
          <a:ext cx="11811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276225</xdr:colOff>
      <xdr:row>18</xdr:row>
      <xdr:rowOff>28575</xdr:rowOff>
    </xdr:from>
    <xdr:to>
      <xdr:col>3</xdr:col>
      <xdr:colOff>542925</xdr:colOff>
      <xdr:row>19</xdr:row>
      <xdr:rowOff>28575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2225" y="3076575"/>
          <a:ext cx="17907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3</xdr:row>
      <xdr:rowOff>95250</xdr:rowOff>
    </xdr:from>
    <xdr:to>
      <xdr:col>13</xdr:col>
      <xdr:colOff>676275</xdr:colOff>
      <xdr:row>23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0D8D58-2D69-4C50-8E01-C805DBC9A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190500</xdr:colOff>
      <xdr:row>26</xdr:row>
      <xdr:rowOff>47625</xdr:rowOff>
    </xdr:from>
    <xdr:to>
      <xdr:col>13</xdr:col>
      <xdr:colOff>647700</xdr:colOff>
      <xdr:row>46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70937E-621D-4091-A45B-EDFA631E2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24</xdr:row>
      <xdr:rowOff>95250</xdr:rowOff>
    </xdr:from>
    <xdr:to>
      <xdr:col>12</xdr:col>
      <xdr:colOff>38100</xdr:colOff>
      <xdr:row>56</xdr:row>
      <xdr:rowOff>104775</xdr:rowOff>
    </xdr:to>
    <xdr:pic>
      <xdr:nvPicPr>
        <xdr:cNvPr id="2" name="Imagen 1" descr="Horario discriminación horaria 6 periodos en tarifas 2.0TD para la Penínsul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4286250"/>
          <a:ext cx="7143750" cy="6105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228600</xdr:colOff>
      <xdr:row>24</xdr:row>
      <xdr:rowOff>133350</xdr:rowOff>
    </xdr:from>
    <xdr:to>
      <xdr:col>34</xdr:col>
      <xdr:colOff>685800</xdr:colOff>
      <xdr:row>53</xdr:row>
      <xdr:rowOff>28575</xdr:rowOff>
    </xdr:to>
    <xdr:pic>
      <xdr:nvPicPr>
        <xdr:cNvPr id="3" name="Imagen 2" descr="Temporadas eléctricas tarifas 2.0TD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4705350"/>
          <a:ext cx="7143750" cy="541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49</xdr:col>
      <xdr:colOff>0</xdr:colOff>
      <xdr:row>24</xdr:row>
      <xdr:rowOff>38100</xdr:rowOff>
    </xdr:from>
    <xdr:to>
      <xdr:col>63</xdr:col>
      <xdr:colOff>457200</xdr:colOff>
      <xdr:row>54</xdr:row>
      <xdr:rowOff>57150</xdr:rowOff>
    </xdr:to>
    <xdr:pic>
      <xdr:nvPicPr>
        <xdr:cNvPr id="4" name="Imagen 3" descr="Temporadas eléctricas Ceuta y Melilla tarifas 2.0TD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4050" y="4610100"/>
          <a:ext cx="7143750" cy="573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neDrive%20-%20GAS%20Natural%20Inform&#225;tica,%20S.A\NTY%20Renovables\Autoconsumo\Modelos%20financieros\210123_Modelo%20financiero%20planta%20FV%20mercado%20vs%20autoconsum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WMESH/Datos/grupos/CARTERA2020/05.%20VALORACIONES/19.-%20PPAs/PPA%20Michelin/20200813%20Modelo%20PPA%20Michelin_20%20a&#241;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Bases"/>
      <sheetName val="Modelo planta FV a mercado"/>
      <sheetName val="Modelo planta FV autoconsumo"/>
      <sheetName val="Visión cliente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adro_de_Mand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de.es/webbde/es/estadis/infoest/si_1_2.pdf" TargetMode="External"/><Relationship Id="rId2" Type="http://schemas.openxmlformats.org/officeDocument/2006/relationships/hyperlink" Target="http://pages.stern.nyu.edu/~adamodar/New_Home_Page/datafile/Betas.html" TargetMode="External"/><Relationship Id="rId1" Type="http://schemas.openxmlformats.org/officeDocument/2006/relationships/hyperlink" Target="http://pages.stern.nyu.edu/~adamodar/New_Home_Page/datafile/Betas.html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7030A0"/>
  </sheetPr>
  <dimension ref="B1:AB99"/>
  <sheetViews>
    <sheetView showGridLines="0" tabSelected="1" zoomScale="90" zoomScaleNormal="90" workbookViewId="0"/>
  </sheetViews>
  <sheetFormatPr baseColWidth="10" defaultColWidth="11.42578125" defaultRowHeight="15"/>
  <cols>
    <col min="1" max="1" width="3.7109375" style="1" customWidth="1"/>
    <col min="2" max="2" width="11.42578125" style="1"/>
    <col min="3" max="3" width="24.42578125" style="1" bestFit="1" customWidth="1"/>
    <col min="4" max="4" width="18.42578125" style="1" customWidth="1"/>
    <col min="5" max="5" width="9.140625" style="1" customWidth="1"/>
    <col min="6" max="6" width="35.28515625" style="1" customWidth="1"/>
    <col min="7" max="7" width="24.7109375" style="1" customWidth="1"/>
    <col min="8" max="8" width="16.28515625" style="1" customWidth="1"/>
    <col min="9" max="9" width="15.28515625" style="1" customWidth="1"/>
    <col min="10" max="10" width="11.5703125" style="1" customWidth="1"/>
    <col min="11" max="11" width="12.7109375" style="1" customWidth="1"/>
    <col min="12" max="12" width="11.28515625" style="1" customWidth="1"/>
    <col min="13" max="28" width="11" style="1" bestFit="1" customWidth="1"/>
    <col min="29" max="16384" width="11.42578125" style="1"/>
  </cols>
  <sheetData>
    <row r="1" spans="2:8" ht="15.75" thickBot="1"/>
    <row r="2" spans="2:8" ht="15.75" thickBot="1">
      <c r="F2" s="56" t="s">
        <v>86</v>
      </c>
    </row>
    <row r="3" spans="2:8" ht="29.25" customHeight="1" thickBot="1">
      <c r="B3" s="136" t="s">
        <v>8</v>
      </c>
      <c r="C3" s="137"/>
      <c r="D3" s="137"/>
      <c r="E3" s="57" t="s">
        <v>2</v>
      </c>
      <c r="F3" s="58">
        <v>239</v>
      </c>
      <c r="G3" s="53" t="s">
        <v>217</v>
      </c>
    </row>
    <row r="4" spans="2:8">
      <c r="F4" s="156" t="s">
        <v>87</v>
      </c>
    </row>
    <row r="5" spans="2:8" ht="15.75" thickBot="1">
      <c r="F5" s="157"/>
    </row>
    <row r="6" spans="2:8">
      <c r="B6" s="138" t="s">
        <v>12</v>
      </c>
      <c r="C6" s="139"/>
      <c r="D6" s="139"/>
      <c r="E6" s="42" t="s">
        <v>14</v>
      </c>
      <c r="F6" s="44">
        <v>345.13546776000004</v>
      </c>
      <c r="G6" s="51" t="s">
        <v>218</v>
      </c>
    </row>
    <row r="7" spans="2:8">
      <c r="B7" s="140" t="s">
        <v>13</v>
      </c>
      <c r="C7" s="141"/>
      <c r="D7" s="141"/>
      <c r="E7" s="35" t="s">
        <v>14</v>
      </c>
      <c r="F7" s="45">
        <v>339.60861641528533</v>
      </c>
      <c r="G7" s="51" t="s">
        <v>68</v>
      </c>
    </row>
    <row r="8" spans="2:8" ht="15.75" thickBot="1">
      <c r="B8" s="166" t="s">
        <v>220</v>
      </c>
      <c r="C8" s="167"/>
      <c r="D8" s="167"/>
      <c r="E8" s="121" t="s">
        <v>138</v>
      </c>
      <c r="F8" s="133">
        <v>0.4</v>
      </c>
      <c r="G8" s="51"/>
    </row>
    <row r="9" spans="2:8" ht="15" customHeight="1">
      <c r="B9" s="145" t="s">
        <v>5</v>
      </c>
      <c r="C9" s="146"/>
      <c r="D9" s="147"/>
      <c r="E9" s="42" t="s">
        <v>4</v>
      </c>
      <c r="F9" s="44">
        <v>25920.856678066328</v>
      </c>
      <c r="G9" s="51" t="s">
        <v>69</v>
      </c>
    </row>
    <row r="10" spans="2:8" ht="15" customHeight="1">
      <c r="B10" s="161" t="s">
        <v>6</v>
      </c>
      <c r="C10" s="162"/>
      <c r="D10" s="163"/>
      <c r="E10" s="35" t="s">
        <v>4</v>
      </c>
      <c r="F10" s="45">
        <v>1325.2546854919713</v>
      </c>
      <c r="G10" s="51" t="s">
        <v>70</v>
      </c>
      <c r="H10" s="2"/>
    </row>
    <row r="11" spans="2:8" ht="15.75" customHeight="1">
      <c r="B11" s="161" t="s">
        <v>11</v>
      </c>
      <c r="C11" s="162"/>
      <c r="D11" s="163"/>
      <c r="E11" s="35" t="s">
        <v>4</v>
      </c>
      <c r="F11" s="45">
        <v>241.90734486027287</v>
      </c>
      <c r="G11" s="52" t="s">
        <v>71</v>
      </c>
    </row>
    <row r="12" spans="2:8" ht="15" customHeight="1">
      <c r="B12" s="142" t="s">
        <v>9</v>
      </c>
      <c r="C12" s="143"/>
      <c r="D12" s="144"/>
      <c r="E12" s="123" t="s">
        <v>4</v>
      </c>
      <c r="F12" s="124">
        <f>(F6-F7)*0.28</f>
        <v>1.5475183765201201</v>
      </c>
      <c r="G12" s="51" t="s">
        <v>137</v>
      </c>
    </row>
    <row r="13" spans="2:8">
      <c r="B13" s="142" t="s">
        <v>187</v>
      </c>
      <c r="C13" s="143"/>
      <c r="D13" s="144"/>
      <c r="E13" s="123" t="s">
        <v>4</v>
      </c>
      <c r="F13" s="122">
        <f>F11*0.07</f>
        <v>16.933514140219103</v>
      </c>
      <c r="G13" s="51" t="s">
        <v>188</v>
      </c>
    </row>
    <row r="14" spans="2:8" ht="15.75" thickBot="1">
      <c r="B14" s="164" t="s">
        <v>7</v>
      </c>
      <c r="C14" s="165"/>
      <c r="D14" s="165"/>
      <c r="E14" s="43" t="s">
        <v>4</v>
      </c>
      <c r="F14" s="46">
        <f>SUM(F9:F11)-SUM(F12:F13)</f>
        <v>27469.537675901833</v>
      </c>
      <c r="G14" s="51" t="s">
        <v>72</v>
      </c>
    </row>
    <row r="15" spans="2:8">
      <c r="B15" s="138" t="s">
        <v>89</v>
      </c>
      <c r="C15" s="139"/>
      <c r="D15" s="139"/>
      <c r="E15" s="42" t="s">
        <v>4</v>
      </c>
      <c r="F15" s="47">
        <f>F3*10</f>
        <v>2390</v>
      </c>
      <c r="G15" s="51" t="s">
        <v>82</v>
      </c>
    </row>
    <row r="16" spans="2:8" ht="15.75" thickBot="1">
      <c r="B16" s="164" t="s">
        <v>10</v>
      </c>
      <c r="C16" s="165"/>
      <c r="D16" s="165"/>
      <c r="E16" s="43" t="s">
        <v>4</v>
      </c>
      <c r="F16" s="48">
        <f>F14-F15</f>
        <v>25079.537675901833</v>
      </c>
      <c r="G16" s="51" t="s">
        <v>83</v>
      </c>
    </row>
    <row r="17" spans="2:28" ht="15.75" thickBot="1"/>
    <row r="18" spans="2:28" ht="15.75" thickBot="1">
      <c r="B18" s="158" t="s">
        <v>88</v>
      </c>
      <c r="C18" s="159"/>
      <c r="D18" s="159"/>
      <c r="E18" s="159"/>
      <c r="F18" s="160"/>
    </row>
    <row r="19" spans="2:28">
      <c r="B19" s="138" t="s">
        <v>15</v>
      </c>
      <c r="C19" s="139"/>
      <c r="D19" s="139"/>
      <c r="E19" s="42" t="s">
        <v>3</v>
      </c>
      <c r="F19" s="44">
        <v>30000</v>
      </c>
      <c r="G19" s="51" t="s">
        <v>73</v>
      </c>
    </row>
    <row r="20" spans="2:28" ht="33" customHeight="1">
      <c r="B20" s="140" t="s">
        <v>17</v>
      </c>
      <c r="C20" s="141"/>
      <c r="D20" s="141"/>
      <c r="E20" s="35" t="s">
        <v>3</v>
      </c>
      <c r="F20" s="45">
        <f>F3*G20</f>
        <v>215100</v>
      </c>
      <c r="G20" s="37">
        <v>900</v>
      </c>
      <c r="H20" s="1" t="s">
        <v>67</v>
      </c>
      <c r="I20" s="51" t="s">
        <v>84</v>
      </c>
    </row>
    <row r="21" spans="2:28" ht="15.75" thickBot="1">
      <c r="B21" s="164" t="s">
        <v>0</v>
      </c>
      <c r="C21" s="165"/>
      <c r="D21" s="165"/>
      <c r="E21" s="43" t="s">
        <v>3</v>
      </c>
      <c r="F21" s="48">
        <f>+SUM(F19:F20)</f>
        <v>245100</v>
      </c>
      <c r="G21" s="37">
        <f>F21/F3</f>
        <v>1025.5230125523012</v>
      </c>
      <c r="H21" s="1" t="s">
        <v>67</v>
      </c>
      <c r="I21" s="51" t="s">
        <v>85</v>
      </c>
    </row>
    <row r="22" spans="2:28" ht="15.75" thickBot="1"/>
    <row r="23" spans="2:28" ht="15.75" thickBot="1">
      <c r="E23" s="36" t="s">
        <v>16</v>
      </c>
      <c r="F23" s="49">
        <f>+F21/F16</f>
        <v>9.7729074262604598</v>
      </c>
    </row>
    <row r="25" spans="2:28" ht="15.75" thickBot="1">
      <c r="H25" s="4"/>
      <c r="I25" s="92">
        <v>2026</v>
      </c>
      <c r="J25" s="92">
        <v>2027</v>
      </c>
      <c r="K25" s="92">
        <v>2028</v>
      </c>
      <c r="L25" s="92">
        <v>2029</v>
      </c>
      <c r="M25" s="92">
        <v>2030</v>
      </c>
      <c r="N25" s="92">
        <v>2031</v>
      </c>
      <c r="O25" s="92">
        <v>2032</v>
      </c>
      <c r="P25" s="92">
        <v>2033</v>
      </c>
      <c r="Q25" s="92">
        <v>2034</v>
      </c>
      <c r="R25" s="92">
        <v>2035</v>
      </c>
      <c r="S25" s="92">
        <v>2036</v>
      </c>
      <c r="T25" s="92">
        <v>2037</v>
      </c>
      <c r="U25" s="92">
        <v>2038</v>
      </c>
      <c r="V25" s="92">
        <v>2039</v>
      </c>
      <c r="W25" s="92">
        <v>2040</v>
      </c>
      <c r="X25" s="92">
        <v>2041</v>
      </c>
      <c r="Y25" s="92">
        <v>2042</v>
      </c>
      <c r="Z25" s="92">
        <v>2043</v>
      </c>
      <c r="AA25" s="92">
        <v>2044</v>
      </c>
      <c r="AB25" s="92">
        <v>2045</v>
      </c>
    </row>
    <row r="26" spans="2:28" ht="15.75" thickBot="1">
      <c r="H26" s="11" t="s">
        <v>23</v>
      </c>
      <c r="I26" s="112">
        <v>1.9E-2</v>
      </c>
      <c r="J26" s="112">
        <v>1.9E-2</v>
      </c>
      <c r="K26" s="112">
        <v>0.02</v>
      </c>
      <c r="L26" s="112">
        <v>0.02</v>
      </c>
      <c r="M26" s="112">
        <v>0.02</v>
      </c>
      <c r="N26" s="112">
        <v>0.02</v>
      </c>
      <c r="O26" s="112">
        <v>2.0099999999999996E-2</v>
      </c>
      <c r="P26" s="112">
        <v>2.0099999999999996E-2</v>
      </c>
      <c r="Q26" s="112">
        <v>2.0099999999999996E-2</v>
      </c>
      <c r="R26" s="112">
        <v>2.0099999999999996E-2</v>
      </c>
      <c r="S26" s="112">
        <v>2.0099999999999996E-2</v>
      </c>
      <c r="T26" s="112">
        <v>2.0099999999999996E-2</v>
      </c>
      <c r="U26" s="112">
        <v>2.0099999999999996E-2</v>
      </c>
      <c r="V26" s="112">
        <v>2.0099999999999996E-2</v>
      </c>
      <c r="W26" s="112">
        <v>2.0099999999999996E-2</v>
      </c>
      <c r="X26" s="112">
        <v>2.0099999999999996E-2</v>
      </c>
      <c r="Y26" s="112">
        <v>2.0099999999999996E-2</v>
      </c>
      <c r="Z26" s="112">
        <v>2.0099999999999996E-2</v>
      </c>
      <c r="AA26" s="112">
        <v>2.0099999999999996E-2</v>
      </c>
      <c r="AB26" s="112">
        <v>2.0099999999999996E-2</v>
      </c>
    </row>
    <row r="27" spans="2:28" ht="15.75" thickBot="1">
      <c r="J27" s="3"/>
      <c r="L27" s="4"/>
    </row>
    <row r="28" spans="2:28" ht="30">
      <c r="I28" s="148" t="s">
        <v>224</v>
      </c>
      <c r="J28" s="149" t="s">
        <v>18</v>
      </c>
      <c r="K28" s="7" t="s">
        <v>19</v>
      </c>
      <c r="L28" s="8">
        <v>0.05</v>
      </c>
    </row>
    <row r="29" spans="2:28" ht="30.75" thickBot="1">
      <c r="I29" s="151"/>
      <c r="J29" s="152"/>
      <c r="K29" s="9" t="s">
        <v>20</v>
      </c>
      <c r="L29" s="10">
        <v>0.03</v>
      </c>
    </row>
    <row r="31" spans="2:28">
      <c r="G31" s="153"/>
      <c r="H31" s="5">
        <v>2025</v>
      </c>
      <c r="I31" s="5">
        <v>2026</v>
      </c>
      <c r="J31" s="5">
        <v>2027</v>
      </c>
      <c r="K31" s="5">
        <v>2028</v>
      </c>
      <c r="L31" s="5">
        <v>2029</v>
      </c>
      <c r="M31" s="5">
        <v>2030</v>
      </c>
      <c r="N31" s="5">
        <v>2031</v>
      </c>
      <c r="O31" s="5">
        <v>2032</v>
      </c>
      <c r="P31" s="5">
        <v>2033</v>
      </c>
      <c r="Q31" s="5">
        <v>2034</v>
      </c>
      <c r="R31" s="5">
        <v>2035</v>
      </c>
      <c r="S31" s="5">
        <v>2036</v>
      </c>
      <c r="T31" s="5">
        <v>2037</v>
      </c>
      <c r="U31" s="5">
        <v>2038</v>
      </c>
      <c r="V31" s="5">
        <v>2039</v>
      </c>
      <c r="W31" s="5">
        <v>2040</v>
      </c>
      <c r="X31" s="5">
        <v>2041</v>
      </c>
      <c r="Y31" s="5">
        <v>2042</v>
      </c>
      <c r="Z31" s="5">
        <v>2043</v>
      </c>
      <c r="AA31" s="5">
        <v>2044</v>
      </c>
      <c r="AB31" s="5">
        <v>2045</v>
      </c>
    </row>
    <row r="32" spans="2:28">
      <c r="G32" s="153"/>
      <c r="H32" s="5">
        <v>0</v>
      </c>
      <c r="I32" s="5">
        <v>1</v>
      </c>
      <c r="J32" s="5">
        <v>2</v>
      </c>
      <c r="K32" s="5">
        <v>3</v>
      </c>
      <c r="L32" s="5">
        <v>4</v>
      </c>
      <c r="M32" s="5">
        <v>5</v>
      </c>
      <c r="N32" s="5">
        <v>6</v>
      </c>
      <c r="O32" s="5">
        <v>7</v>
      </c>
      <c r="P32" s="5">
        <v>8</v>
      </c>
      <c r="Q32" s="5">
        <v>9</v>
      </c>
      <c r="R32" s="5">
        <v>10</v>
      </c>
      <c r="S32" s="5">
        <v>11</v>
      </c>
      <c r="T32" s="5">
        <v>12</v>
      </c>
      <c r="U32" s="5">
        <v>13</v>
      </c>
      <c r="V32" s="5">
        <v>14</v>
      </c>
      <c r="W32" s="5">
        <v>15</v>
      </c>
      <c r="X32" s="5">
        <v>16</v>
      </c>
      <c r="Y32" s="5">
        <v>17</v>
      </c>
      <c r="Z32" s="5">
        <v>18</v>
      </c>
      <c r="AA32" s="5">
        <v>19</v>
      </c>
      <c r="AB32" s="5">
        <v>20</v>
      </c>
    </row>
    <row r="33" spans="7:28">
      <c r="G33" s="5" t="s">
        <v>219</v>
      </c>
      <c r="H33" s="5"/>
      <c r="I33" s="132">
        <f>0.98-($F$8/100)*(I32-1)</f>
        <v>0.98</v>
      </c>
      <c r="J33" s="132">
        <f t="shared" ref="J33:AB33" si="0">0.98-($F$8/100)*(J32-1)</f>
        <v>0.97599999999999998</v>
      </c>
      <c r="K33" s="132">
        <f t="shared" si="0"/>
        <v>0.97199999999999998</v>
      </c>
      <c r="L33" s="132">
        <f t="shared" si="0"/>
        <v>0.96799999999999997</v>
      </c>
      <c r="M33" s="132">
        <f t="shared" si="0"/>
        <v>0.96399999999999997</v>
      </c>
      <c r="N33" s="132">
        <f t="shared" si="0"/>
        <v>0.96</v>
      </c>
      <c r="O33" s="132">
        <f t="shared" si="0"/>
        <v>0.95599999999999996</v>
      </c>
      <c r="P33" s="132">
        <f t="shared" si="0"/>
        <v>0.95199999999999996</v>
      </c>
      <c r="Q33" s="132">
        <f t="shared" si="0"/>
        <v>0.94799999999999995</v>
      </c>
      <c r="R33" s="132">
        <f t="shared" si="0"/>
        <v>0.94399999999999995</v>
      </c>
      <c r="S33" s="132">
        <f t="shared" si="0"/>
        <v>0.94</v>
      </c>
      <c r="T33" s="132">
        <f t="shared" si="0"/>
        <v>0.93599999999999994</v>
      </c>
      <c r="U33" s="132">
        <f t="shared" si="0"/>
        <v>0.93199999999999994</v>
      </c>
      <c r="V33" s="132">
        <f t="shared" si="0"/>
        <v>0.92799999999999994</v>
      </c>
      <c r="W33" s="132">
        <f t="shared" si="0"/>
        <v>0.92399999999999993</v>
      </c>
      <c r="X33" s="132">
        <f t="shared" si="0"/>
        <v>0.91999999999999993</v>
      </c>
      <c r="Y33" s="132">
        <f t="shared" si="0"/>
        <v>0.91599999999999993</v>
      </c>
      <c r="Z33" s="132">
        <f t="shared" si="0"/>
        <v>0.91199999999999992</v>
      </c>
      <c r="AA33" s="132">
        <f t="shared" si="0"/>
        <v>0.90799999999999992</v>
      </c>
      <c r="AB33" s="132">
        <f t="shared" si="0"/>
        <v>0.90400000000000003</v>
      </c>
    </row>
    <row r="34" spans="7:28">
      <c r="G34" s="5" t="s">
        <v>21</v>
      </c>
      <c r="H34" s="5"/>
      <c r="I34" s="6">
        <f>F14*(1+$L$28)*I33</f>
        <v>28266.154268502989</v>
      </c>
      <c r="J34" s="6">
        <f>I34*(1+$L$28)*J33</f>
        <v>28967.154894361865</v>
      </c>
      <c r="K34" s="6">
        <f>J34*(1+$L$28)*K33</f>
        <v>29563.878285185721</v>
      </c>
      <c r="L34" s="6">
        <f>K34*(1+$L$28)*L33</f>
        <v>30048.725889062771</v>
      </c>
      <c r="M34" s="6">
        <f t="shared" ref="M34:O34" si="1">L34*(1+$L$28)*M33</f>
        <v>30415.320344909334</v>
      </c>
      <c r="N34" s="6">
        <f t="shared" si="1"/>
        <v>30658.642907668607</v>
      </c>
      <c r="O34" s="6">
        <f t="shared" si="1"/>
        <v>30775.145750717747</v>
      </c>
      <c r="P34" s="6">
        <f>O34*(1+$L$29)*P33</f>
        <v>30176.876917323792</v>
      </c>
      <c r="Q34" s="6">
        <f t="shared" ref="Q34:AB34" si="2">P34*(1+$L$29)*Q33</f>
        <v>29465.909697151641</v>
      </c>
      <c r="R34" s="6">
        <f t="shared" si="2"/>
        <v>28650.293316734482</v>
      </c>
      <c r="S34" s="6">
        <f t="shared" si="2"/>
        <v>27739.213989262327</v>
      </c>
      <c r="T34" s="6">
        <f t="shared" si="2"/>
        <v>26742.821422768026</v>
      </c>
      <c r="U34" s="6">
        <f t="shared" si="2"/>
        <v>25672.038853000391</v>
      </c>
      <c r="V34" s="6">
        <f t="shared" si="2"/>
        <v>24538.361617251892</v>
      </c>
      <c r="W34" s="6">
        <f t="shared" si="2"/>
        <v>23353.64951837097</v>
      </c>
      <c r="X34" s="6">
        <f t="shared" si="2"/>
        <v>22129.918283608331</v>
      </c>
      <c r="Y34" s="6">
        <f t="shared" si="2"/>
        <v>20879.135302218787</v>
      </c>
      <c r="Z34" s="6">
        <f t="shared" si="2"/>
        <v>19613.024537492242</v>
      </c>
      <c r="AA34" s="6">
        <f t="shared" si="2"/>
        <v>18342.885068444244</v>
      </c>
      <c r="AB34" s="6">
        <f t="shared" si="2"/>
        <v>17079.427144929803</v>
      </c>
    </row>
    <row r="35" spans="7:28">
      <c r="G35" s="5" t="s">
        <v>22</v>
      </c>
      <c r="H35" s="5"/>
      <c r="I35" s="6">
        <f>F15*(1+I26)</f>
        <v>2435.41</v>
      </c>
      <c r="J35" s="6">
        <f t="shared" ref="J35:AB35" si="3">I35*(1+J26)</f>
        <v>2481.6827899999998</v>
      </c>
      <c r="K35" s="6">
        <f t="shared" si="3"/>
        <v>2531.3164457999997</v>
      </c>
      <c r="L35" s="6">
        <f t="shared" si="3"/>
        <v>2581.9427747159998</v>
      </c>
      <c r="M35" s="6">
        <f t="shared" si="3"/>
        <v>2633.5816302103199</v>
      </c>
      <c r="N35" s="6">
        <f t="shared" si="3"/>
        <v>2686.2532628145264</v>
      </c>
      <c r="O35" s="6">
        <f t="shared" si="3"/>
        <v>2740.2469533970984</v>
      </c>
      <c r="P35" s="6">
        <f t="shared" si="3"/>
        <v>2795.32591716038</v>
      </c>
      <c r="Q35" s="6">
        <f t="shared" si="3"/>
        <v>2851.5119680953035</v>
      </c>
      <c r="R35" s="6">
        <f t="shared" si="3"/>
        <v>2908.827358654019</v>
      </c>
      <c r="S35" s="6">
        <f t="shared" si="3"/>
        <v>2967.2947885629646</v>
      </c>
      <c r="T35" s="6">
        <f t="shared" si="3"/>
        <v>3026.9374138130802</v>
      </c>
      <c r="U35" s="6">
        <f t="shared" si="3"/>
        <v>3087.7788558307229</v>
      </c>
      <c r="V35" s="6">
        <f t="shared" si="3"/>
        <v>3149.8432108329207</v>
      </c>
      <c r="W35" s="6">
        <f t="shared" si="3"/>
        <v>3213.1550593706625</v>
      </c>
      <c r="X35" s="6">
        <f t="shared" si="3"/>
        <v>3277.7394760640127</v>
      </c>
      <c r="Y35" s="6">
        <f t="shared" si="3"/>
        <v>3343.6220395328992</v>
      </c>
      <c r="Z35" s="6">
        <f t="shared" si="3"/>
        <v>3410.8288425275105</v>
      </c>
      <c r="AA35" s="6">
        <f t="shared" si="3"/>
        <v>3479.3865022623136</v>
      </c>
      <c r="AB35" s="6">
        <f t="shared" si="3"/>
        <v>3549.3221709577861</v>
      </c>
    </row>
    <row r="36" spans="7:28">
      <c r="G36" s="5" t="s">
        <v>24</v>
      </c>
      <c r="H36" s="5"/>
      <c r="I36" s="6">
        <f>I34-I35</f>
        <v>25830.744268502989</v>
      </c>
      <c r="J36" s="6">
        <f t="shared" ref="J36:AB36" si="4">J34-J35</f>
        <v>26485.472104361867</v>
      </c>
      <c r="K36" s="6">
        <f t="shared" si="4"/>
        <v>27032.561839385722</v>
      </c>
      <c r="L36" s="6">
        <f t="shared" si="4"/>
        <v>27466.78311434677</v>
      </c>
      <c r="M36" s="6">
        <f t="shared" si="4"/>
        <v>27781.738714699015</v>
      </c>
      <c r="N36" s="6">
        <f t="shared" si="4"/>
        <v>27972.38964485408</v>
      </c>
      <c r="O36" s="6">
        <f t="shared" si="4"/>
        <v>28034.898797320649</v>
      </c>
      <c r="P36" s="6">
        <f t="shared" si="4"/>
        <v>27381.551000163414</v>
      </c>
      <c r="Q36" s="6">
        <f t="shared" si="4"/>
        <v>26614.397729056338</v>
      </c>
      <c r="R36" s="6">
        <f t="shared" si="4"/>
        <v>25741.465958080462</v>
      </c>
      <c r="S36" s="6">
        <f t="shared" si="4"/>
        <v>24771.919200699362</v>
      </c>
      <c r="T36" s="6">
        <f t="shared" si="4"/>
        <v>23715.884008954945</v>
      </c>
      <c r="U36" s="6">
        <f t="shared" si="4"/>
        <v>22584.259997169669</v>
      </c>
      <c r="V36" s="6">
        <f t="shared" si="4"/>
        <v>21388.518406418971</v>
      </c>
      <c r="W36" s="6">
        <f t="shared" si="4"/>
        <v>20140.494459000307</v>
      </c>
      <c r="X36" s="6">
        <f t="shared" si="4"/>
        <v>18852.178807544318</v>
      </c>
      <c r="Y36" s="6">
        <f t="shared" si="4"/>
        <v>17535.513262685887</v>
      </c>
      <c r="Z36" s="6">
        <f t="shared" si="4"/>
        <v>16202.195694964732</v>
      </c>
      <c r="AA36" s="6">
        <f t="shared" si="4"/>
        <v>14863.49856618193</v>
      </c>
      <c r="AB36" s="6">
        <f t="shared" si="4"/>
        <v>13530.104973972017</v>
      </c>
    </row>
    <row r="37" spans="7:28">
      <c r="G37" s="154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</row>
    <row r="38" spans="7:28" ht="30">
      <c r="G38" s="5" t="s">
        <v>223</v>
      </c>
      <c r="H38" s="5"/>
      <c r="I38" s="6">
        <f>$F$21/20</f>
        <v>12255</v>
      </c>
      <c r="J38" s="6">
        <f t="shared" ref="J38:AB38" si="5">$F$21/20</f>
        <v>12255</v>
      </c>
      <c r="K38" s="6">
        <f t="shared" si="5"/>
        <v>12255</v>
      </c>
      <c r="L38" s="6">
        <f t="shared" si="5"/>
        <v>12255</v>
      </c>
      <c r="M38" s="6">
        <f t="shared" si="5"/>
        <v>12255</v>
      </c>
      <c r="N38" s="6">
        <f t="shared" si="5"/>
        <v>12255</v>
      </c>
      <c r="O38" s="6">
        <f t="shared" si="5"/>
        <v>12255</v>
      </c>
      <c r="P38" s="6">
        <f t="shared" si="5"/>
        <v>12255</v>
      </c>
      <c r="Q38" s="6">
        <f t="shared" si="5"/>
        <v>12255</v>
      </c>
      <c r="R38" s="6">
        <f t="shared" si="5"/>
        <v>12255</v>
      </c>
      <c r="S38" s="6">
        <f t="shared" si="5"/>
        <v>12255</v>
      </c>
      <c r="T38" s="6">
        <f t="shared" si="5"/>
        <v>12255</v>
      </c>
      <c r="U38" s="6">
        <f t="shared" si="5"/>
        <v>12255</v>
      </c>
      <c r="V38" s="6">
        <f t="shared" si="5"/>
        <v>12255</v>
      </c>
      <c r="W38" s="6">
        <f t="shared" si="5"/>
        <v>12255</v>
      </c>
      <c r="X38" s="6">
        <f t="shared" si="5"/>
        <v>12255</v>
      </c>
      <c r="Y38" s="6">
        <f t="shared" si="5"/>
        <v>12255</v>
      </c>
      <c r="Z38" s="6">
        <f t="shared" si="5"/>
        <v>12255</v>
      </c>
      <c r="AA38" s="6">
        <f t="shared" si="5"/>
        <v>12255</v>
      </c>
      <c r="AB38" s="6">
        <f t="shared" si="5"/>
        <v>12255</v>
      </c>
    </row>
    <row r="39" spans="7:28">
      <c r="G39" s="154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</row>
    <row r="40" spans="7:28">
      <c r="G40" s="5" t="s">
        <v>25</v>
      </c>
      <c r="H40" s="5"/>
      <c r="I40" s="6">
        <f>I36-I38</f>
        <v>13575.744268502989</v>
      </c>
      <c r="J40" s="6">
        <f t="shared" ref="J40:AB40" si="6">J36-J38</f>
        <v>14230.472104361867</v>
      </c>
      <c r="K40" s="6">
        <f t="shared" si="6"/>
        <v>14777.561839385722</v>
      </c>
      <c r="L40" s="6">
        <f t="shared" si="6"/>
        <v>15211.78311434677</v>
      </c>
      <c r="M40" s="6">
        <f t="shared" si="6"/>
        <v>15526.738714699015</v>
      </c>
      <c r="N40" s="6">
        <f t="shared" si="6"/>
        <v>15717.38964485408</v>
      </c>
      <c r="O40" s="6">
        <f t="shared" si="6"/>
        <v>15779.898797320649</v>
      </c>
      <c r="P40" s="6">
        <f t="shared" si="6"/>
        <v>15126.551000163414</v>
      </c>
      <c r="Q40" s="6">
        <f t="shared" si="6"/>
        <v>14359.397729056338</v>
      </c>
      <c r="R40" s="6">
        <f t="shared" si="6"/>
        <v>13486.465958080462</v>
      </c>
      <c r="S40" s="6">
        <f t="shared" si="6"/>
        <v>12516.919200699362</v>
      </c>
      <c r="T40" s="6">
        <f t="shared" si="6"/>
        <v>11460.884008954945</v>
      </c>
      <c r="U40" s="6">
        <f t="shared" si="6"/>
        <v>10329.259997169669</v>
      </c>
      <c r="V40" s="6">
        <f t="shared" si="6"/>
        <v>9133.5184064189707</v>
      </c>
      <c r="W40" s="6">
        <f t="shared" si="6"/>
        <v>7885.494459000307</v>
      </c>
      <c r="X40" s="6">
        <f t="shared" si="6"/>
        <v>6597.1788075443183</v>
      </c>
      <c r="Y40" s="6">
        <f t="shared" si="6"/>
        <v>5280.5132626858867</v>
      </c>
      <c r="Z40" s="6">
        <f t="shared" si="6"/>
        <v>3947.195694964732</v>
      </c>
      <c r="AA40" s="6">
        <f t="shared" si="6"/>
        <v>2608.4985661819301</v>
      </c>
      <c r="AB40" s="6">
        <f t="shared" si="6"/>
        <v>1275.1049739720165</v>
      </c>
    </row>
    <row r="41" spans="7:28">
      <c r="G41" s="154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</row>
    <row r="42" spans="7:28" ht="30">
      <c r="G42" s="5" t="s">
        <v>26</v>
      </c>
      <c r="H42" s="5"/>
      <c r="I42" s="6">
        <f>0.25*I40</f>
        <v>3393.9360671257473</v>
      </c>
      <c r="J42" s="6">
        <f t="shared" ref="J42:AA42" si="7">0.25*J40</f>
        <v>3557.6180260904666</v>
      </c>
      <c r="K42" s="6">
        <f t="shared" si="7"/>
        <v>3694.3904598464305</v>
      </c>
      <c r="L42" s="6">
        <f t="shared" si="7"/>
        <v>3802.9457785866925</v>
      </c>
      <c r="M42" s="6">
        <f t="shared" si="7"/>
        <v>3881.6846786747537</v>
      </c>
      <c r="N42" s="6">
        <f t="shared" si="7"/>
        <v>3929.34741121352</v>
      </c>
      <c r="O42" s="6">
        <f t="shared" si="7"/>
        <v>3944.9746993301624</v>
      </c>
      <c r="P42" s="6">
        <f t="shared" si="7"/>
        <v>3781.6377500408535</v>
      </c>
      <c r="Q42" s="6">
        <f t="shared" si="7"/>
        <v>3589.8494322640845</v>
      </c>
      <c r="R42" s="6">
        <f t="shared" si="7"/>
        <v>3371.6164895201155</v>
      </c>
      <c r="S42" s="6">
        <f t="shared" si="7"/>
        <v>3129.2298001748404</v>
      </c>
      <c r="T42" s="6">
        <f t="shared" si="7"/>
        <v>2865.2210022387362</v>
      </c>
      <c r="U42" s="6">
        <f t="shared" si="7"/>
        <v>2582.3149992924173</v>
      </c>
      <c r="V42" s="6">
        <f t="shared" si="7"/>
        <v>2283.3796016047427</v>
      </c>
      <c r="W42" s="6">
        <f t="shared" si="7"/>
        <v>1971.3736147500767</v>
      </c>
      <c r="X42" s="6">
        <f t="shared" si="7"/>
        <v>1649.2947018860796</v>
      </c>
      <c r="Y42" s="6">
        <f t="shared" si="7"/>
        <v>1320.1283156714717</v>
      </c>
      <c r="Z42" s="6">
        <f t="shared" si="7"/>
        <v>986.79892374118299</v>
      </c>
      <c r="AA42" s="6">
        <f t="shared" si="7"/>
        <v>652.12464154548252</v>
      </c>
      <c r="AB42" s="6">
        <v>0</v>
      </c>
    </row>
    <row r="43" spans="7:28">
      <c r="G43" s="154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</row>
    <row r="44" spans="7:28">
      <c r="G44" s="5" t="s">
        <v>27</v>
      </c>
      <c r="H44" s="5"/>
      <c r="I44" s="6">
        <f>I40-I42</f>
        <v>10181.808201377242</v>
      </c>
      <c r="J44" s="6">
        <f t="shared" ref="J44:AB44" si="8">J40-J42</f>
        <v>10672.854078271401</v>
      </c>
      <c r="K44" s="6">
        <f t="shared" si="8"/>
        <v>11083.171379539292</v>
      </c>
      <c r="L44" s="6">
        <f t="shared" si="8"/>
        <v>11408.837335760078</v>
      </c>
      <c r="M44" s="6">
        <f t="shared" si="8"/>
        <v>11645.054036024261</v>
      </c>
      <c r="N44" s="6">
        <f t="shared" si="8"/>
        <v>11788.042233640561</v>
      </c>
      <c r="O44" s="6">
        <f t="shared" si="8"/>
        <v>11834.924097990486</v>
      </c>
      <c r="P44" s="6">
        <f t="shared" si="8"/>
        <v>11344.913250122561</v>
      </c>
      <c r="Q44" s="6">
        <f t="shared" si="8"/>
        <v>10769.548296792254</v>
      </c>
      <c r="R44" s="6">
        <f t="shared" si="8"/>
        <v>10114.849468560347</v>
      </c>
      <c r="S44" s="6">
        <f t="shared" si="8"/>
        <v>9387.6894005245213</v>
      </c>
      <c r="T44" s="6">
        <f t="shared" si="8"/>
        <v>8595.6630067162077</v>
      </c>
      <c r="U44" s="6">
        <f t="shared" si="8"/>
        <v>7746.9449978772518</v>
      </c>
      <c r="V44" s="6">
        <f t="shared" si="8"/>
        <v>6850.138804814228</v>
      </c>
      <c r="W44" s="6">
        <f t="shared" si="8"/>
        <v>5914.1208442502302</v>
      </c>
      <c r="X44" s="6">
        <f t="shared" si="8"/>
        <v>4947.8841056582387</v>
      </c>
      <c r="Y44" s="6">
        <f t="shared" si="8"/>
        <v>3960.384947014415</v>
      </c>
      <c r="Z44" s="6">
        <f t="shared" si="8"/>
        <v>2960.396771223549</v>
      </c>
      <c r="AA44" s="6">
        <f t="shared" si="8"/>
        <v>1956.3739246364476</v>
      </c>
      <c r="AB44" s="6">
        <f t="shared" si="8"/>
        <v>1275.1049739720165</v>
      </c>
    </row>
    <row r="45" spans="7:28">
      <c r="G45" s="154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</row>
    <row r="46" spans="7:28">
      <c r="G46" s="5" t="s">
        <v>28</v>
      </c>
      <c r="H46" s="6">
        <f>-F21</f>
        <v>-245100</v>
      </c>
      <c r="I46" s="6">
        <f>I44+I38</f>
        <v>22436.808201377244</v>
      </c>
      <c r="J46" s="6">
        <f t="shared" ref="J46:AB46" si="9">J44+J38</f>
        <v>22927.854078271401</v>
      </c>
      <c r="K46" s="6">
        <f t="shared" si="9"/>
        <v>23338.171379539293</v>
      </c>
      <c r="L46" s="6">
        <f t="shared" si="9"/>
        <v>23663.837335760079</v>
      </c>
      <c r="M46" s="6">
        <f t="shared" si="9"/>
        <v>23900.054036024259</v>
      </c>
      <c r="N46" s="6">
        <f t="shared" si="9"/>
        <v>24043.042233640561</v>
      </c>
      <c r="O46" s="6">
        <f t="shared" si="9"/>
        <v>24089.924097990486</v>
      </c>
      <c r="P46" s="6">
        <f t="shared" si="9"/>
        <v>23599.913250122561</v>
      </c>
      <c r="Q46" s="6">
        <f t="shared" si="9"/>
        <v>23024.548296792254</v>
      </c>
      <c r="R46" s="6">
        <f t="shared" si="9"/>
        <v>22369.849468560347</v>
      </c>
      <c r="S46" s="6">
        <f t="shared" si="9"/>
        <v>21642.689400524519</v>
      </c>
      <c r="T46" s="6">
        <f t="shared" si="9"/>
        <v>20850.663006716208</v>
      </c>
      <c r="U46" s="6">
        <f t="shared" si="9"/>
        <v>20001.944997877254</v>
      </c>
      <c r="V46" s="6">
        <f t="shared" si="9"/>
        <v>19105.138804814229</v>
      </c>
      <c r="W46" s="6">
        <f t="shared" si="9"/>
        <v>18169.120844250232</v>
      </c>
      <c r="X46" s="6">
        <f t="shared" si="9"/>
        <v>17202.884105658239</v>
      </c>
      <c r="Y46" s="6">
        <f t="shared" si="9"/>
        <v>16215.384947014416</v>
      </c>
      <c r="Z46" s="6">
        <f t="shared" si="9"/>
        <v>15215.39677122355</v>
      </c>
      <c r="AA46" s="6">
        <f t="shared" si="9"/>
        <v>14211.373924636448</v>
      </c>
      <c r="AB46" s="6">
        <f t="shared" si="9"/>
        <v>13530.104973972017</v>
      </c>
    </row>
    <row r="47" spans="7:28">
      <c r="G47" s="5" t="s">
        <v>37</v>
      </c>
      <c r="H47" s="6">
        <f>H46</f>
        <v>-245100</v>
      </c>
      <c r="I47" s="6">
        <f>H47+I46</f>
        <v>-222663.19179862275</v>
      </c>
      <c r="J47" s="6">
        <f>I47+J46</f>
        <v>-199735.33772035135</v>
      </c>
      <c r="K47" s="6">
        <f t="shared" ref="K47:AB47" si="10">J47+K46</f>
        <v>-176397.16634081205</v>
      </c>
      <c r="L47" s="6">
        <f t="shared" si="10"/>
        <v>-152733.32900505199</v>
      </c>
      <c r="M47" s="6">
        <f t="shared" si="10"/>
        <v>-128833.27496902773</v>
      </c>
      <c r="N47" s="6">
        <f t="shared" si="10"/>
        <v>-104790.23273538717</v>
      </c>
      <c r="O47" s="6">
        <f t="shared" si="10"/>
        <v>-80700.30863739668</v>
      </c>
      <c r="P47" s="6">
        <f t="shared" si="10"/>
        <v>-57100.395387274119</v>
      </c>
      <c r="Q47" s="6">
        <f t="shared" si="10"/>
        <v>-34075.847090481868</v>
      </c>
      <c r="R47" s="6">
        <f t="shared" si="10"/>
        <v>-11705.99762192152</v>
      </c>
      <c r="S47" s="6">
        <f t="shared" si="10"/>
        <v>9936.691778602999</v>
      </c>
      <c r="T47" s="6">
        <f t="shared" si="10"/>
        <v>30787.354785319207</v>
      </c>
      <c r="U47" s="6">
        <f t="shared" si="10"/>
        <v>50789.29978319646</v>
      </c>
      <c r="V47" s="6">
        <f t="shared" si="10"/>
        <v>69894.438588010686</v>
      </c>
      <c r="W47" s="6">
        <f t="shared" si="10"/>
        <v>88063.559432260925</v>
      </c>
      <c r="X47" s="6">
        <f t="shared" si="10"/>
        <v>105266.44353791917</v>
      </c>
      <c r="Y47" s="6">
        <f t="shared" si="10"/>
        <v>121481.82848493359</v>
      </c>
      <c r="Z47" s="6">
        <f t="shared" si="10"/>
        <v>136697.22525615714</v>
      </c>
      <c r="AA47" s="6">
        <f t="shared" si="10"/>
        <v>150908.59918079359</v>
      </c>
      <c r="AB47" s="6">
        <f t="shared" si="10"/>
        <v>164438.70415476561</v>
      </c>
    </row>
    <row r="48" spans="7:28" ht="15.75" thickBot="1"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6:8">
      <c r="F49" s="38" t="s">
        <v>30</v>
      </c>
      <c r="G49" s="39">
        <f>'Estructura capital'!F19</f>
        <v>4.7452500000000002E-2</v>
      </c>
    </row>
    <row r="50" spans="6:8">
      <c r="F50" s="14" t="s">
        <v>29</v>
      </c>
      <c r="G50" s="15">
        <f>IRR(H46:AB46)</f>
        <v>6.042562238159177E-2</v>
      </c>
    </row>
    <row r="51" spans="6:8" ht="15.75" thickBot="1">
      <c r="F51" s="16" t="s">
        <v>31</v>
      </c>
      <c r="G51" s="17">
        <f>NPV(G49,I46:AB46)+H46</f>
        <v>25644.64538595645</v>
      </c>
    </row>
    <row r="53" spans="6:8" ht="15.75" thickBot="1"/>
    <row r="54" spans="6:8">
      <c r="F54" s="148" t="s">
        <v>32</v>
      </c>
      <c r="G54" s="149"/>
      <c r="H54" s="150"/>
    </row>
    <row r="55" spans="6:8">
      <c r="F55" s="13"/>
      <c r="H55" s="12"/>
    </row>
    <row r="56" spans="6:8">
      <c r="F56" s="13" t="s">
        <v>38</v>
      </c>
      <c r="G56" s="1">
        <v>0.246</v>
      </c>
      <c r="H56" s="12" t="s">
        <v>39</v>
      </c>
    </row>
    <row r="57" spans="6:8">
      <c r="F57" s="13"/>
      <c r="H57" s="12"/>
    </row>
    <row r="58" spans="6:8">
      <c r="F58" s="13" t="s">
        <v>33</v>
      </c>
      <c r="H58" s="12"/>
    </row>
    <row r="59" spans="6:8">
      <c r="F59" s="13"/>
      <c r="H59" s="12"/>
    </row>
    <row r="60" spans="6:8">
      <c r="F60" s="13"/>
      <c r="H60" s="12"/>
    </row>
    <row r="61" spans="6:8">
      <c r="F61" s="13"/>
      <c r="H61" s="12"/>
    </row>
    <row r="62" spans="6:8">
      <c r="F62" s="13"/>
      <c r="H62" s="12"/>
    </row>
    <row r="63" spans="6:8">
      <c r="F63" s="13"/>
      <c r="H63" s="12"/>
    </row>
    <row r="64" spans="6:8">
      <c r="F64" s="13"/>
      <c r="H64" s="12"/>
    </row>
    <row r="65" spans="6:8">
      <c r="F65" s="13"/>
      <c r="H65" s="12"/>
    </row>
    <row r="66" spans="6:8">
      <c r="F66" s="13"/>
      <c r="H66" s="12"/>
    </row>
    <row r="67" spans="6:8">
      <c r="F67" s="13"/>
      <c r="H67" s="12"/>
    </row>
    <row r="68" spans="6:8">
      <c r="F68" s="13"/>
      <c r="H68" s="12"/>
    </row>
    <row r="69" spans="6:8">
      <c r="F69" s="13"/>
      <c r="H69" s="12"/>
    </row>
    <row r="70" spans="6:8" ht="15.75" thickBot="1">
      <c r="F70" s="13" t="s">
        <v>40</v>
      </c>
      <c r="G70" s="18">
        <f>G56*1.1381</f>
        <v>0.27997259999999996</v>
      </c>
      <c r="H70" s="12" t="s">
        <v>39</v>
      </c>
    </row>
    <row r="71" spans="6:8" ht="15.75" thickBot="1">
      <c r="F71" s="20" t="s">
        <v>42</v>
      </c>
      <c r="G71" s="19">
        <f>G70*F7</f>
        <v>95.0811073201901</v>
      </c>
      <c r="H71" s="21" t="s">
        <v>41</v>
      </c>
    </row>
    <row r="72" spans="6:8">
      <c r="F72" s="13"/>
      <c r="H72" s="12"/>
    </row>
    <row r="73" spans="6:8" ht="30">
      <c r="F73" s="13">
        <v>20</v>
      </c>
      <c r="G73" s="1" t="s">
        <v>34</v>
      </c>
      <c r="H73" s="12" t="s">
        <v>36</v>
      </c>
    </row>
    <row r="74" spans="6:8" ht="15.75" thickBot="1">
      <c r="F74" s="13"/>
      <c r="H74" s="12"/>
    </row>
    <row r="75" spans="6:8" ht="15.75" thickBot="1">
      <c r="F75" s="20" t="s">
        <v>43</v>
      </c>
      <c r="G75" s="19">
        <f>(G71*1000)/F73</f>
        <v>4754.0553660095047</v>
      </c>
      <c r="H75" s="21" t="s">
        <v>35</v>
      </c>
    </row>
    <row r="76" spans="6:8">
      <c r="F76" s="40"/>
      <c r="G76" s="41"/>
      <c r="H76" s="40"/>
    </row>
    <row r="77" spans="6:8">
      <c r="F77" s="40"/>
      <c r="G77" s="41"/>
      <c r="H77" s="40"/>
    </row>
    <row r="78" spans="6:8">
      <c r="F78" s="40"/>
      <c r="G78" s="41"/>
      <c r="H78" s="40"/>
    </row>
    <row r="79" spans="6:8">
      <c r="F79" s="40"/>
      <c r="G79" s="41"/>
      <c r="H79" s="40"/>
    </row>
    <row r="80" spans="6:8">
      <c r="F80" s="40"/>
      <c r="G80" s="41"/>
      <c r="H80" s="40"/>
    </row>
    <row r="81" spans="6:28">
      <c r="F81" s="40"/>
      <c r="G81" s="41"/>
      <c r="H81" s="40"/>
    </row>
    <row r="82" spans="6:28">
      <c r="F82" s="40"/>
      <c r="G82" s="41"/>
      <c r="H82" s="40"/>
    </row>
    <row r="86" spans="6:28">
      <c r="G86" s="22" t="s">
        <v>66</v>
      </c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</row>
    <row r="87" spans="6:28">
      <c r="G87" s="23" t="s">
        <v>44</v>
      </c>
      <c r="H87" s="24">
        <f>F3/1000</f>
        <v>0.23899999999999999</v>
      </c>
      <c r="I87" s="23"/>
      <c r="J87" s="23"/>
      <c r="K87" s="23"/>
      <c r="L87" s="23"/>
      <c r="M87" s="23"/>
      <c r="N87" s="25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</row>
    <row r="88" spans="6:28">
      <c r="G88" s="23" t="s">
        <v>45</v>
      </c>
      <c r="H88" s="26">
        <f>F21</f>
        <v>245100</v>
      </c>
      <c r="I88" s="23"/>
      <c r="J88" s="23"/>
      <c r="K88" s="23"/>
      <c r="L88" s="23"/>
      <c r="M88" s="23"/>
      <c r="N88" s="25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</row>
    <row r="89" spans="6:28">
      <c r="G89" s="23" t="s">
        <v>46</v>
      </c>
      <c r="H89" s="26">
        <f>G21</f>
        <v>1025.5230125523012</v>
      </c>
      <c r="I89" s="23"/>
      <c r="J89" s="23"/>
      <c r="K89" s="23"/>
      <c r="L89" s="23"/>
      <c r="M89" s="23"/>
      <c r="N89" s="25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</row>
    <row r="90" spans="6:28" ht="30">
      <c r="G90" s="62" t="s">
        <v>47</v>
      </c>
      <c r="H90" s="63">
        <f>F6</f>
        <v>345.13546776000004</v>
      </c>
      <c r="I90" s="64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</row>
    <row r="91" spans="6:28">
      <c r="G91" s="23" t="s">
        <v>48</v>
      </c>
      <c r="H91" s="65">
        <f>F15</f>
        <v>2390</v>
      </c>
      <c r="I91" s="64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</row>
    <row r="92" spans="6:28">
      <c r="G92" s="23"/>
      <c r="H92" s="28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</row>
    <row r="93" spans="6:28">
      <c r="G93" s="23"/>
      <c r="H93" s="61" t="s">
        <v>1</v>
      </c>
      <c r="I93" s="61" t="s">
        <v>1</v>
      </c>
      <c r="J93" s="61" t="s">
        <v>1</v>
      </c>
      <c r="K93" s="61" t="s">
        <v>1</v>
      </c>
      <c r="L93" s="61" t="s">
        <v>1</v>
      </c>
      <c r="M93" s="61" t="s">
        <v>1</v>
      </c>
      <c r="N93" s="61" t="s">
        <v>1</v>
      </c>
      <c r="O93" s="61" t="s">
        <v>1</v>
      </c>
      <c r="P93" s="61" t="s">
        <v>1</v>
      </c>
      <c r="Q93" s="61" t="s">
        <v>1</v>
      </c>
      <c r="R93" s="61" t="s">
        <v>1</v>
      </c>
      <c r="S93" s="61" t="s">
        <v>1</v>
      </c>
      <c r="T93" s="61" t="s">
        <v>1</v>
      </c>
      <c r="U93" s="61" t="s">
        <v>1</v>
      </c>
      <c r="V93" s="61" t="s">
        <v>1</v>
      </c>
      <c r="W93" s="61" t="s">
        <v>1</v>
      </c>
      <c r="X93" s="61" t="s">
        <v>1</v>
      </c>
      <c r="Y93" s="61" t="s">
        <v>1</v>
      </c>
      <c r="Z93" s="61" t="s">
        <v>1</v>
      </c>
      <c r="AA93" s="61" t="s">
        <v>1</v>
      </c>
      <c r="AB93" s="61" t="s">
        <v>1</v>
      </c>
    </row>
    <row r="94" spans="6:28">
      <c r="G94" s="23"/>
      <c r="H94" s="23">
        <v>0</v>
      </c>
      <c r="I94" s="23">
        <v>1</v>
      </c>
      <c r="J94" s="23">
        <v>2</v>
      </c>
      <c r="K94" s="23">
        <v>3</v>
      </c>
      <c r="L94" s="23">
        <v>4</v>
      </c>
      <c r="M94" s="23">
        <v>5</v>
      </c>
      <c r="N94" s="23">
        <v>6</v>
      </c>
      <c r="O94" s="23">
        <v>7</v>
      </c>
      <c r="P94" s="23">
        <v>8</v>
      </c>
      <c r="Q94" s="23">
        <v>9</v>
      </c>
      <c r="R94" s="23">
        <v>10</v>
      </c>
      <c r="S94" s="23">
        <v>11</v>
      </c>
      <c r="T94" s="23">
        <v>12</v>
      </c>
      <c r="U94" s="23">
        <v>13</v>
      </c>
      <c r="V94" s="23">
        <v>14</v>
      </c>
      <c r="W94" s="23">
        <v>15</v>
      </c>
      <c r="X94" s="23">
        <v>16</v>
      </c>
      <c r="Y94" s="23">
        <v>17</v>
      </c>
      <c r="Z94" s="23">
        <v>18</v>
      </c>
      <c r="AA94" s="23">
        <v>19</v>
      </c>
      <c r="AB94" s="23">
        <v>20</v>
      </c>
    </row>
    <row r="95" spans="6:28">
      <c r="G95" s="23" t="s">
        <v>49</v>
      </c>
      <c r="H95" s="29">
        <f>H88</f>
        <v>245100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</row>
    <row r="96" spans="6:28">
      <c r="G96" s="23" t="s">
        <v>50</v>
      </c>
      <c r="H96" s="30">
        <f>NPV(G49,I96:AB96)</f>
        <v>-36539.994990661973</v>
      </c>
      <c r="I96" s="30">
        <f>-H91*(1+I26)</f>
        <v>-2435.41</v>
      </c>
      <c r="J96" s="30">
        <f t="shared" ref="J96:AB96" si="11">I96*(1+J26)</f>
        <v>-2481.6827899999998</v>
      </c>
      <c r="K96" s="30">
        <f t="shared" si="11"/>
        <v>-2531.3164457999997</v>
      </c>
      <c r="L96" s="30">
        <f t="shared" si="11"/>
        <v>-2581.9427747159998</v>
      </c>
      <c r="M96" s="30">
        <f t="shared" si="11"/>
        <v>-2633.5816302103199</v>
      </c>
      <c r="N96" s="30">
        <f t="shared" si="11"/>
        <v>-2686.2532628145264</v>
      </c>
      <c r="O96" s="30">
        <f t="shared" si="11"/>
        <v>-2740.2469533970984</v>
      </c>
      <c r="P96" s="30">
        <f t="shared" si="11"/>
        <v>-2795.32591716038</v>
      </c>
      <c r="Q96" s="30">
        <f t="shared" si="11"/>
        <v>-2851.5119680953035</v>
      </c>
      <c r="R96" s="30">
        <f t="shared" si="11"/>
        <v>-2908.827358654019</v>
      </c>
      <c r="S96" s="30">
        <f t="shared" si="11"/>
        <v>-2967.2947885629646</v>
      </c>
      <c r="T96" s="30">
        <f t="shared" si="11"/>
        <v>-3026.9374138130802</v>
      </c>
      <c r="U96" s="30">
        <f t="shared" si="11"/>
        <v>-3087.7788558307229</v>
      </c>
      <c r="V96" s="30">
        <f t="shared" si="11"/>
        <v>-3149.8432108329207</v>
      </c>
      <c r="W96" s="30">
        <f t="shared" si="11"/>
        <v>-3213.1550593706625</v>
      </c>
      <c r="X96" s="30">
        <f t="shared" si="11"/>
        <v>-3277.7394760640127</v>
      </c>
      <c r="Y96" s="30">
        <f t="shared" si="11"/>
        <v>-3343.6220395328992</v>
      </c>
      <c r="Z96" s="30">
        <f t="shared" si="11"/>
        <v>-3410.8288425275105</v>
      </c>
      <c r="AA96" s="30">
        <f t="shared" si="11"/>
        <v>-3479.3865022623136</v>
      </c>
      <c r="AB96" s="30">
        <f t="shared" si="11"/>
        <v>-3549.3221709577861</v>
      </c>
    </row>
    <row r="97" spans="7:28">
      <c r="G97" s="23" t="s">
        <v>51</v>
      </c>
      <c r="H97" s="27">
        <f>SUM(I97:AB97)</f>
        <v>6398.2263332639741</v>
      </c>
      <c r="I97" s="27">
        <f>$F$7*I33</f>
        <v>332.81644408697963</v>
      </c>
      <c r="J97" s="27">
        <f t="shared" ref="J97:AB97" si="12">$F$7*J33</f>
        <v>331.45800962131847</v>
      </c>
      <c r="K97" s="27">
        <f t="shared" si="12"/>
        <v>330.09957515565731</v>
      </c>
      <c r="L97" s="27">
        <f t="shared" si="12"/>
        <v>328.7411406899962</v>
      </c>
      <c r="M97" s="27">
        <f t="shared" si="12"/>
        <v>327.38270622433504</v>
      </c>
      <c r="N97" s="27">
        <f t="shared" si="12"/>
        <v>326.02427175867388</v>
      </c>
      <c r="O97" s="27">
        <f t="shared" si="12"/>
        <v>324.66583729301277</v>
      </c>
      <c r="P97" s="27">
        <f t="shared" si="12"/>
        <v>323.30740282735161</v>
      </c>
      <c r="Q97" s="27">
        <f t="shared" si="12"/>
        <v>321.94896836169045</v>
      </c>
      <c r="R97" s="27">
        <f t="shared" si="12"/>
        <v>320.59053389602934</v>
      </c>
      <c r="S97" s="27">
        <f t="shared" si="12"/>
        <v>319.23209943036818</v>
      </c>
      <c r="T97" s="27">
        <f t="shared" si="12"/>
        <v>317.87366496470702</v>
      </c>
      <c r="U97" s="27">
        <f t="shared" si="12"/>
        <v>316.51523049904591</v>
      </c>
      <c r="V97" s="27">
        <f t="shared" si="12"/>
        <v>315.15679603338475</v>
      </c>
      <c r="W97" s="27">
        <f t="shared" si="12"/>
        <v>313.79836156772365</v>
      </c>
      <c r="X97" s="27">
        <f t="shared" si="12"/>
        <v>312.43992710206248</v>
      </c>
      <c r="Y97" s="27">
        <f t="shared" si="12"/>
        <v>311.08149263640132</v>
      </c>
      <c r="Z97" s="27">
        <f t="shared" si="12"/>
        <v>309.72305817074022</v>
      </c>
      <c r="AA97" s="27">
        <f t="shared" si="12"/>
        <v>308.36462370507905</v>
      </c>
      <c r="AB97" s="27">
        <f t="shared" si="12"/>
        <v>307.00618923941795</v>
      </c>
    </row>
    <row r="98" spans="7:28" ht="15.75" thickBot="1">
      <c r="G98" s="23"/>
      <c r="H98" s="23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 spans="7:28" ht="15.75" thickBot="1">
      <c r="G99" s="59" t="s">
        <v>52</v>
      </c>
      <c r="H99" s="60">
        <f>(H95-H96)/H97</f>
        <v>44.01844828877551</v>
      </c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</sheetData>
  <mergeCells count="26">
    <mergeCell ref="F4:F5"/>
    <mergeCell ref="B18:F18"/>
    <mergeCell ref="G41:AB41"/>
    <mergeCell ref="G43:AB43"/>
    <mergeCell ref="G45:AB45"/>
    <mergeCell ref="B15:D15"/>
    <mergeCell ref="B10:D10"/>
    <mergeCell ref="B11:D11"/>
    <mergeCell ref="B14:D14"/>
    <mergeCell ref="B20:D20"/>
    <mergeCell ref="B21:D21"/>
    <mergeCell ref="B16:D16"/>
    <mergeCell ref="B19:D19"/>
    <mergeCell ref="B8:D8"/>
    <mergeCell ref="B13:D13"/>
    <mergeCell ref="F54:H54"/>
    <mergeCell ref="I28:I29"/>
    <mergeCell ref="J28:J29"/>
    <mergeCell ref="G31:G32"/>
    <mergeCell ref="G37:AB37"/>
    <mergeCell ref="G39:AB39"/>
    <mergeCell ref="B3:D3"/>
    <mergeCell ref="B6:D6"/>
    <mergeCell ref="B7:D7"/>
    <mergeCell ref="B12:D12"/>
    <mergeCell ref="B9:D9"/>
  </mergeCells>
  <pageMargins left="0.7" right="0.7" top="0.75" bottom="0.75" header="0.3" footer="0.3"/>
  <pageSetup paperSize="9" orientation="portrait" horizontalDpi="4000" verticalDpi="4000" r:id="rId1"/>
  <ignoredErrors>
    <ignoredError sqref="F14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O19"/>
  <sheetViews>
    <sheetView showGridLines="0" workbookViewId="0"/>
  </sheetViews>
  <sheetFormatPr baseColWidth="10" defaultRowHeight="15"/>
  <cols>
    <col min="1" max="1" width="3.85546875" customWidth="1"/>
    <col min="5" max="5" width="18.5703125" bestFit="1" customWidth="1"/>
    <col min="11" max="11" width="82" customWidth="1"/>
    <col min="12" max="12" width="2" customWidth="1"/>
  </cols>
  <sheetData>
    <row r="2" spans="2:15" ht="18.75">
      <c r="B2" s="54" t="s">
        <v>81</v>
      </c>
    </row>
    <row r="4" spans="2:15">
      <c r="E4" t="s">
        <v>53</v>
      </c>
      <c r="F4" s="116">
        <v>0.7</v>
      </c>
      <c r="G4" t="s">
        <v>74</v>
      </c>
    </row>
    <row r="5" spans="2:15">
      <c r="E5" t="s">
        <v>54</v>
      </c>
      <c r="F5" s="31">
        <f>F4/(1-F4)</f>
        <v>2.333333333333333</v>
      </c>
      <c r="G5" t="s">
        <v>75</v>
      </c>
    </row>
    <row r="7" spans="2:15">
      <c r="E7" t="s">
        <v>55</v>
      </c>
      <c r="F7" s="117">
        <v>0.25</v>
      </c>
      <c r="G7" t="s">
        <v>76</v>
      </c>
    </row>
    <row r="8" spans="2:15">
      <c r="E8" t="s">
        <v>56</v>
      </c>
      <c r="F8" s="117">
        <v>0.67</v>
      </c>
      <c r="G8" t="s">
        <v>77</v>
      </c>
      <c r="K8" s="32" t="s">
        <v>57</v>
      </c>
      <c r="M8" t="s">
        <v>58</v>
      </c>
    </row>
    <row r="9" spans="2:15">
      <c r="E9" t="s">
        <v>59</v>
      </c>
      <c r="F9">
        <f>F8*(1+((1-F7)*F5))</f>
        <v>1.8425</v>
      </c>
      <c r="G9" t="s">
        <v>185</v>
      </c>
    </row>
    <row r="11" spans="2:15">
      <c r="E11" t="s">
        <v>60</v>
      </c>
      <c r="F11" s="118">
        <v>3.2899999999999999E-2</v>
      </c>
      <c r="G11" t="s">
        <v>65</v>
      </c>
      <c r="J11" s="32" t="s">
        <v>175</v>
      </c>
    </row>
    <row r="12" spans="2:15">
      <c r="E12" t="s">
        <v>61</v>
      </c>
      <c r="F12" s="116">
        <v>0.03</v>
      </c>
      <c r="G12" t="s">
        <v>186</v>
      </c>
      <c r="O12" s="115"/>
    </row>
    <row r="13" spans="2:15">
      <c r="E13" s="33" t="s">
        <v>62</v>
      </c>
      <c r="F13" s="34">
        <f>(F11+F9*F12)</f>
        <v>8.8175000000000003E-2</v>
      </c>
      <c r="G13" t="s">
        <v>78</v>
      </c>
    </row>
    <row r="15" spans="2:15">
      <c r="E15" t="s">
        <v>63</v>
      </c>
      <c r="F15" s="119">
        <v>0.04</v>
      </c>
      <c r="G15" t="s">
        <v>79</v>
      </c>
    </row>
    <row r="16" spans="2:15">
      <c r="E16" s="33" t="s">
        <v>64</v>
      </c>
      <c r="F16" s="34">
        <f>F15*(1-F7)</f>
        <v>0.03</v>
      </c>
      <c r="G16" t="s">
        <v>80</v>
      </c>
    </row>
    <row r="18" spans="5:7" ht="15.75" thickBot="1"/>
    <row r="19" spans="5:7" ht="15.75" thickBot="1">
      <c r="E19" s="55" t="s">
        <v>30</v>
      </c>
      <c r="F19" s="120">
        <f>(F13*(1-F4)+F16*F4)</f>
        <v>4.7452500000000002E-2</v>
      </c>
      <c r="G19" t="s">
        <v>90</v>
      </c>
    </row>
  </sheetData>
  <hyperlinks>
    <hyperlink ref="G8" r:id="rId1" display="http://pages.stern.nyu.edu/~adamodar/New_Home_Page/datafile/Betas.html" xr:uid="{00000000-0004-0000-0100-000000000000}"/>
    <hyperlink ref="K8" r:id="rId2" xr:uid="{00000000-0004-0000-0100-000001000000}"/>
    <hyperlink ref="J11" r:id="rId3" xr:uid="{00000000-0004-0000-0100-000002000000}"/>
  </hyperlinks>
  <pageMargins left="0.7" right="0.7" top="0.75" bottom="0.75" header="0.3" footer="0.3"/>
  <pageSetup paperSize="9" orientation="portrait" horizontalDpi="1200" verticalDpi="12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N59"/>
  <sheetViews>
    <sheetView showGridLines="0" workbookViewId="0"/>
  </sheetViews>
  <sheetFormatPr baseColWidth="10" defaultColWidth="11.42578125" defaultRowHeight="12.75"/>
  <cols>
    <col min="1" max="1" width="11.42578125" style="70"/>
    <col min="2" max="2" width="28.42578125" style="70" bestFit="1" customWidth="1"/>
    <col min="3" max="4" width="14.5703125" style="70" bestFit="1" customWidth="1"/>
    <col min="5" max="5" width="15" style="70" bestFit="1" customWidth="1"/>
    <col min="6" max="6" width="20.140625" style="70" bestFit="1" customWidth="1"/>
    <col min="7" max="8" width="15" style="70" bestFit="1" customWidth="1"/>
    <col min="9" max="9" width="32.5703125" style="70" bestFit="1" customWidth="1"/>
    <col min="10" max="10" width="19.7109375" style="70" bestFit="1" customWidth="1"/>
    <col min="11" max="13" width="15" style="70" bestFit="1" customWidth="1"/>
    <col min="14" max="14" width="19.28515625" style="70" customWidth="1"/>
    <col min="15" max="20" width="15" style="70" bestFit="1" customWidth="1"/>
    <col min="21" max="23" width="14.140625" style="70" bestFit="1" customWidth="1"/>
    <col min="24" max="24" width="14.85546875" style="70" bestFit="1" customWidth="1"/>
    <col min="25" max="39" width="14" style="70" bestFit="1" customWidth="1"/>
    <col min="40" max="16384" width="11.42578125" style="70"/>
  </cols>
  <sheetData>
    <row r="1" spans="2:39" ht="13.5" thickBot="1"/>
    <row r="2" spans="2:39" ht="13.5" thickBot="1">
      <c r="B2" s="71" t="s">
        <v>139</v>
      </c>
      <c r="C2" s="72">
        <v>7.63</v>
      </c>
      <c r="E2" s="71" t="s">
        <v>140</v>
      </c>
      <c r="F2" s="135" t="s">
        <v>221</v>
      </c>
    </row>
    <row r="3" spans="2:39" ht="13.5" thickBot="1">
      <c r="I3" s="73" t="s">
        <v>141</v>
      </c>
      <c r="J3" s="74">
        <v>0.25</v>
      </c>
      <c r="N3" s="114" t="s">
        <v>183</v>
      </c>
    </row>
    <row r="4" spans="2:39" ht="13.5" thickBot="1">
      <c r="B4" s="75" t="s">
        <v>142</v>
      </c>
      <c r="C4" s="76">
        <f>C5/8760</f>
        <v>0.2271689497716895</v>
      </c>
      <c r="I4" s="77" t="s">
        <v>143</v>
      </c>
      <c r="J4" s="78">
        <v>0</v>
      </c>
      <c r="K4" s="79" t="s">
        <v>222</v>
      </c>
    </row>
    <row r="5" spans="2:39" ht="13.5" thickBot="1">
      <c r="B5" s="80" t="s">
        <v>144</v>
      </c>
      <c r="C5" s="81">
        <v>1990</v>
      </c>
      <c r="E5" s="71" t="s">
        <v>145</v>
      </c>
      <c r="F5" s="82">
        <v>0.94948077146179588</v>
      </c>
      <c r="I5" s="83" t="s">
        <v>146</v>
      </c>
      <c r="J5" s="84">
        <v>0</v>
      </c>
      <c r="K5" s="79" t="s">
        <v>222</v>
      </c>
      <c r="N5" s="113" t="s">
        <v>189</v>
      </c>
      <c r="O5" s="113" t="s">
        <v>176</v>
      </c>
    </row>
    <row r="6" spans="2:39" ht="13.5" thickBot="1">
      <c r="N6" s="113" t="s">
        <v>190</v>
      </c>
      <c r="O6" s="113" t="s">
        <v>177</v>
      </c>
    </row>
    <row r="7" spans="2:39" ht="18.75" thickBot="1">
      <c r="I7" s="86" t="s">
        <v>147</v>
      </c>
      <c r="J7" s="87">
        <v>40</v>
      </c>
      <c r="N7" s="113"/>
    </row>
    <row r="8" spans="2:39">
      <c r="B8" s="85" t="s">
        <v>45</v>
      </c>
      <c r="C8" s="88">
        <f>C2*0.66*1000000</f>
        <v>5035800</v>
      </c>
      <c r="N8" s="70" t="s">
        <v>178</v>
      </c>
      <c r="O8" s="113" t="s">
        <v>181</v>
      </c>
    </row>
    <row r="9" spans="2:39">
      <c r="B9" s="89" t="s">
        <v>148</v>
      </c>
      <c r="C9" s="90">
        <f>11500*C2</f>
        <v>87745</v>
      </c>
      <c r="D9" s="70" t="s">
        <v>149</v>
      </c>
    </row>
    <row r="10" spans="2:39">
      <c r="K10" s="91"/>
      <c r="N10" s="70" t="s">
        <v>179</v>
      </c>
      <c r="O10" s="113" t="s">
        <v>180</v>
      </c>
    </row>
    <row r="11" spans="2:39">
      <c r="B11" s="85" t="s">
        <v>150</v>
      </c>
      <c r="C11" s="85">
        <v>20</v>
      </c>
      <c r="K11" s="91"/>
      <c r="N11" s="70" t="s">
        <v>184</v>
      </c>
    </row>
    <row r="12" spans="2:39">
      <c r="B12" s="85" t="s">
        <v>151</v>
      </c>
      <c r="C12" s="85">
        <v>30</v>
      </c>
      <c r="D12" s="70" t="s">
        <v>182</v>
      </c>
      <c r="K12" s="91"/>
    </row>
    <row r="13" spans="2:39">
      <c r="G13" s="91"/>
    </row>
    <row r="14" spans="2:39" ht="25.5">
      <c r="C14" s="92" t="s">
        <v>225</v>
      </c>
      <c r="D14" s="92">
        <v>2026</v>
      </c>
      <c r="E14" s="92">
        <v>2027</v>
      </c>
      <c r="F14" s="92">
        <v>2028</v>
      </c>
      <c r="G14" s="92">
        <v>2029</v>
      </c>
      <c r="H14" s="92">
        <v>2030</v>
      </c>
      <c r="I14" s="92">
        <v>2031</v>
      </c>
      <c r="J14" s="92">
        <v>2032</v>
      </c>
      <c r="K14" s="92">
        <v>2033</v>
      </c>
      <c r="L14" s="92">
        <v>2034</v>
      </c>
      <c r="M14" s="92">
        <v>2035</v>
      </c>
      <c r="N14" s="92">
        <v>2036</v>
      </c>
      <c r="O14" s="92">
        <v>2037</v>
      </c>
      <c r="P14" s="92">
        <v>2038</v>
      </c>
      <c r="Q14" s="92">
        <v>2039</v>
      </c>
      <c r="R14" s="92">
        <v>2040</v>
      </c>
      <c r="S14" s="92">
        <v>2041</v>
      </c>
      <c r="T14" s="92">
        <v>2042</v>
      </c>
      <c r="U14" s="92">
        <v>2043</v>
      </c>
      <c r="V14" s="92">
        <v>2044</v>
      </c>
      <c r="W14" s="92">
        <v>2045</v>
      </c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</row>
    <row r="15" spans="2:39">
      <c r="B15" s="85" t="s">
        <v>140</v>
      </c>
      <c r="C15" s="93"/>
      <c r="D15" s="134">
        <f>'Caso planta PV agro'!I33</f>
        <v>0.98</v>
      </c>
      <c r="E15" s="134">
        <f>'Caso planta PV agro'!J33</f>
        <v>0.97599999999999998</v>
      </c>
      <c r="F15" s="134">
        <f>'Caso planta PV agro'!K33</f>
        <v>0.97199999999999998</v>
      </c>
      <c r="G15" s="134">
        <f>'Caso planta PV agro'!L33</f>
        <v>0.96799999999999997</v>
      </c>
      <c r="H15" s="134">
        <f>'Caso planta PV agro'!M33</f>
        <v>0.96399999999999997</v>
      </c>
      <c r="I15" s="134">
        <f>'Caso planta PV agro'!N33</f>
        <v>0.96</v>
      </c>
      <c r="J15" s="134">
        <f>'Caso planta PV agro'!O33</f>
        <v>0.95599999999999996</v>
      </c>
      <c r="K15" s="134">
        <f>'Caso planta PV agro'!P33</f>
        <v>0.95199999999999996</v>
      </c>
      <c r="L15" s="134">
        <f>'Caso planta PV agro'!Q33</f>
        <v>0.94799999999999995</v>
      </c>
      <c r="M15" s="134">
        <f>'Caso planta PV agro'!R33</f>
        <v>0.94399999999999995</v>
      </c>
      <c r="N15" s="134">
        <f>'Caso planta PV agro'!S33</f>
        <v>0.94</v>
      </c>
      <c r="O15" s="134">
        <f>'Caso planta PV agro'!T33</f>
        <v>0.93599999999999994</v>
      </c>
      <c r="P15" s="134">
        <f>'Caso planta PV agro'!U33</f>
        <v>0.93199999999999994</v>
      </c>
      <c r="Q15" s="134">
        <f>'Caso planta PV agro'!V33</f>
        <v>0.92799999999999994</v>
      </c>
      <c r="R15" s="134">
        <f>'Caso planta PV agro'!W33</f>
        <v>0.92399999999999993</v>
      </c>
      <c r="S15" s="134">
        <f>'Caso planta PV agro'!X33</f>
        <v>0.91999999999999993</v>
      </c>
      <c r="T15" s="134">
        <f>'Caso planta PV agro'!Y33</f>
        <v>0.91599999999999993</v>
      </c>
      <c r="U15" s="134">
        <f>'Caso planta PV agro'!Z33</f>
        <v>0.91199999999999992</v>
      </c>
      <c r="V15" s="134">
        <f>'Caso planta PV agro'!AA33</f>
        <v>0.90799999999999992</v>
      </c>
      <c r="W15" s="134">
        <f>'Caso planta PV agro'!AB33</f>
        <v>0.90400000000000003</v>
      </c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</row>
    <row r="16" spans="2:39">
      <c r="B16" s="85" t="s">
        <v>152</v>
      </c>
      <c r="C16" s="93"/>
      <c r="D16" s="95">
        <f t="shared" ref="D16:W16" si="0">$C$2*$C$5*D15*$F$5</f>
        <v>14128.298565851579</v>
      </c>
      <c r="E16" s="95">
        <f t="shared" si="0"/>
        <v>14070.632041093</v>
      </c>
      <c r="F16" s="95">
        <f t="shared" si="0"/>
        <v>14012.965516334423</v>
      </c>
      <c r="G16" s="95">
        <f t="shared" si="0"/>
        <v>13955.298991575846</v>
      </c>
      <c r="H16" s="95">
        <f t="shared" si="0"/>
        <v>13897.632466817269</v>
      </c>
      <c r="I16" s="95">
        <f t="shared" si="0"/>
        <v>13839.96594205869</v>
      </c>
      <c r="J16" s="95">
        <f t="shared" si="0"/>
        <v>13782.299417300112</v>
      </c>
      <c r="K16" s="95">
        <f t="shared" si="0"/>
        <v>13724.632892541535</v>
      </c>
      <c r="L16" s="95">
        <f t="shared" si="0"/>
        <v>13666.966367782956</v>
      </c>
      <c r="M16" s="95">
        <f t="shared" si="0"/>
        <v>13609.299843024379</v>
      </c>
      <c r="N16" s="95">
        <f t="shared" si="0"/>
        <v>13551.6333182658</v>
      </c>
      <c r="O16" s="95">
        <f t="shared" si="0"/>
        <v>13493.966793507221</v>
      </c>
      <c r="P16" s="95">
        <f t="shared" si="0"/>
        <v>13436.300268748644</v>
      </c>
      <c r="Q16" s="95">
        <f t="shared" si="0"/>
        <v>13378.633743990065</v>
      </c>
      <c r="R16" s="95">
        <f t="shared" si="0"/>
        <v>13320.967219231488</v>
      </c>
      <c r="S16" s="95">
        <f t="shared" si="0"/>
        <v>13263.30069447291</v>
      </c>
      <c r="T16" s="95">
        <f t="shared" si="0"/>
        <v>13205.634169714333</v>
      </c>
      <c r="U16" s="95">
        <f t="shared" si="0"/>
        <v>13147.967644955756</v>
      </c>
      <c r="V16" s="95">
        <f t="shared" si="0"/>
        <v>13090.301120197177</v>
      </c>
      <c r="W16" s="95">
        <f t="shared" si="0"/>
        <v>13032.634595438602</v>
      </c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</row>
    <row r="17" spans="2:40">
      <c r="B17" s="85" t="s">
        <v>153</v>
      </c>
      <c r="C17" s="93"/>
      <c r="D17" s="97">
        <f>C9*(1+D59)</f>
        <v>89412.154999999999</v>
      </c>
      <c r="E17" s="97">
        <f>D17*(1+E59)</f>
        <v>91110.985944999993</v>
      </c>
      <c r="F17" s="97">
        <f t="shared" ref="F17:W17" si="1">E17*(1+F59)</f>
        <v>92933.205663899993</v>
      </c>
      <c r="G17" s="97">
        <f t="shared" si="1"/>
        <v>94791.869777177999</v>
      </c>
      <c r="H17" s="97">
        <f t="shared" si="1"/>
        <v>96687.707172721566</v>
      </c>
      <c r="I17" s="97">
        <f t="shared" si="1"/>
        <v>98621.461316176006</v>
      </c>
      <c r="J17" s="97">
        <f t="shared" si="1"/>
        <v>100603.75268863114</v>
      </c>
      <c r="K17" s="97">
        <f t="shared" si="1"/>
        <v>102625.88811767263</v>
      </c>
      <c r="L17" s="97">
        <f t="shared" si="1"/>
        <v>104688.66846883784</v>
      </c>
      <c r="M17" s="97">
        <f t="shared" si="1"/>
        <v>106792.91070506148</v>
      </c>
      <c r="N17" s="97">
        <f t="shared" si="1"/>
        <v>108939.44821023323</v>
      </c>
      <c r="O17" s="97">
        <f t="shared" si="1"/>
        <v>111129.13111925892</v>
      </c>
      <c r="P17" s="97">
        <f t="shared" si="1"/>
        <v>113362.82665475602</v>
      </c>
      <c r="Q17" s="97">
        <f t="shared" si="1"/>
        <v>115641.41947051662</v>
      </c>
      <c r="R17" s="97">
        <f t="shared" si="1"/>
        <v>117965.812001874</v>
      </c>
      <c r="S17" s="97">
        <f t="shared" si="1"/>
        <v>120336.92482311167</v>
      </c>
      <c r="T17" s="97">
        <f t="shared" si="1"/>
        <v>122755.6970120562</v>
      </c>
      <c r="U17" s="97">
        <f t="shared" si="1"/>
        <v>125223.08652199853</v>
      </c>
      <c r="V17" s="97">
        <f t="shared" si="1"/>
        <v>127740.0705610907</v>
      </c>
      <c r="W17" s="97">
        <f t="shared" si="1"/>
        <v>130307.64597936862</v>
      </c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</row>
    <row r="18" spans="2:40">
      <c r="B18" s="85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</row>
    <row r="19" spans="2:40">
      <c r="B19" s="85" t="s">
        <v>154</v>
      </c>
      <c r="C19" s="93"/>
      <c r="D19" s="99">
        <f>D16*$J$7</f>
        <v>565131.94263406319</v>
      </c>
      <c r="E19" s="99">
        <f t="shared" ref="E19:W19" si="2">E16*$J$7</f>
        <v>562825.28164371999</v>
      </c>
      <c r="F19" s="99">
        <f t="shared" si="2"/>
        <v>560518.62065337691</v>
      </c>
      <c r="G19" s="99">
        <f t="shared" si="2"/>
        <v>558211.95966303383</v>
      </c>
      <c r="H19" s="99">
        <f t="shared" si="2"/>
        <v>555905.29867269075</v>
      </c>
      <c r="I19" s="99">
        <f t="shared" si="2"/>
        <v>553598.63768234756</v>
      </c>
      <c r="J19" s="99">
        <f t="shared" si="2"/>
        <v>551291.97669200448</v>
      </c>
      <c r="K19" s="99">
        <f t="shared" si="2"/>
        <v>548985.3157016614</v>
      </c>
      <c r="L19" s="99">
        <f t="shared" si="2"/>
        <v>546678.6547113182</v>
      </c>
      <c r="M19" s="99">
        <f t="shared" si="2"/>
        <v>544371.99372097512</v>
      </c>
      <c r="N19" s="99">
        <f t="shared" si="2"/>
        <v>542065.33273063204</v>
      </c>
      <c r="O19" s="99">
        <f t="shared" si="2"/>
        <v>539758.67174028885</v>
      </c>
      <c r="P19" s="99">
        <f t="shared" si="2"/>
        <v>537452.01074994577</v>
      </c>
      <c r="Q19" s="99">
        <f t="shared" si="2"/>
        <v>535145.34975960257</v>
      </c>
      <c r="R19" s="99">
        <f t="shared" si="2"/>
        <v>532838.68876925949</v>
      </c>
      <c r="S19" s="99">
        <f t="shared" si="2"/>
        <v>530532.02777891641</v>
      </c>
      <c r="T19" s="99">
        <f t="shared" si="2"/>
        <v>528225.36678857333</v>
      </c>
      <c r="U19" s="99">
        <f t="shared" si="2"/>
        <v>525918.70579823025</v>
      </c>
      <c r="V19" s="99">
        <f t="shared" si="2"/>
        <v>523612.04480788705</v>
      </c>
      <c r="W19" s="99">
        <f t="shared" si="2"/>
        <v>521305.38381754409</v>
      </c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</row>
    <row r="20" spans="2:40">
      <c r="B20" s="85" t="s">
        <v>155</v>
      </c>
      <c r="C20" s="93"/>
      <c r="D20" s="97">
        <f t="shared" ref="D20:W20" si="3">D17</f>
        <v>89412.154999999999</v>
      </c>
      <c r="E20" s="97">
        <f t="shared" si="3"/>
        <v>91110.985944999993</v>
      </c>
      <c r="F20" s="97">
        <f t="shared" si="3"/>
        <v>92933.205663899993</v>
      </c>
      <c r="G20" s="97">
        <f t="shared" si="3"/>
        <v>94791.869777177999</v>
      </c>
      <c r="H20" s="97">
        <f t="shared" si="3"/>
        <v>96687.707172721566</v>
      </c>
      <c r="I20" s="97">
        <f t="shared" si="3"/>
        <v>98621.461316176006</v>
      </c>
      <c r="J20" s="97">
        <f t="shared" si="3"/>
        <v>100603.75268863114</v>
      </c>
      <c r="K20" s="97">
        <f t="shared" si="3"/>
        <v>102625.88811767263</v>
      </c>
      <c r="L20" s="97">
        <f t="shared" si="3"/>
        <v>104688.66846883784</v>
      </c>
      <c r="M20" s="97">
        <f t="shared" si="3"/>
        <v>106792.91070506148</v>
      </c>
      <c r="N20" s="97">
        <f t="shared" si="3"/>
        <v>108939.44821023323</v>
      </c>
      <c r="O20" s="97">
        <f t="shared" si="3"/>
        <v>111129.13111925892</v>
      </c>
      <c r="P20" s="97">
        <f t="shared" si="3"/>
        <v>113362.82665475602</v>
      </c>
      <c r="Q20" s="97">
        <f t="shared" si="3"/>
        <v>115641.41947051662</v>
      </c>
      <c r="R20" s="97">
        <f t="shared" si="3"/>
        <v>117965.812001874</v>
      </c>
      <c r="S20" s="97">
        <f t="shared" si="3"/>
        <v>120336.92482311167</v>
      </c>
      <c r="T20" s="97">
        <f t="shared" si="3"/>
        <v>122755.6970120562</v>
      </c>
      <c r="U20" s="97">
        <f t="shared" si="3"/>
        <v>125223.08652199853</v>
      </c>
      <c r="V20" s="97">
        <f t="shared" si="3"/>
        <v>127740.0705610907</v>
      </c>
      <c r="W20" s="97">
        <f t="shared" si="3"/>
        <v>130307.64597936862</v>
      </c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</row>
    <row r="21" spans="2:40">
      <c r="B21" s="85" t="s">
        <v>156</v>
      </c>
      <c r="C21" s="93"/>
      <c r="D21" s="97">
        <f t="shared" ref="D21:W21" si="4">D16*$J$4</f>
        <v>0</v>
      </c>
      <c r="E21" s="97">
        <f t="shared" si="4"/>
        <v>0</v>
      </c>
      <c r="F21" s="97">
        <f t="shared" si="4"/>
        <v>0</v>
      </c>
      <c r="G21" s="97">
        <f t="shared" si="4"/>
        <v>0</v>
      </c>
      <c r="H21" s="97">
        <f t="shared" si="4"/>
        <v>0</v>
      </c>
      <c r="I21" s="97">
        <f t="shared" si="4"/>
        <v>0</v>
      </c>
      <c r="J21" s="97">
        <f t="shared" si="4"/>
        <v>0</v>
      </c>
      <c r="K21" s="97">
        <f t="shared" si="4"/>
        <v>0</v>
      </c>
      <c r="L21" s="97">
        <f t="shared" si="4"/>
        <v>0</v>
      </c>
      <c r="M21" s="97">
        <f t="shared" si="4"/>
        <v>0</v>
      </c>
      <c r="N21" s="97">
        <f t="shared" si="4"/>
        <v>0</v>
      </c>
      <c r="O21" s="97">
        <f t="shared" si="4"/>
        <v>0</v>
      </c>
      <c r="P21" s="97">
        <f t="shared" si="4"/>
        <v>0</v>
      </c>
      <c r="Q21" s="97">
        <f t="shared" si="4"/>
        <v>0</v>
      </c>
      <c r="R21" s="97">
        <f t="shared" si="4"/>
        <v>0</v>
      </c>
      <c r="S21" s="97">
        <f t="shared" si="4"/>
        <v>0</v>
      </c>
      <c r="T21" s="97">
        <f t="shared" si="4"/>
        <v>0</v>
      </c>
      <c r="U21" s="97">
        <f t="shared" si="4"/>
        <v>0</v>
      </c>
      <c r="V21" s="97">
        <f t="shared" si="4"/>
        <v>0</v>
      </c>
      <c r="W21" s="97">
        <f t="shared" si="4"/>
        <v>0</v>
      </c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</row>
    <row r="22" spans="2:40">
      <c r="B22" s="85" t="s">
        <v>157</v>
      </c>
      <c r="C22" s="93"/>
      <c r="D22" s="97">
        <f>D19*$J$5</f>
        <v>0</v>
      </c>
      <c r="E22" s="97">
        <f t="shared" ref="E22:W22" si="5">E19*$J$5</f>
        <v>0</v>
      </c>
      <c r="F22" s="97">
        <f t="shared" si="5"/>
        <v>0</v>
      </c>
      <c r="G22" s="97">
        <f t="shared" si="5"/>
        <v>0</v>
      </c>
      <c r="H22" s="97">
        <f t="shared" si="5"/>
        <v>0</v>
      </c>
      <c r="I22" s="97">
        <f t="shared" si="5"/>
        <v>0</v>
      </c>
      <c r="J22" s="97">
        <f t="shared" si="5"/>
        <v>0</v>
      </c>
      <c r="K22" s="97">
        <f t="shared" si="5"/>
        <v>0</v>
      </c>
      <c r="L22" s="97">
        <f t="shared" si="5"/>
        <v>0</v>
      </c>
      <c r="M22" s="97">
        <f t="shared" si="5"/>
        <v>0</v>
      </c>
      <c r="N22" s="97">
        <f t="shared" si="5"/>
        <v>0</v>
      </c>
      <c r="O22" s="97">
        <f t="shared" si="5"/>
        <v>0</v>
      </c>
      <c r="P22" s="97">
        <f t="shared" si="5"/>
        <v>0</v>
      </c>
      <c r="Q22" s="97">
        <f t="shared" si="5"/>
        <v>0</v>
      </c>
      <c r="R22" s="97">
        <f t="shared" si="5"/>
        <v>0</v>
      </c>
      <c r="S22" s="97">
        <f t="shared" si="5"/>
        <v>0</v>
      </c>
      <c r="T22" s="97">
        <f t="shared" si="5"/>
        <v>0</v>
      </c>
      <c r="U22" s="97">
        <f t="shared" si="5"/>
        <v>0</v>
      </c>
      <c r="V22" s="97">
        <f t="shared" si="5"/>
        <v>0</v>
      </c>
      <c r="W22" s="97">
        <f t="shared" si="5"/>
        <v>0</v>
      </c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</row>
    <row r="23" spans="2:40">
      <c r="B23" s="85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</row>
    <row r="24" spans="2:40">
      <c r="B24" s="85" t="s">
        <v>158</v>
      </c>
      <c r="C24" s="93"/>
      <c r="D24" s="97">
        <f>D19-D20-D21-D22</f>
        <v>475719.78763406316</v>
      </c>
      <c r="E24" s="97">
        <f t="shared" ref="E24:W24" si="6">E19-E20-E21-E22</f>
        <v>471714.29569872003</v>
      </c>
      <c r="F24" s="97">
        <f t="shared" si="6"/>
        <v>467585.41498947691</v>
      </c>
      <c r="G24" s="97">
        <f t="shared" si="6"/>
        <v>463420.08988585585</v>
      </c>
      <c r="H24" s="97">
        <f t="shared" si="6"/>
        <v>459217.59149996919</v>
      </c>
      <c r="I24" s="97">
        <f t="shared" si="6"/>
        <v>454977.17636617157</v>
      </c>
      <c r="J24" s="97">
        <f t="shared" si="6"/>
        <v>450688.22400337335</v>
      </c>
      <c r="K24" s="97">
        <f t="shared" si="6"/>
        <v>446359.42758398876</v>
      </c>
      <c r="L24" s="97">
        <f t="shared" si="6"/>
        <v>441989.98624248034</v>
      </c>
      <c r="M24" s="97">
        <f t="shared" si="6"/>
        <v>437579.08301591361</v>
      </c>
      <c r="N24" s="97">
        <f t="shared" si="6"/>
        <v>433125.8845203988</v>
      </c>
      <c r="O24" s="97">
        <f t="shared" si="6"/>
        <v>428629.54062102991</v>
      </c>
      <c r="P24" s="97">
        <f t="shared" si="6"/>
        <v>424089.18409518973</v>
      </c>
      <c r="Q24" s="97">
        <f t="shared" si="6"/>
        <v>419503.93028908595</v>
      </c>
      <c r="R24" s="97">
        <f t="shared" si="6"/>
        <v>414872.87676738552</v>
      </c>
      <c r="S24" s="97">
        <f t="shared" si="6"/>
        <v>410195.10295580473</v>
      </c>
      <c r="T24" s="97">
        <f t="shared" si="6"/>
        <v>405469.66977651714</v>
      </c>
      <c r="U24" s="97">
        <f t="shared" si="6"/>
        <v>400695.61927623174</v>
      </c>
      <c r="V24" s="97">
        <f t="shared" si="6"/>
        <v>395871.97424679634</v>
      </c>
      <c r="W24" s="97">
        <f t="shared" si="6"/>
        <v>390997.7378381755</v>
      </c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</row>
    <row r="25" spans="2:40">
      <c r="B25" s="85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</row>
    <row r="26" spans="2:40">
      <c r="B26" s="85" t="s">
        <v>159</v>
      </c>
      <c r="C26" s="93"/>
      <c r="D26" s="97">
        <f t="shared" ref="D26:W26" si="7">$C$8/$C$11</f>
        <v>251790</v>
      </c>
      <c r="E26" s="97">
        <f t="shared" si="7"/>
        <v>251790</v>
      </c>
      <c r="F26" s="97">
        <f t="shared" si="7"/>
        <v>251790</v>
      </c>
      <c r="G26" s="97">
        <f t="shared" si="7"/>
        <v>251790</v>
      </c>
      <c r="H26" s="97">
        <f t="shared" si="7"/>
        <v>251790</v>
      </c>
      <c r="I26" s="97">
        <f t="shared" si="7"/>
        <v>251790</v>
      </c>
      <c r="J26" s="97">
        <f t="shared" si="7"/>
        <v>251790</v>
      </c>
      <c r="K26" s="97">
        <f t="shared" si="7"/>
        <v>251790</v>
      </c>
      <c r="L26" s="97">
        <f t="shared" si="7"/>
        <v>251790</v>
      </c>
      <c r="M26" s="97">
        <f t="shared" si="7"/>
        <v>251790</v>
      </c>
      <c r="N26" s="97">
        <f t="shared" si="7"/>
        <v>251790</v>
      </c>
      <c r="O26" s="97">
        <f t="shared" si="7"/>
        <v>251790</v>
      </c>
      <c r="P26" s="97">
        <f t="shared" si="7"/>
        <v>251790</v>
      </c>
      <c r="Q26" s="97">
        <f t="shared" si="7"/>
        <v>251790</v>
      </c>
      <c r="R26" s="97">
        <f t="shared" si="7"/>
        <v>251790</v>
      </c>
      <c r="S26" s="97">
        <f t="shared" si="7"/>
        <v>251790</v>
      </c>
      <c r="T26" s="97">
        <f t="shared" si="7"/>
        <v>251790</v>
      </c>
      <c r="U26" s="97">
        <f t="shared" si="7"/>
        <v>251790</v>
      </c>
      <c r="V26" s="97">
        <f t="shared" si="7"/>
        <v>251790</v>
      </c>
      <c r="W26" s="97">
        <f t="shared" si="7"/>
        <v>251790</v>
      </c>
      <c r="X26" s="98">
        <f>SUM(D26:W26)</f>
        <v>5035800</v>
      </c>
      <c r="Y26" s="98" t="str">
        <f>IF(X26=C8,"OK","Revisar")</f>
        <v>OK</v>
      </c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</row>
    <row r="27" spans="2:40">
      <c r="B27" s="85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</row>
    <row r="28" spans="2:40">
      <c r="B28" s="85" t="s">
        <v>160</v>
      </c>
      <c r="C28" s="93"/>
      <c r="D28" s="97">
        <f>D24-D26</f>
        <v>223929.78763406316</v>
      </c>
      <c r="E28" s="97">
        <f t="shared" ref="E28:W28" si="8">E24-E26</f>
        <v>219924.29569872003</v>
      </c>
      <c r="F28" s="97">
        <f t="shared" si="8"/>
        <v>215795.41498947691</v>
      </c>
      <c r="G28" s="97">
        <f t="shared" si="8"/>
        <v>211630.08988585585</v>
      </c>
      <c r="H28" s="97">
        <f t="shared" si="8"/>
        <v>207427.59149996919</v>
      </c>
      <c r="I28" s="97">
        <f t="shared" si="8"/>
        <v>203187.17636617157</v>
      </c>
      <c r="J28" s="97">
        <f t="shared" si="8"/>
        <v>198898.22400337335</v>
      </c>
      <c r="K28" s="97">
        <f t="shared" si="8"/>
        <v>194569.42758398876</v>
      </c>
      <c r="L28" s="97">
        <f t="shared" si="8"/>
        <v>190199.98624248034</v>
      </c>
      <c r="M28" s="97">
        <f t="shared" si="8"/>
        <v>185789.08301591361</v>
      </c>
      <c r="N28" s="97">
        <f t="shared" si="8"/>
        <v>181335.8845203988</v>
      </c>
      <c r="O28" s="97">
        <f t="shared" si="8"/>
        <v>176839.54062102991</v>
      </c>
      <c r="P28" s="97">
        <f t="shared" si="8"/>
        <v>172299.18409518973</v>
      </c>
      <c r="Q28" s="97">
        <f t="shared" si="8"/>
        <v>167713.93028908595</v>
      </c>
      <c r="R28" s="97">
        <f t="shared" si="8"/>
        <v>163082.87676738552</v>
      </c>
      <c r="S28" s="97">
        <f t="shared" si="8"/>
        <v>158405.10295580473</v>
      </c>
      <c r="T28" s="97">
        <f t="shared" si="8"/>
        <v>153679.66977651714</v>
      </c>
      <c r="U28" s="97">
        <f t="shared" si="8"/>
        <v>148905.61927623174</v>
      </c>
      <c r="V28" s="97">
        <f t="shared" si="8"/>
        <v>144081.97424679634</v>
      </c>
      <c r="W28" s="97">
        <f t="shared" si="8"/>
        <v>139207.7378381755</v>
      </c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</row>
    <row r="29" spans="2:40">
      <c r="B29" s="85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</row>
    <row r="30" spans="2:40">
      <c r="B30" s="85" t="s">
        <v>161</v>
      </c>
      <c r="C30" s="93"/>
      <c r="D30" s="97">
        <f t="shared" ref="D30:W30" si="9">D28*$J$3</f>
        <v>55982.446908515791</v>
      </c>
      <c r="E30" s="97">
        <f t="shared" si="9"/>
        <v>54981.073924680008</v>
      </c>
      <c r="F30" s="97">
        <f t="shared" si="9"/>
        <v>53948.853747369227</v>
      </c>
      <c r="G30" s="97">
        <f t="shared" si="9"/>
        <v>52907.522471463963</v>
      </c>
      <c r="H30" s="97">
        <f t="shared" si="9"/>
        <v>51856.897874992297</v>
      </c>
      <c r="I30" s="97">
        <f t="shared" si="9"/>
        <v>50796.794091542892</v>
      </c>
      <c r="J30" s="97">
        <f t="shared" si="9"/>
        <v>49724.556000843339</v>
      </c>
      <c r="K30" s="97">
        <f t="shared" si="9"/>
        <v>48642.356895997189</v>
      </c>
      <c r="L30" s="97">
        <f t="shared" si="9"/>
        <v>47549.996560620086</v>
      </c>
      <c r="M30" s="97">
        <f t="shared" si="9"/>
        <v>46447.270753978402</v>
      </c>
      <c r="N30" s="97">
        <f t="shared" si="9"/>
        <v>45333.971130099701</v>
      </c>
      <c r="O30" s="97">
        <f t="shared" si="9"/>
        <v>44209.885155257478</v>
      </c>
      <c r="P30" s="97">
        <f t="shared" si="9"/>
        <v>43074.796023797433</v>
      </c>
      <c r="Q30" s="97">
        <f t="shared" si="9"/>
        <v>41928.482572271489</v>
      </c>
      <c r="R30" s="97">
        <f t="shared" si="9"/>
        <v>40770.71919184638</v>
      </c>
      <c r="S30" s="97">
        <f t="shared" si="9"/>
        <v>39601.275738951183</v>
      </c>
      <c r="T30" s="97">
        <f t="shared" si="9"/>
        <v>38419.917444129285</v>
      </c>
      <c r="U30" s="97">
        <f t="shared" si="9"/>
        <v>37226.404819057934</v>
      </c>
      <c r="V30" s="97">
        <f t="shared" si="9"/>
        <v>36020.493561699084</v>
      </c>
      <c r="W30" s="97">
        <f t="shared" si="9"/>
        <v>34801.934459543874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</row>
    <row r="31" spans="2:40">
      <c r="B31" s="85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</row>
    <row r="32" spans="2:40">
      <c r="B32" s="85" t="s">
        <v>162</v>
      </c>
      <c r="C32" s="93"/>
      <c r="D32" s="97">
        <f>D28-D30</f>
        <v>167947.34072554737</v>
      </c>
      <c r="E32" s="97">
        <f t="shared" ref="E32:W32" si="10">E28-E30</f>
        <v>164943.22177404002</v>
      </c>
      <c r="F32" s="97">
        <f t="shared" si="10"/>
        <v>161846.56124210768</v>
      </c>
      <c r="G32" s="97">
        <f t="shared" si="10"/>
        <v>158722.5674143919</v>
      </c>
      <c r="H32" s="97">
        <f t="shared" si="10"/>
        <v>155570.69362497691</v>
      </c>
      <c r="I32" s="97">
        <f t="shared" si="10"/>
        <v>152390.38227462868</v>
      </c>
      <c r="J32" s="97">
        <f t="shared" si="10"/>
        <v>149173.66800253</v>
      </c>
      <c r="K32" s="97">
        <f t="shared" si="10"/>
        <v>145927.07068799157</v>
      </c>
      <c r="L32" s="97">
        <f t="shared" si="10"/>
        <v>142649.98968186026</v>
      </c>
      <c r="M32" s="97">
        <f t="shared" si="10"/>
        <v>139341.81226193521</v>
      </c>
      <c r="N32" s="97">
        <f t="shared" si="10"/>
        <v>136001.9133902991</v>
      </c>
      <c r="O32" s="97">
        <f t="shared" si="10"/>
        <v>132629.65546577243</v>
      </c>
      <c r="P32" s="97">
        <f t="shared" si="10"/>
        <v>129224.3880713923</v>
      </c>
      <c r="Q32" s="97">
        <f t="shared" si="10"/>
        <v>125785.44771681447</v>
      </c>
      <c r="R32" s="97">
        <f t="shared" si="10"/>
        <v>122312.15757553914</v>
      </c>
      <c r="S32" s="97">
        <f t="shared" si="10"/>
        <v>118803.82721685355</v>
      </c>
      <c r="T32" s="97">
        <f t="shared" si="10"/>
        <v>115259.75233238786</v>
      </c>
      <c r="U32" s="97">
        <f t="shared" si="10"/>
        <v>111679.2144571738</v>
      </c>
      <c r="V32" s="97">
        <f t="shared" si="10"/>
        <v>108061.48068509725</v>
      </c>
      <c r="W32" s="97">
        <f t="shared" si="10"/>
        <v>104405.80337863162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</row>
    <row r="33" spans="2:39">
      <c r="B33" s="85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</row>
    <row r="34" spans="2:39">
      <c r="B34" s="85" t="s">
        <v>163</v>
      </c>
      <c r="C34" s="97">
        <f>-C8</f>
        <v>-5035800</v>
      </c>
      <c r="D34" s="97">
        <f>D32+D26</f>
        <v>419737.3407255474</v>
      </c>
      <c r="E34" s="97">
        <f t="shared" ref="E34:W34" si="11">E32+E26</f>
        <v>416733.22177404002</v>
      </c>
      <c r="F34" s="97">
        <f t="shared" si="11"/>
        <v>413636.56124210765</v>
      </c>
      <c r="G34" s="97">
        <f t="shared" si="11"/>
        <v>410512.5674143919</v>
      </c>
      <c r="H34" s="97">
        <f t="shared" si="11"/>
        <v>407360.69362497691</v>
      </c>
      <c r="I34" s="97">
        <f t="shared" si="11"/>
        <v>404180.38227462868</v>
      </c>
      <c r="J34" s="97">
        <f t="shared" si="11"/>
        <v>400963.66800253</v>
      </c>
      <c r="K34" s="97">
        <f t="shared" si="11"/>
        <v>397717.07068799157</v>
      </c>
      <c r="L34" s="97">
        <f t="shared" si="11"/>
        <v>394439.98968186026</v>
      </c>
      <c r="M34" s="97">
        <f t="shared" si="11"/>
        <v>391131.81226193521</v>
      </c>
      <c r="N34" s="97">
        <f t="shared" si="11"/>
        <v>387791.91339029907</v>
      </c>
      <c r="O34" s="97">
        <f t="shared" si="11"/>
        <v>384419.65546577243</v>
      </c>
      <c r="P34" s="97">
        <f t="shared" si="11"/>
        <v>381014.38807139231</v>
      </c>
      <c r="Q34" s="97">
        <f t="shared" si="11"/>
        <v>377575.44771681447</v>
      </c>
      <c r="R34" s="97">
        <f t="shared" si="11"/>
        <v>374102.15757553914</v>
      </c>
      <c r="S34" s="97">
        <f t="shared" si="11"/>
        <v>370593.82721685356</v>
      </c>
      <c r="T34" s="97">
        <f t="shared" si="11"/>
        <v>367049.75233238784</v>
      </c>
      <c r="U34" s="97">
        <f t="shared" si="11"/>
        <v>363469.21445717383</v>
      </c>
      <c r="V34" s="97">
        <f t="shared" si="11"/>
        <v>359851.48068509728</v>
      </c>
      <c r="W34" s="97">
        <f t="shared" si="11"/>
        <v>356195.80337863159</v>
      </c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</row>
    <row r="35" spans="2:39" ht="13.5" thickBot="1"/>
    <row r="36" spans="2:39" ht="13.5" thickBot="1">
      <c r="B36" s="71" t="s">
        <v>164</v>
      </c>
      <c r="C36" s="100">
        <f>IRR(C34:W34)</f>
        <v>4.7022609374403723E-2</v>
      </c>
    </row>
    <row r="37" spans="2:39" ht="13.5" thickBot="1"/>
    <row r="38" spans="2:39">
      <c r="B38" s="75" t="s">
        <v>165</v>
      </c>
      <c r="C38" s="101">
        <v>0.8</v>
      </c>
      <c r="E38" s="102">
        <f>C8*C38</f>
        <v>4028640</v>
      </c>
      <c r="F38" s="85" t="s">
        <v>166</v>
      </c>
    </row>
    <row r="39" spans="2:39">
      <c r="B39" s="103" t="s">
        <v>167</v>
      </c>
      <c r="C39" s="104">
        <v>18</v>
      </c>
      <c r="E39" s="102">
        <f>C8*(1-C38)</f>
        <v>1007159.9999999998</v>
      </c>
      <c r="F39" s="85" t="s">
        <v>168</v>
      </c>
    </row>
    <row r="40" spans="2:39" ht="13.5" thickBot="1">
      <c r="B40" s="80" t="s">
        <v>64</v>
      </c>
      <c r="C40" s="105">
        <v>0.04</v>
      </c>
    </row>
    <row r="42" spans="2:39" ht="25.5">
      <c r="C42" s="92" t="s">
        <v>225</v>
      </c>
      <c r="D42" s="92">
        <v>2026</v>
      </c>
      <c r="E42" s="92">
        <v>2027</v>
      </c>
      <c r="F42" s="92">
        <v>2028</v>
      </c>
      <c r="G42" s="92">
        <v>2029</v>
      </c>
      <c r="H42" s="92">
        <v>2030</v>
      </c>
      <c r="I42" s="92">
        <v>2031</v>
      </c>
      <c r="J42" s="92">
        <v>2032</v>
      </c>
      <c r="K42" s="92">
        <v>2033</v>
      </c>
      <c r="L42" s="92">
        <v>2034</v>
      </c>
      <c r="M42" s="92">
        <v>2035</v>
      </c>
      <c r="N42" s="92">
        <v>2036</v>
      </c>
      <c r="O42" s="92">
        <v>2037</v>
      </c>
      <c r="P42" s="92">
        <v>2038</v>
      </c>
      <c r="Q42" s="92">
        <v>2039</v>
      </c>
      <c r="R42" s="92">
        <v>2040</v>
      </c>
      <c r="S42" s="92">
        <v>2041</v>
      </c>
      <c r="T42" s="92">
        <v>2042</v>
      </c>
      <c r="U42" s="92">
        <v>2043</v>
      </c>
      <c r="V42" s="92">
        <v>2044</v>
      </c>
      <c r="W42" s="92">
        <v>2045</v>
      </c>
    </row>
    <row r="43" spans="2:39">
      <c r="B43" s="85"/>
      <c r="C43" s="85"/>
      <c r="D43" s="85">
        <v>1</v>
      </c>
      <c r="E43" s="85">
        <v>2</v>
      </c>
      <c r="F43" s="85">
        <v>3</v>
      </c>
      <c r="G43" s="85">
        <v>4</v>
      </c>
      <c r="H43" s="85">
        <v>5</v>
      </c>
      <c r="I43" s="85">
        <v>6</v>
      </c>
      <c r="J43" s="85">
        <v>7</v>
      </c>
      <c r="K43" s="85">
        <v>8</v>
      </c>
      <c r="L43" s="85">
        <v>9</v>
      </c>
      <c r="M43" s="85">
        <v>10</v>
      </c>
      <c r="N43" s="85">
        <v>11</v>
      </c>
      <c r="O43" s="85">
        <v>12</v>
      </c>
      <c r="P43" s="85">
        <v>13</v>
      </c>
      <c r="Q43" s="85">
        <v>14</v>
      </c>
      <c r="R43" s="85">
        <v>15</v>
      </c>
      <c r="S43" s="85">
        <v>16</v>
      </c>
      <c r="T43" s="85">
        <v>17</v>
      </c>
      <c r="U43" s="85">
        <v>18</v>
      </c>
      <c r="V43" s="85">
        <v>19</v>
      </c>
      <c r="W43" s="85">
        <v>20</v>
      </c>
    </row>
    <row r="44" spans="2:39">
      <c r="B44" s="85" t="str">
        <f>B28</f>
        <v>EBIT (€)</v>
      </c>
      <c r="C44" s="85"/>
      <c r="D44" s="102">
        <f t="shared" ref="D44:W44" si="12">D28</f>
        <v>223929.78763406316</v>
      </c>
      <c r="E44" s="102">
        <f t="shared" si="12"/>
        <v>219924.29569872003</v>
      </c>
      <c r="F44" s="102">
        <f t="shared" si="12"/>
        <v>215795.41498947691</v>
      </c>
      <c r="G44" s="102">
        <f t="shared" si="12"/>
        <v>211630.08988585585</v>
      </c>
      <c r="H44" s="102">
        <f t="shared" si="12"/>
        <v>207427.59149996919</v>
      </c>
      <c r="I44" s="102">
        <f t="shared" si="12"/>
        <v>203187.17636617157</v>
      </c>
      <c r="J44" s="102">
        <f t="shared" si="12"/>
        <v>198898.22400337335</v>
      </c>
      <c r="K44" s="102">
        <f t="shared" si="12"/>
        <v>194569.42758398876</v>
      </c>
      <c r="L44" s="102">
        <f t="shared" si="12"/>
        <v>190199.98624248034</v>
      </c>
      <c r="M44" s="102">
        <f t="shared" si="12"/>
        <v>185789.08301591361</v>
      </c>
      <c r="N44" s="102">
        <f t="shared" si="12"/>
        <v>181335.8845203988</v>
      </c>
      <c r="O44" s="102">
        <f t="shared" si="12"/>
        <v>176839.54062102991</v>
      </c>
      <c r="P44" s="102">
        <f t="shared" si="12"/>
        <v>172299.18409518973</v>
      </c>
      <c r="Q44" s="102">
        <f t="shared" si="12"/>
        <v>167713.93028908595</v>
      </c>
      <c r="R44" s="102">
        <f t="shared" si="12"/>
        <v>163082.87676738552</v>
      </c>
      <c r="S44" s="102">
        <f t="shared" si="12"/>
        <v>158405.10295580473</v>
      </c>
      <c r="T44" s="102">
        <f t="shared" si="12"/>
        <v>153679.66977651714</v>
      </c>
      <c r="U44" s="102">
        <f t="shared" si="12"/>
        <v>148905.61927623174</v>
      </c>
      <c r="V44" s="102">
        <f t="shared" si="12"/>
        <v>144081.97424679634</v>
      </c>
      <c r="W44" s="102">
        <f t="shared" si="12"/>
        <v>139207.7378381755</v>
      </c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</row>
    <row r="45" spans="2:39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</row>
    <row r="46" spans="2:39">
      <c r="B46" s="85" t="s">
        <v>169</v>
      </c>
      <c r="C46" s="85"/>
      <c r="D46" s="106">
        <f t="shared" ref="D46:S46" si="13">IPMT($C$40,D43,$C$39,$E$38)</f>
        <v>-161145.60000000001</v>
      </c>
      <c r="E46" s="106">
        <f t="shared" si="13"/>
        <v>-154861.99674018947</v>
      </c>
      <c r="F46" s="106">
        <f t="shared" si="13"/>
        <v>-148327.04934998657</v>
      </c>
      <c r="G46" s="106">
        <f t="shared" si="13"/>
        <v>-141530.70406417552</v>
      </c>
      <c r="H46" s="106">
        <f t="shared" si="13"/>
        <v>-134462.50496693203</v>
      </c>
      <c r="I46" s="106">
        <f t="shared" si="13"/>
        <v>-127111.5779057988</v>
      </c>
      <c r="J46" s="106">
        <f t="shared" si="13"/>
        <v>-119466.61376222022</v>
      </c>
      <c r="K46" s="106">
        <f t="shared" si="13"/>
        <v>-111515.85105289851</v>
      </c>
      <c r="L46" s="106">
        <f t="shared" si="13"/>
        <v>-103247.05783520393</v>
      </c>
      <c r="M46" s="106">
        <f t="shared" si="13"/>
        <v>-94647.51288880159</v>
      </c>
      <c r="N46" s="106">
        <f t="shared" si="13"/>
        <v>-85703.986144543131</v>
      </c>
      <c r="O46" s="106">
        <f t="shared" si="13"/>
        <v>-76402.718330514341</v>
      </c>
      <c r="P46" s="106">
        <f t="shared" si="13"/>
        <v>-66729.399803924403</v>
      </c>
      <c r="Q46" s="106">
        <f t="shared" si="13"/>
        <v>-56669.14853627087</v>
      </c>
      <c r="R46" s="106">
        <f t="shared" si="13"/>
        <v>-46206.487217911192</v>
      </c>
      <c r="S46" s="106">
        <f t="shared" si="13"/>
        <v>-35325.319446817128</v>
      </c>
      <c r="T46" s="106"/>
      <c r="U46" s="106"/>
      <c r="V46" s="106"/>
      <c r="W46" s="106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7"/>
    </row>
    <row r="47" spans="2:39">
      <c r="B47" s="85" t="s">
        <v>170</v>
      </c>
      <c r="C47" s="85"/>
      <c r="D47" s="106">
        <f t="shared" ref="D47:S47" si="14">PPMT($C$40,D43,$C$39,$E$38)</f>
        <v>-157090.08149526283</v>
      </c>
      <c r="E47" s="106">
        <f t="shared" si="14"/>
        <v>-163373.68475507334</v>
      </c>
      <c r="F47" s="106">
        <f t="shared" si="14"/>
        <v>-169908.63214527629</v>
      </c>
      <c r="G47" s="106">
        <f t="shared" si="14"/>
        <v>-176704.97743108735</v>
      </c>
      <c r="H47" s="106">
        <f t="shared" si="14"/>
        <v>-183773.17652833083</v>
      </c>
      <c r="I47" s="106">
        <f t="shared" si="14"/>
        <v>-191124.10358946407</v>
      </c>
      <c r="J47" s="106">
        <f t="shared" si="14"/>
        <v>-198769.06773304264</v>
      </c>
      <c r="K47" s="106">
        <f t="shared" si="14"/>
        <v>-206719.83044236433</v>
      </c>
      <c r="L47" s="106">
        <f t="shared" si="14"/>
        <v>-214988.62366005892</v>
      </c>
      <c r="M47" s="106">
        <f t="shared" si="14"/>
        <v>-223588.16860646126</v>
      </c>
      <c r="N47" s="106">
        <f t="shared" si="14"/>
        <v>-232531.6953507197</v>
      </c>
      <c r="O47" s="106">
        <f t="shared" si="14"/>
        <v>-241832.96316474848</v>
      </c>
      <c r="P47" s="106">
        <f t="shared" si="14"/>
        <v>-251506.28169133843</v>
      </c>
      <c r="Q47" s="106">
        <f t="shared" si="14"/>
        <v>-261566.53295899197</v>
      </c>
      <c r="R47" s="106">
        <f t="shared" si="14"/>
        <v>-272029.19427735166</v>
      </c>
      <c r="S47" s="106">
        <f t="shared" si="14"/>
        <v>-282910.36204844574</v>
      </c>
      <c r="T47" s="106"/>
      <c r="U47" s="106"/>
      <c r="V47" s="106"/>
      <c r="W47" s="106"/>
      <c r="X47" s="107">
        <f>ABS(SUM(D47:W47))</f>
        <v>3428417.3758780179</v>
      </c>
      <c r="Y47" s="98" t="str">
        <f>IF(X47=E38,"OK","Revisar")</f>
        <v>Revisar</v>
      </c>
    </row>
    <row r="48" spans="2:39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</row>
    <row r="49" spans="2:39">
      <c r="B49" s="85" t="s">
        <v>161</v>
      </c>
      <c r="C49" s="85"/>
      <c r="D49" s="102">
        <f t="shared" ref="D49:W49" si="15">IF((D44+D46)*$J$3&lt;0,0,(D44+D46)*$J$3)</f>
        <v>15696.046908515789</v>
      </c>
      <c r="E49" s="102">
        <f t="shared" si="15"/>
        <v>16265.574739632641</v>
      </c>
      <c r="F49" s="102">
        <f t="shared" si="15"/>
        <v>16867.091409872584</v>
      </c>
      <c r="G49" s="102">
        <f t="shared" si="15"/>
        <v>17524.846455420084</v>
      </c>
      <c r="H49" s="102">
        <f t="shared" si="15"/>
        <v>18241.27163325929</v>
      </c>
      <c r="I49" s="102">
        <f t="shared" si="15"/>
        <v>19018.899615093193</v>
      </c>
      <c r="J49" s="102">
        <f t="shared" si="15"/>
        <v>19857.902560288283</v>
      </c>
      <c r="K49" s="102">
        <f t="shared" si="15"/>
        <v>20763.394132772562</v>
      </c>
      <c r="L49" s="102">
        <f t="shared" si="15"/>
        <v>21738.232101819103</v>
      </c>
      <c r="M49" s="102">
        <f t="shared" si="15"/>
        <v>22785.392531778005</v>
      </c>
      <c r="N49" s="102">
        <f t="shared" si="15"/>
        <v>23907.974593963918</v>
      </c>
      <c r="O49" s="102">
        <f t="shared" si="15"/>
        <v>25109.205572628893</v>
      </c>
      <c r="P49" s="102">
        <f t="shared" si="15"/>
        <v>26392.446072816332</v>
      </c>
      <c r="Q49" s="102">
        <f t="shared" si="15"/>
        <v>27761.195438203773</v>
      </c>
      <c r="R49" s="102">
        <f t="shared" si="15"/>
        <v>29219.09738736858</v>
      </c>
      <c r="S49" s="102">
        <f t="shared" si="15"/>
        <v>30769.945877246901</v>
      </c>
      <c r="T49" s="102">
        <f t="shared" si="15"/>
        <v>38419.917444129285</v>
      </c>
      <c r="U49" s="102">
        <f t="shared" si="15"/>
        <v>37226.404819057934</v>
      </c>
      <c r="V49" s="102">
        <f t="shared" si="15"/>
        <v>36020.493561699084</v>
      </c>
      <c r="W49" s="102">
        <f t="shared" si="15"/>
        <v>34801.934459543874</v>
      </c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</row>
    <row r="50" spans="2:39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</row>
    <row r="51" spans="2:39">
      <c r="B51" s="85" t="s">
        <v>162</v>
      </c>
      <c r="C51" s="85"/>
      <c r="D51" s="102">
        <f>D44+D46-D49</f>
        <v>47088.140725547368</v>
      </c>
      <c r="E51" s="102">
        <f t="shared" ref="E51:W51" si="16">E44+E46-E49</f>
        <v>48796.724218897922</v>
      </c>
      <c r="F51" s="102">
        <f t="shared" si="16"/>
        <v>50601.274229617753</v>
      </c>
      <c r="G51" s="102">
        <f t="shared" si="16"/>
        <v>52574.539366260251</v>
      </c>
      <c r="H51" s="102">
        <f t="shared" si="16"/>
        <v>54723.81489977787</v>
      </c>
      <c r="I51" s="102">
        <f t="shared" si="16"/>
        <v>57056.698845279578</v>
      </c>
      <c r="J51" s="102">
        <f t="shared" si="16"/>
        <v>59573.707680864849</v>
      </c>
      <c r="K51" s="102">
        <f t="shared" si="16"/>
        <v>62290.182398317687</v>
      </c>
      <c r="L51" s="102">
        <f t="shared" si="16"/>
        <v>65214.696305457313</v>
      </c>
      <c r="M51" s="102">
        <f t="shared" si="16"/>
        <v>68356.177595334011</v>
      </c>
      <c r="N51" s="102">
        <f t="shared" si="16"/>
        <v>71723.923781891761</v>
      </c>
      <c r="O51" s="102">
        <f t="shared" si="16"/>
        <v>75327.616717886674</v>
      </c>
      <c r="P51" s="102">
        <f t="shared" si="16"/>
        <v>79177.338218449004</v>
      </c>
      <c r="Q51" s="102">
        <f t="shared" si="16"/>
        <v>83283.586314611312</v>
      </c>
      <c r="R51" s="102">
        <f t="shared" si="16"/>
        <v>87657.292162105732</v>
      </c>
      <c r="S51" s="102">
        <f t="shared" si="16"/>
        <v>92309.837631740695</v>
      </c>
      <c r="T51" s="102">
        <f t="shared" si="16"/>
        <v>115259.75233238786</v>
      </c>
      <c r="U51" s="102">
        <f t="shared" si="16"/>
        <v>111679.2144571738</v>
      </c>
      <c r="V51" s="102">
        <f t="shared" si="16"/>
        <v>108061.48068509725</v>
      </c>
      <c r="W51" s="102">
        <f t="shared" si="16"/>
        <v>104405.80337863162</v>
      </c>
      <c r="Y51" s="98"/>
      <c r="Z51" s="98"/>
      <c r="AA51" s="98"/>
      <c r="AB51" s="98"/>
      <c r="AC51" s="98"/>
      <c r="AD51" s="98"/>
      <c r="AE51" s="98"/>
      <c r="AF51" s="98"/>
      <c r="AG51" s="98"/>
      <c r="AH51" s="98"/>
      <c r="AI51" s="98"/>
      <c r="AJ51" s="98"/>
      <c r="AK51" s="98"/>
      <c r="AL51" s="98"/>
      <c r="AM51" s="98"/>
    </row>
    <row r="52" spans="2:39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</row>
    <row r="53" spans="2:39">
      <c r="B53" s="85" t="s">
        <v>171</v>
      </c>
      <c r="C53" s="102">
        <f>-E39</f>
        <v>-1007159.9999999998</v>
      </c>
      <c r="D53" s="102">
        <f t="shared" ref="D53:W53" si="17">D51+D26+D47</f>
        <v>141788.05923028456</v>
      </c>
      <c r="E53" s="102">
        <f t="shared" si="17"/>
        <v>137213.03946382459</v>
      </c>
      <c r="F53" s="102">
        <f t="shared" si="17"/>
        <v>132482.64208434144</v>
      </c>
      <c r="G53" s="102">
        <f t="shared" si="17"/>
        <v>127659.56193517288</v>
      </c>
      <c r="H53" s="102">
        <f t="shared" si="17"/>
        <v>122740.63837144704</v>
      </c>
      <c r="I53" s="102">
        <f t="shared" si="17"/>
        <v>117722.59525581551</v>
      </c>
      <c r="J53" s="102">
        <f t="shared" si="17"/>
        <v>112594.6399478222</v>
      </c>
      <c r="K53" s="102">
        <f t="shared" si="17"/>
        <v>107360.35195595335</v>
      </c>
      <c r="L53" s="102">
        <f t="shared" si="17"/>
        <v>102016.07264539841</v>
      </c>
      <c r="M53" s="102">
        <f t="shared" si="17"/>
        <v>96558.008988872753</v>
      </c>
      <c r="N53" s="102">
        <f t="shared" si="17"/>
        <v>90982.228431172058</v>
      </c>
      <c r="O53" s="102">
        <f t="shared" si="17"/>
        <v>85284.653553138167</v>
      </c>
      <c r="P53" s="102">
        <f t="shared" si="17"/>
        <v>79461.056527110602</v>
      </c>
      <c r="Q53" s="102">
        <f t="shared" si="17"/>
        <v>73507.05335561934</v>
      </c>
      <c r="R53" s="102">
        <f t="shared" si="17"/>
        <v>67418.097884754068</v>
      </c>
      <c r="S53" s="102">
        <f t="shared" si="17"/>
        <v>61189.475583294989</v>
      </c>
      <c r="T53" s="102">
        <f t="shared" si="17"/>
        <v>367049.75233238784</v>
      </c>
      <c r="U53" s="102">
        <f t="shared" si="17"/>
        <v>363469.21445717383</v>
      </c>
      <c r="V53" s="102">
        <f t="shared" si="17"/>
        <v>359851.48068509728</v>
      </c>
      <c r="W53" s="102">
        <f t="shared" si="17"/>
        <v>356195.80337863159</v>
      </c>
      <c r="Y53" s="98"/>
      <c r="Z53" s="98"/>
      <c r="AA53" s="98"/>
      <c r="AB53" s="98"/>
      <c r="AC53" s="98"/>
      <c r="AD53" s="98"/>
      <c r="AE53" s="98"/>
      <c r="AF53" s="98"/>
      <c r="AG53" s="98"/>
      <c r="AH53" s="98"/>
      <c r="AI53" s="98"/>
      <c r="AJ53" s="98"/>
      <c r="AK53" s="98"/>
      <c r="AL53" s="98"/>
      <c r="AM53" s="98"/>
    </row>
    <row r="54" spans="2:39" ht="13.5" thickBot="1"/>
    <row r="55" spans="2:39" ht="13.5" thickBot="1">
      <c r="B55" s="71" t="s">
        <v>172</v>
      </c>
      <c r="C55" s="100">
        <f>IRR(C53:W53)</f>
        <v>0.11693975380682331</v>
      </c>
    </row>
    <row r="58" spans="2:39" ht="13.5" thickBot="1">
      <c r="B58" s="108" t="s">
        <v>173</v>
      </c>
      <c r="C58" s="109"/>
      <c r="D58" s="92">
        <v>2026</v>
      </c>
      <c r="E58" s="92">
        <v>2027</v>
      </c>
      <c r="F58" s="92">
        <v>2028</v>
      </c>
      <c r="G58" s="92">
        <v>2029</v>
      </c>
      <c r="H58" s="92">
        <v>2030</v>
      </c>
      <c r="I58" s="92">
        <v>2031</v>
      </c>
      <c r="J58" s="92">
        <v>2032</v>
      </c>
      <c r="K58" s="92">
        <v>2033</v>
      </c>
      <c r="L58" s="92">
        <v>2034</v>
      </c>
      <c r="M58" s="92">
        <v>2035</v>
      </c>
      <c r="N58" s="92">
        <v>2036</v>
      </c>
      <c r="O58" s="92">
        <v>2037</v>
      </c>
      <c r="P58" s="92">
        <v>2038</v>
      </c>
      <c r="Q58" s="92">
        <v>2039</v>
      </c>
      <c r="R58" s="92">
        <v>2040</v>
      </c>
      <c r="S58" s="92">
        <v>2041</v>
      </c>
      <c r="T58" s="92">
        <v>2042</v>
      </c>
      <c r="U58" s="92">
        <v>2043</v>
      </c>
      <c r="V58" s="92">
        <v>2044</v>
      </c>
      <c r="W58" s="92">
        <v>2045</v>
      </c>
    </row>
    <row r="59" spans="2:39" ht="13.5" thickBot="1">
      <c r="B59" s="110" t="s">
        <v>174</v>
      </c>
      <c r="C59" s="111" t="s">
        <v>138</v>
      </c>
      <c r="D59" s="112">
        <v>1.9E-2</v>
      </c>
      <c r="E59" s="112">
        <v>1.9E-2</v>
      </c>
      <c r="F59" s="112">
        <v>0.02</v>
      </c>
      <c r="G59" s="112">
        <v>0.02</v>
      </c>
      <c r="H59" s="112">
        <v>0.02</v>
      </c>
      <c r="I59" s="112">
        <v>0.02</v>
      </c>
      <c r="J59" s="112">
        <v>2.0099999999999996E-2</v>
      </c>
      <c r="K59" s="112">
        <v>2.0099999999999996E-2</v>
      </c>
      <c r="L59" s="112">
        <v>2.0099999999999996E-2</v>
      </c>
      <c r="M59" s="112">
        <v>2.0099999999999996E-2</v>
      </c>
      <c r="N59" s="112">
        <v>2.0099999999999996E-2</v>
      </c>
      <c r="O59" s="112">
        <v>2.0099999999999996E-2</v>
      </c>
      <c r="P59" s="112">
        <v>2.0099999999999996E-2</v>
      </c>
      <c r="Q59" s="112">
        <v>2.0099999999999996E-2</v>
      </c>
      <c r="R59" s="112">
        <v>2.0099999999999996E-2</v>
      </c>
      <c r="S59" s="112">
        <v>2.0099999999999996E-2</v>
      </c>
      <c r="T59" s="112">
        <v>2.0099999999999996E-2</v>
      </c>
      <c r="U59" s="112">
        <v>2.0099999999999996E-2</v>
      </c>
      <c r="V59" s="112">
        <v>2.0099999999999996E-2</v>
      </c>
      <c r="W59" s="112">
        <v>2.0099999999999996E-2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38"/>
  <sheetViews>
    <sheetView showGridLines="0" workbookViewId="0"/>
  </sheetViews>
  <sheetFormatPr baseColWidth="10" defaultRowHeight="15"/>
  <cols>
    <col min="2" max="2" width="49" bestFit="1" customWidth="1"/>
  </cols>
  <sheetData>
    <row r="2" spans="2:5">
      <c r="B2" s="69" t="s">
        <v>136</v>
      </c>
    </row>
    <row r="5" spans="2:5">
      <c r="B5" t="s">
        <v>123</v>
      </c>
    </row>
    <row r="6" spans="2:5">
      <c r="D6" t="s">
        <v>126</v>
      </c>
    </row>
    <row r="7" spans="2:5">
      <c r="B7" s="127" t="s">
        <v>111</v>
      </c>
      <c r="C7" s="128">
        <v>0.28000000000000003</v>
      </c>
      <c r="D7" s="127">
        <f>$C$20*C7</f>
        <v>0.19600000000000001</v>
      </c>
    </row>
    <row r="8" spans="2:5">
      <c r="B8" s="127" t="s">
        <v>112</v>
      </c>
      <c r="C8" s="128">
        <v>0.16300000000000001</v>
      </c>
      <c r="D8" s="127">
        <f t="shared" ref="D8:D18" si="0">$C$20*C8</f>
        <v>0.11409999999999999</v>
      </c>
    </row>
    <row r="9" spans="2:5">
      <c r="B9" s="127" t="s">
        <v>113</v>
      </c>
      <c r="C9" s="128">
        <v>7.6999999999999999E-2</v>
      </c>
      <c r="D9" s="127">
        <f t="shared" si="0"/>
        <v>5.3899999999999997E-2</v>
      </c>
    </row>
    <row r="10" spans="2:5">
      <c r="B10" s="127" t="s">
        <v>114</v>
      </c>
      <c r="C10" s="128">
        <v>0.109</v>
      </c>
      <c r="D10" s="127">
        <f t="shared" si="0"/>
        <v>7.6299999999999993E-2</v>
      </c>
    </row>
    <row r="11" spans="2:5">
      <c r="B11" s="127" t="s">
        <v>115</v>
      </c>
      <c r="C11" s="128">
        <v>0.13600000000000001</v>
      </c>
      <c r="D11" s="127">
        <f t="shared" si="0"/>
        <v>9.5200000000000007E-2</v>
      </c>
      <c r="E11">
        <f>SUM(D7:D11)</f>
        <v>0.53549999999999998</v>
      </c>
    </row>
    <row r="12" spans="2:5">
      <c r="B12" s="127" t="s">
        <v>116</v>
      </c>
      <c r="C12" s="128">
        <v>0.115</v>
      </c>
      <c r="D12" s="127">
        <f t="shared" si="0"/>
        <v>8.0500000000000002E-2</v>
      </c>
    </row>
    <row r="13" spans="2:5">
      <c r="B13" s="127" t="s">
        <v>117</v>
      </c>
      <c r="C13" s="128">
        <v>5.3999999999999999E-2</v>
      </c>
      <c r="D13" s="127">
        <f t="shared" si="0"/>
        <v>3.78E-2</v>
      </c>
    </row>
    <row r="14" spans="2:5">
      <c r="B14" s="127" t="s">
        <v>118</v>
      </c>
      <c r="C14" s="128">
        <v>8.0000000000000002E-3</v>
      </c>
      <c r="D14" s="127">
        <f t="shared" si="0"/>
        <v>5.5999999999999999E-3</v>
      </c>
    </row>
    <row r="15" spans="2:5">
      <c r="B15" s="127" t="s">
        <v>119</v>
      </c>
      <c r="C15" s="128">
        <v>3.2000000000000001E-2</v>
      </c>
      <c r="D15" s="127">
        <f t="shared" si="0"/>
        <v>2.24E-2</v>
      </c>
    </row>
    <row r="16" spans="2:5">
      <c r="B16" s="127" t="s">
        <v>120</v>
      </c>
      <c r="C16" s="128">
        <v>1.6E-2</v>
      </c>
      <c r="D16" s="127">
        <f t="shared" si="0"/>
        <v>1.12E-2</v>
      </c>
    </row>
    <row r="17" spans="2:4">
      <c r="B17" s="127" t="s">
        <v>121</v>
      </c>
      <c r="C17" s="128">
        <v>0.01</v>
      </c>
      <c r="D17" s="127">
        <f t="shared" si="0"/>
        <v>6.9999999999999993E-3</v>
      </c>
    </row>
    <row r="18" spans="2:4">
      <c r="B18" s="127" t="s">
        <v>122</v>
      </c>
      <c r="C18" s="129">
        <f>SUM(C7:C17)</f>
        <v>1</v>
      </c>
      <c r="D18" s="130">
        <f t="shared" si="0"/>
        <v>0.7</v>
      </c>
    </row>
    <row r="20" spans="2:4">
      <c r="B20" s="127" t="s">
        <v>125</v>
      </c>
      <c r="C20" s="127">
        <v>0.7</v>
      </c>
    </row>
    <row r="27" spans="2:4">
      <c r="B27" t="s">
        <v>127</v>
      </c>
    </row>
    <row r="28" spans="2:4">
      <c r="D28" t="s">
        <v>135</v>
      </c>
    </row>
    <row r="29" spans="2:4">
      <c r="B29" s="127" t="s">
        <v>128</v>
      </c>
      <c r="C29" s="128">
        <v>0.4</v>
      </c>
      <c r="D29" s="131">
        <f t="shared" ref="D29:D35" si="1">$C$38*C29</f>
        <v>6400</v>
      </c>
    </row>
    <row r="30" spans="2:4">
      <c r="B30" s="127" t="s">
        <v>129</v>
      </c>
      <c r="C30" s="128">
        <v>3.2000000000000001E-2</v>
      </c>
      <c r="D30" s="131">
        <f t="shared" si="1"/>
        <v>512</v>
      </c>
    </row>
    <row r="31" spans="2:4">
      <c r="B31" s="127" t="s">
        <v>130</v>
      </c>
      <c r="C31" s="128">
        <v>8.9999999999999993E-3</v>
      </c>
      <c r="D31" s="131">
        <f t="shared" si="1"/>
        <v>144</v>
      </c>
    </row>
    <row r="32" spans="2:4">
      <c r="B32" s="127" t="s">
        <v>131</v>
      </c>
      <c r="C32" s="128">
        <v>0.152</v>
      </c>
      <c r="D32" s="131">
        <f t="shared" si="1"/>
        <v>2432</v>
      </c>
    </row>
    <row r="33" spans="2:4">
      <c r="B33" s="127" t="s">
        <v>132</v>
      </c>
      <c r="C33" s="128">
        <v>7.5999999999999998E-2</v>
      </c>
      <c r="D33" s="131">
        <f t="shared" si="1"/>
        <v>1216</v>
      </c>
    </row>
    <row r="34" spans="2:4">
      <c r="B34" s="127" t="s">
        <v>133</v>
      </c>
      <c r="C34" s="128">
        <v>6.6000000000000003E-2</v>
      </c>
      <c r="D34" s="131">
        <f t="shared" si="1"/>
        <v>1056</v>
      </c>
    </row>
    <row r="35" spans="2:4">
      <c r="B35" s="127" t="s">
        <v>134</v>
      </c>
      <c r="C35" s="128">
        <v>0.26500000000000001</v>
      </c>
      <c r="D35" s="131">
        <f t="shared" si="1"/>
        <v>4240</v>
      </c>
    </row>
    <row r="36" spans="2:4">
      <c r="B36" s="127" t="s">
        <v>122</v>
      </c>
      <c r="C36" s="128">
        <f>SUM(C29:C35)</f>
        <v>1</v>
      </c>
      <c r="D36" s="131">
        <f>SUM(D29:D35)</f>
        <v>16000</v>
      </c>
    </row>
    <row r="38" spans="2:4">
      <c r="B38" s="127" t="s">
        <v>124</v>
      </c>
      <c r="C38" s="127">
        <v>16000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tabColor rgb="FFFF0000"/>
  </sheetPr>
  <dimension ref="B2:BH28"/>
  <sheetViews>
    <sheetView showGridLines="0" workbookViewId="0"/>
  </sheetViews>
  <sheetFormatPr baseColWidth="10" defaultColWidth="11.42578125" defaultRowHeight="15"/>
  <cols>
    <col min="1" max="1" width="4.7109375" style="1" bestFit="1" customWidth="1"/>
    <col min="2" max="2" width="12.5703125" style="1" customWidth="1"/>
    <col min="3" max="3" width="8.42578125" style="1" customWidth="1"/>
    <col min="4" max="4" width="4.7109375" style="1" customWidth="1"/>
    <col min="5" max="5" width="18.42578125" style="1" customWidth="1"/>
    <col min="6" max="6" width="15.7109375" style="1" bestFit="1" customWidth="1"/>
    <col min="7" max="8" width="15.7109375" style="1" customWidth="1"/>
    <col min="9" max="32" width="6" style="1" customWidth="1"/>
    <col min="33" max="33" width="11.42578125" style="1"/>
    <col min="34" max="34" width="4.85546875" style="1" bestFit="1" customWidth="1"/>
    <col min="35" max="36" width="11.42578125" style="1"/>
    <col min="37" max="60" width="6" style="1" customWidth="1"/>
    <col min="61" max="16384" width="11.42578125" style="1"/>
  </cols>
  <sheetData>
    <row r="2" spans="2:60">
      <c r="B2" s="168" t="s">
        <v>191</v>
      </c>
      <c r="C2" s="168"/>
      <c r="D2" s="168"/>
      <c r="E2" s="168"/>
      <c r="F2" s="168"/>
      <c r="G2" s="168"/>
    </row>
    <row r="4" spans="2:60" ht="15" customHeight="1">
      <c r="D4" s="169" t="s">
        <v>192</v>
      </c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</row>
    <row r="6" spans="2:60">
      <c r="D6" s="169" t="s">
        <v>91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H6" s="169" t="s">
        <v>92</v>
      </c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</row>
    <row r="8" spans="2:60">
      <c r="B8" s="141" t="s">
        <v>93</v>
      </c>
      <c r="I8" s="170" t="s">
        <v>94</v>
      </c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3"/>
      <c r="AK8" s="170" t="s">
        <v>94</v>
      </c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3"/>
    </row>
    <row r="9" spans="2:60">
      <c r="B9" s="141"/>
      <c r="I9" s="50">
        <v>1</v>
      </c>
      <c r="J9" s="50">
        <v>2</v>
      </c>
      <c r="K9" s="50">
        <v>3</v>
      </c>
      <c r="L9" s="50">
        <v>4</v>
      </c>
      <c r="M9" s="50">
        <v>5</v>
      </c>
      <c r="N9" s="50">
        <v>6</v>
      </c>
      <c r="O9" s="50">
        <v>7</v>
      </c>
      <c r="P9" s="50">
        <v>8</v>
      </c>
      <c r="Q9" s="50">
        <v>9</v>
      </c>
      <c r="R9" s="50">
        <v>10</v>
      </c>
      <c r="S9" s="50">
        <v>11</v>
      </c>
      <c r="T9" s="50">
        <v>12</v>
      </c>
      <c r="U9" s="50">
        <v>13</v>
      </c>
      <c r="V9" s="50">
        <v>14</v>
      </c>
      <c r="W9" s="50">
        <v>15</v>
      </c>
      <c r="X9" s="50">
        <v>16</v>
      </c>
      <c r="Y9" s="50">
        <v>17</v>
      </c>
      <c r="Z9" s="50">
        <v>18</v>
      </c>
      <c r="AA9" s="50">
        <v>19</v>
      </c>
      <c r="AB9" s="50">
        <v>20</v>
      </c>
      <c r="AC9" s="50">
        <v>21</v>
      </c>
      <c r="AD9" s="50">
        <v>22</v>
      </c>
      <c r="AE9" s="50">
        <v>23</v>
      </c>
      <c r="AF9" s="50">
        <v>24</v>
      </c>
      <c r="AK9" s="50">
        <v>1</v>
      </c>
      <c r="AL9" s="50">
        <v>2</v>
      </c>
      <c r="AM9" s="50">
        <v>3</v>
      </c>
      <c r="AN9" s="50">
        <v>4</v>
      </c>
      <c r="AO9" s="50">
        <v>5</v>
      </c>
      <c r="AP9" s="50">
        <v>6</v>
      </c>
      <c r="AQ9" s="50">
        <v>7</v>
      </c>
      <c r="AR9" s="50">
        <v>8</v>
      </c>
      <c r="AS9" s="50">
        <v>9</v>
      </c>
      <c r="AT9" s="50">
        <v>10</v>
      </c>
      <c r="AU9" s="50">
        <v>11</v>
      </c>
      <c r="AV9" s="50">
        <v>12</v>
      </c>
      <c r="AW9" s="50">
        <v>13</v>
      </c>
      <c r="AX9" s="50">
        <v>14</v>
      </c>
      <c r="AY9" s="50">
        <v>15</v>
      </c>
      <c r="AZ9" s="50">
        <v>16</v>
      </c>
      <c r="BA9" s="50">
        <v>17</v>
      </c>
      <c r="BB9" s="50">
        <v>18</v>
      </c>
      <c r="BC9" s="50">
        <v>19</v>
      </c>
      <c r="BD9" s="50">
        <v>20</v>
      </c>
      <c r="BE9" s="50">
        <v>21</v>
      </c>
      <c r="BF9" s="50">
        <v>22</v>
      </c>
      <c r="BG9" s="50">
        <v>23</v>
      </c>
      <c r="BH9" s="50">
        <v>24</v>
      </c>
    </row>
    <row r="10" spans="2:60">
      <c r="B10" s="141"/>
      <c r="C10" s="66" t="s">
        <v>1</v>
      </c>
      <c r="E10" s="50" t="s">
        <v>95</v>
      </c>
      <c r="G10" s="50" t="s">
        <v>96</v>
      </c>
      <c r="H10" s="50" t="s">
        <v>97</v>
      </c>
      <c r="I10" s="125" t="s">
        <v>193</v>
      </c>
      <c r="J10" s="126" t="s">
        <v>194</v>
      </c>
      <c r="K10" s="125" t="s">
        <v>195</v>
      </c>
      <c r="L10" s="125" t="s">
        <v>196</v>
      </c>
      <c r="M10" s="125" t="s">
        <v>197</v>
      </c>
      <c r="N10" s="125" t="s">
        <v>198</v>
      </c>
      <c r="O10" s="125" t="s">
        <v>199</v>
      </c>
      <c r="P10" s="125" t="s">
        <v>200</v>
      </c>
      <c r="Q10" s="125" t="s">
        <v>201</v>
      </c>
      <c r="R10" s="125" t="s">
        <v>202</v>
      </c>
      <c r="S10" s="125" t="s">
        <v>203</v>
      </c>
      <c r="T10" s="125" t="s">
        <v>204</v>
      </c>
      <c r="U10" s="125" t="s">
        <v>205</v>
      </c>
      <c r="V10" s="125" t="s">
        <v>206</v>
      </c>
      <c r="W10" s="125" t="s">
        <v>207</v>
      </c>
      <c r="X10" s="125" t="s">
        <v>208</v>
      </c>
      <c r="Y10" s="125" t="s">
        <v>209</v>
      </c>
      <c r="Z10" s="125" t="s">
        <v>210</v>
      </c>
      <c r="AA10" s="125" t="s">
        <v>211</v>
      </c>
      <c r="AB10" s="125" t="s">
        <v>212</v>
      </c>
      <c r="AC10" s="125" t="s">
        <v>213</v>
      </c>
      <c r="AD10" s="125" t="s">
        <v>214</v>
      </c>
      <c r="AE10" s="125" t="s">
        <v>215</v>
      </c>
      <c r="AF10" s="125" t="s">
        <v>216</v>
      </c>
      <c r="AK10" s="125" t="s">
        <v>193</v>
      </c>
      <c r="AL10" s="126" t="s">
        <v>194</v>
      </c>
      <c r="AM10" s="125" t="s">
        <v>195</v>
      </c>
      <c r="AN10" s="125" t="s">
        <v>196</v>
      </c>
      <c r="AO10" s="125" t="s">
        <v>197</v>
      </c>
      <c r="AP10" s="125" t="s">
        <v>198</v>
      </c>
      <c r="AQ10" s="125" t="s">
        <v>199</v>
      </c>
      <c r="AR10" s="125" t="s">
        <v>200</v>
      </c>
      <c r="AS10" s="125" t="s">
        <v>201</v>
      </c>
      <c r="AT10" s="125" t="s">
        <v>202</v>
      </c>
      <c r="AU10" s="125" t="s">
        <v>203</v>
      </c>
      <c r="AV10" s="125" t="s">
        <v>204</v>
      </c>
      <c r="AW10" s="125" t="s">
        <v>205</v>
      </c>
      <c r="AX10" s="125" t="s">
        <v>206</v>
      </c>
      <c r="AY10" s="125" t="s">
        <v>207</v>
      </c>
      <c r="AZ10" s="125" t="s">
        <v>208</v>
      </c>
      <c r="BA10" s="125" t="s">
        <v>209</v>
      </c>
      <c r="BB10" s="125" t="s">
        <v>210</v>
      </c>
      <c r="BC10" s="125" t="s">
        <v>211</v>
      </c>
      <c r="BD10" s="125" t="s">
        <v>212</v>
      </c>
      <c r="BE10" s="125" t="s">
        <v>213</v>
      </c>
      <c r="BF10" s="125" t="s">
        <v>214</v>
      </c>
      <c r="BG10" s="125" t="s">
        <v>215</v>
      </c>
      <c r="BH10" s="125" t="s">
        <v>216</v>
      </c>
    </row>
    <row r="11" spans="2:60">
      <c r="B11" s="141"/>
      <c r="C11" s="67">
        <v>2025</v>
      </c>
      <c r="D11" s="167" t="s">
        <v>98</v>
      </c>
      <c r="E11" s="5">
        <v>1</v>
      </c>
      <c r="F11" s="50" t="s">
        <v>99</v>
      </c>
      <c r="G11" s="68">
        <f>+DATE(C11,PeriodosElectricos!E11,1)</f>
        <v>45658</v>
      </c>
      <c r="H11" s="68">
        <f>+G11+30</f>
        <v>45688</v>
      </c>
      <c r="I11" s="5">
        <v>6</v>
      </c>
      <c r="J11" s="5">
        <v>6</v>
      </c>
      <c r="K11" s="5">
        <v>6</v>
      </c>
      <c r="L11" s="5">
        <v>6</v>
      </c>
      <c r="M11" s="5">
        <v>6</v>
      </c>
      <c r="N11" s="5">
        <v>6</v>
      </c>
      <c r="O11" s="5">
        <v>6</v>
      </c>
      <c r="P11" s="5">
        <v>6</v>
      </c>
      <c r="Q11" s="5">
        <v>2</v>
      </c>
      <c r="R11" s="5">
        <v>1</v>
      </c>
      <c r="S11" s="5">
        <v>1</v>
      </c>
      <c r="T11" s="5">
        <v>1</v>
      </c>
      <c r="U11" s="5">
        <v>1</v>
      </c>
      <c r="V11" s="5">
        <v>2</v>
      </c>
      <c r="W11" s="5">
        <v>2</v>
      </c>
      <c r="X11" s="5">
        <v>2</v>
      </c>
      <c r="Y11" s="5">
        <v>2</v>
      </c>
      <c r="Z11" s="5">
        <v>2</v>
      </c>
      <c r="AA11" s="5">
        <v>1</v>
      </c>
      <c r="AB11" s="5">
        <v>1</v>
      </c>
      <c r="AC11" s="5">
        <v>1</v>
      </c>
      <c r="AD11" s="5">
        <v>1</v>
      </c>
      <c r="AE11" s="5">
        <v>2</v>
      </c>
      <c r="AF11" s="5">
        <v>2</v>
      </c>
      <c r="AH11" s="167" t="s">
        <v>98</v>
      </c>
      <c r="AI11" s="167"/>
      <c r="AJ11" s="50" t="s">
        <v>99</v>
      </c>
      <c r="AK11" s="5">
        <v>6</v>
      </c>
      <c r="AL11" s="5">
        <v>6</v>
      </c>
      <c r="AM11" s="5">
        <v>6</v>
      </c>
      <c r="AN11" s="5">
        <v>6</v>
      </c>
      <c r="AO11" s="5">
        <v>6</v>
      </c>
      <c r="AP11" s="5">
        <v>6</v>
      </c>
      <c r="AQ11" s="5">
        <v>6</v>
      </c>
      <c r="AR11" s="5">
        <v>6</v>
      </c>
      <c r="AS11" s="5">
        <v>6</v>
      </c>
      <c r="AT11" s="5">
        <v>6</v>
      </c>
      <c r="AU11" s="5">
        <v>6</v>
      </c>
      <c r="AV11" s="5">
        <v>6</v>
      </c>
      <c r="AW11" s="5">
        <v>6</v>
      </c>
      <c r="AX11" s="5">
        <v>6</v>
      </c>
      <c r="AY11" s="5">
        <v>6</v>
      </c>
      <c r="AZ11" s="5">
        <v>6</v>
      </c>
      <c r="BA11" s="5">
        <v>6</v>
      </c>
      <c r="BB11" s="5">
        <v>6</v>
      </c>
      <c r="BC11" s="5">
        <v>6</v>
      </c>
      <c r="BD11" s="5">
        <v>6</v>
      </c>
      <c r="BE11" s="5">
        <v>6</v>
      </c>
      <c r="BF11" s="5">
        <v>6</v>
      </c>
      <c r="BG11" s="5">
        <v>6</v>
      </c>
      <c r="BH11" s="5">
        <v>6</v>
      </c>
    </row>
    <row r="12" spans="2:60">
      <c r="B12" s="141"/>
      <c r="C12" s="67">
        <f>+C11</f>
        <v>2025</v>
      </c>
      <c r="D12" s="171"/>
      <c r="E12" s="5">
        <v>2</v>
      </c>
      <c r="F12" s="50" t="s">
        <v>100</v>
      </c>
      <c r="G12" s="68">
        <f>+DATE(C12,PeriodosElectricos!E12,1)</f>
        <v>45689</v>
      </c>
      <c r="H12" s="68">
        <f>+G12+27</f>
        <v>45716</v>
      </c>
      <c r="I12" s="5">
        <v>6</v>
      </c>
      <c r="J12" s="5">
        <v>6</v>
      </c>
      <c r="K12" s="5">
        <v>6</v>
      </c>
      <c r="L12" s="5">
        <v>6</v>
      </c>
      <c r="M12" s="5">
        <v>6</v>
      </c>
      <c r="N12" s="5">
        <v>6</v>
      </c>
      <c r="O12" s="5">
        <v>6</v>
      </c>
      <c r="P12" s="5">
        <v>6</v>
      </c>
      <c r="Q12" s="5">
        <v>2</v>
      </c>
      <c r="R12" s="5">
        <v>1</v>
      </c>
      <c r="S12" s="5">
        <v>1</v>
      </c>
      <c r="T12" s="5">
        <v>1</v>
      </c>
      <c r="U12" s="5">
        <v>1</v>
      </c>
      <c r="V12" s="5">
        <v>2</v>
      </c>
      <c r="W12" s="5">
        <v>2</v>
      </c>
      <c r="X12" s="5">
        <v>2</v>
      </c>
      <c r="Y12" s="5">
        <v>2</v>
      </c>
      <c r="Z12" s="5">
        <v>2</v>
      </c>
      <c r="AA12" s="5">
        <v>1</v>
      </c>
      <c r="AB12" s="5">
        <v>1</v>
      </c>
      <c r="AC12" s="5">
        <v>1</v>
      </c>
      <c r="AD12" s="5">
        <v>1</v>
      </c>
      <c r="AE12" s="5">
        <v>2</v>
      </c>
      <c r="AF12" s="5">
        <v>2</v>
      </c>
      <c r="AH12" s="171"/>
      <c r="AI12" s="171"/>
      <c r="AJ12" s="50" t="s">
        <v>100</v>
      </c>
      <c r="AK12" s="5">
        <v>6</v>
      </c>
      <c r="AL12" s="5">
        <v>6</v>
      </c>
      <c r="AM12" s="5">
        <v>6</v>
      </c>
      <c r="AN12" s="5">
        <v>6</v>
      </c>
      <c r="AO12" s="5">
        <v>6</v>
      </c>
      <c r="AP12" s="5">
        <v>6</v>
      </c>
      <c r="AQ12" s="5">
        <v>6</v>
      </c>
      <c r="AR12" s="5">
        <v>6</v>
      </c>
      <c r="AS12" s="5">
        <v>6</v>
      </c>
      <c r="AT12" s="5">
        <v>6</v>
      </c>
      <c r="AU12" s="5">
        <v>6</v>
      </c>
      <c r="AV12" s="5">
        <v>6</v>
      </c>
      <c r="AW12" s="5">
        <v>6</v>
      </c>
      <c r="AX12" s="5">
        <v>6</v>
      </c>
      <c r="AY12" s="5">
        <v>6</v>
      </c>
      <c r="AZ12" s="5">
        <v>6</v>
      </c>
      <c r="BA12" s="5">
        <v>6</v>
      </c>
      <c r="BB12" s="5">
        <v>6</v>
      </c>
      <c r="BC12" s="5">
        <v>6</v>
      </c>
      <c r="BD12" s="5">
        <v>6</v>
      </c>
      <c r="BE12" s="5">
        <v>6</v>
      </c>
      <c r="BF12" s="5">
        <v>6</v>
      </c>
      <c r="BG12" s="5">
        <v>6</v>
      </c>
      <c r="BH12" s="5">
        <v>6</v>
      </c>
    </row>
    <row r="13" spans="2:60">
      <c r="B13" s="141"/>
      <c r="C13" s="67">
        <f t="shared" ref="C13:C16" si="0">+C12</f>
        <v>2025</v>
      </c>
      <c r="D13" s="171"/>
      <c r="E13" s="5">
        <v>3</v>
      </c>
      <c r="F13" s="50" t="s">
        <v>101</v>
      </c>
      <c r="G13" s="68">
        <f>+DATE(C13,PeriodosElectricos!E13,1)</f>
        <v>45717</v>
      </c>
      <c r="H13" s="68">
        <f>+G13+30</f>
        <v>45747</v>
      </c>
      <c r="I13" s="5">
        <v>6</v>
      </c>
      <c r="J13" s="5">
        <v>6</v>
      </c>
      <c r="K13" s="5">
        <v>6</v>
      </c>
      <c r="L13" s="5">
        <v>6</v>
      </c>
      <c r="M13" s="5">
        <v>6</v>
      </c>
      <c r="N13" s="5">
        <v>6</v>
      </c>
      <c r="O13" s="5">
        <v>6</v>
      </c>
      <c r="P13" s="5">
        <v>6</v>
      </c>
      <c r="Q13" s="5">
        <v>3</v>
      </c>
      <c r="R13" s="5">
        <v>2</v>
      </c>
      <c r="S13" s="5">
        <v>2</v>
      </c>
      <c r="T13" s="5">
        <v>2</v>
      </c>
      <c r="U13" s="5">
        <v>2</v>
      </c>
      <c r="V13" s="5">
        <v>3</v>
      </c>
      <c r="W13" s="5">
        <v>3</v>
      </c>
      <c r="X13" s="5">
        <v>3</v>
      </c>
      <c r="Y13" s="5">
        <v>3</v>
      </c>
      <c r="Z13" s="5">
        <v>3</v>
      </c>
      <c r="AA13" s="5">
        <v>2</v>
      </c>
      <c r="AB13" s="5">
        <v>2</v>
      </c>
      <c r="AC13" s="5">
        <v>2</v>
      </c>
      <c r="AD13" s="5">
        <v>2</v>
      </c>
      <c r="AE13" s="5">
        <v>3</v>
      </c>
      <c r="AF13" s="5">
        <v>3</v>
      </c>
      <c r="AH13" s="171"/>
      <c r="AI13" s="171"/>
      <c r="AJ13" s="50" t="s">
        <v>101</v>
      </c>
      <c r="AK13" s="5">
        <v>6</v>
      </c>
      <c r="AL13" s="5">
        <v>6</v>
      </c>
      <c r="AM13" s="5">
        <v>6</v>
      </c>
      <c r="AN13" s="5">
        <v>6</v>
      </c>
      <c r="AO13" s="5">
        <v>6</v>
      </c>
      <c r="AP13" s="5">
        <v>6</v>
      </c>
      <c r="AQ13" s="5">
        <v>6</v>
      </c>
      <c r="AR13" s="5">
        <v>6</v>
      </c>
      <c r="AS13" s="5">
        <v>6</v>
      </c>
      <c r="AT13" s="5">
        <v>6</v>
      </c>
      <c r="AU13" s="5">
        <v>6</v>
      </c>
      <c r="AV13" s="5">
        <v>6</v>
      </c>
      <c r="AW13" s="5">
        <v>6</v>
      </c>
      <c r="AX13" s="5">
        <v>6</v>
      </c>
      <c r="AY13" s="5">
        <v>6</v>
      </c>
      <c r="AZ13" s="5">
        <v>6</v>
      </c>
      <c r="BA13" s="5">
        <v>6</v>
      </c>
      <c r="BB13" s="5">
        <v>6</v>
      </c>
      <c r="BC13" s="5">
        <v>6</v>
      </c>
      <c r="BD13" s="5">
        <v>6</v>
      </c>
      <c r="BE13" s="5">
        <v>6</v>
      </c>
      <c r="BF13" s="5">
        <v>6</v>
      </c>
      <c r="BG13" s="5">
        <v>6</v>
      </c>
      <c r="BH13" s="5">
        <v>6</v>
      </c>
    </row>
    <row r="14" spans="2:60">
      <c r="B14" s="141"/>
      <c r="C14" s="67">
        <f t="shared" si="0"/>
        <v>2025</v>
      </c>
      <c r="D14" s="171"/>
      <c r="E14" s="5">
        <v>4</v>
      </c>
      <c r="F14" s="50" t="s">
        <v>102</v>
      </c>
      <c r="G14" s="68">
        <f>+DATE(C14,PeriodosElectricos!E14,1)</f>
        <v>45748</v>
      </c>
      <c r="H14" s="68">
        <f>+G14+29</f>
        <v>45777</v>
      </c>
      <c r="I14" s="5">
        <v>6</v>
      </c>
      <c r="J14" s="5">
        <v>6</v>
      </c>
      <c r="K14" s="5">
        <v>6</v>
      </c>
      <c r="L14" s="5">
        <v>6</v>
      </c>
      <c r="M14" s="5">
        <v>6</v>
      </c>
      <c r="N14" s="5">
        <v>6</v>
      </c>
      <c r="O14" s="5">
        <v>6</v>
      </c>
      <c r="P14" s="5">
        <v>6</v>
      </c>
      <c r="Q14" s="5">
        <v>5</v>
      </c>
      <c r="R14" s="5">
        <v>4</v>
      </c>
      <c r="S14" s="5">
        <v>4</v>
      </c>
      <c r="T14" s="5">
        <v>4</v>
      </c>
      <c r="U14" s="5">
        <v>4</v>
      </c>
      <c r="V14" s="5">
        <v>5</v>
      </c>
      <c r="W14" s="5">
        <v>5</v>
      </c>
      <c r="X14" s="5">
        <v>5</v>
      </c>
      <c r="Y14" s="5">
        <v>5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  <c r="AE14" s="5">
        <v>5</v>
      </c>
      <c r="AF14" s="5">
        <v>5</v>
      </c>
      <c r="AH14" s="171"/>
      <c r="AI14" s="171"/>
      <c r="AJ14" s="50" t="s">
        <v>102</v>
      </c>
      <c r="AK14" s="5">
        <v>6</v>
      </c>
      <c r="AL14" s="5">
        <v>6</v>
      </c>
      <c r="AM14" s="5">
        <v>6</v>
      </c>
      <c r="AN14" s="5">
        <v>6</v>
      </c>
      <c r="AO14" s="5">
        <v>6</v>
      </c>
      <c r="AP14" s="5">
        <v>6</v>
      </c>
      <c r="AQ14" s="5">
        <v>6</v>
      </c>
      <c r="AR14" s="5">
        <v>6</v>
      </c>
      <c r="AS14" s="5">
        <v>6</v>
      </c>
      <c r="AT14" s="5">
        <v>6</v>
      </c>
      <c r="AU14" s="5">
        <v>6</v>
      </c>
      <c r="AV14" s="5">
        <v>6</v>
      </c>
      <c r="AW14" s="5">
        <v>6</v>
      </c>
      <c r="AX14" s="5">
        <v>6</v>
      </c>
      <c r="AY14" s="5">
        <v>6</v>
      </c>
      <c r="AZ14" s="5">
        <v>6</v>
      </c>
      <c r="BA14" s="5">
        <v>6</v>
      </c>
      <c r="BB14" s="5">
        <v>6</v>
      </c>
      <c r="BC14" s="5">
        <v>6</v>
      </c>
      <c r="BD14" s="5">
        <v>6</v>
      </c>
      <c r="BE14" s="5">
        <v>6</v>
      </c>
      <c r="BF14" s="5">
        <v>6</v>
      </c>
      <c r="BG14" s="5">
        <v>6</v>
      </c>
      <c r="BH14" s="5">
        <v>6</v>
      </c>
    </row>
    <row r="15" spans="2:60">
      <c r="B15" s="141"/>
      <c r="C15" s="67">
        <f t="shared" si="0"/>
        <v>2025</v>
      </c>
      <c r="D15" s="171"/>
      <c r="E15" s="5">
        <v>5</v>
      </c>
      <c r="F15" s="50" t="s">
        <v>103</v>
      </c>
      <c r="G15" s="68">
        <f>+DATE(C15,PeriodosElectricos!E15,1)</f>
        <v>45778</v>
      </c>
      <c r="H15" s="68">
        <f>+G15+30</f>
        <v>45808</v>
      </c>
      <c r="I15" s="5">
        <v>6</v>
      </c>
      <c r="J15" s="5">
        <v>6</v>
      </c>
      <c r="K15" s="5">
        <v>6</v>
      </c>
      <c r="L15" s="5">
        <v>6</v>
      </c>
      <c r="M15" s="5">
        <v>6</v>
      </c>
      <c r="N15" s="5">
        <v>6</v>
      </c>
      <c r="O15" s="5">
        <v>6</v>
      </c>
      <c r="P15" s="5">
        <v>6</v>
      </c>
      <c r="Q15" s="5">
        <v>5</v>
      </c>
      <c r="R15" s="5">
        <v>4</v>
      </c>
      <c r="S15" s="5">
        <v>4</v>
      </c>
      <c r="T15" s="5">
        <v>4</v>
      </c>
      <c r="U15" s="5">
        <v>4</v>
      </c>
      <c r="V15" s="5">
        <v>5</v>
      </c>
      <c r="W15" s="5">
        <v>5</v>
      </c>
      <c r="X15" s="5">
        <v>5</v>
      </c>
      <c r="Y15" s="5">
        <v>5</v>
      </c>
      <c r="Z15" s="5">
        <v>5</v>
      </c>
      <c r="AA15" s="5">
        <v>4</v>
      </c>
      <c r="AB15" s="5">
        <v>4</v>
      </c>
      <c r="AC15" s="5">
        <v>4</v>
      </c>
      <c r="AD15" s="5">
        <v>4</v>
      </c>
      <c r="AE15" s="5">
        <v>5</v>
      </c>
      <c r="AF15" s="5">
        <v>5</v>
      </c>
      <c r="AH15" s="171"/>
      <c r="AI15" s="171"/>
      <c r="AJ15" s="50" t="s">
        <v>103</v>
      </c>
      <c r="AK15" s="5">
        <v>6</v>
      </c>
      <c r="AL15" s="5">
        <v>6</v>
      </c>
      <c r="AM15" s="5">
        <v>6</v>
      </c>
      <c r="AN15" s="5">
        <v>6</v>
      </c>
      <c r="AO15" s="5">
        <v>6</v>
      </c>
      <c r="AP15" s="5">
        <v>6</v>
      </c>
      <c r="AQ15" s="5">
        <v>6</v>
      </c>
      <c r="AR15" s="5">
        <v>6</v>
      </c>
      <c r="AS15" s="5">
        <v>6</v>
      </c>
      <c r="AT15" s="5">
        <v>6</v>
      </c>
      <c r="AU15" s="5">
        <v>6</v>
      </c>
      <c r="AV15" s="5">
        <v>6</v>
      </c>
      <c r="AW15" s="5">
        <v>6</v>
      </c>
      <c r="AX15" s="5">
        <v>6</v>
      </c>
      <c r="AY15" s="5">
        <v>6</v>
      </c>
      <c r="AZ15" s="5">
        <v>6</v>
      </c>
      <c r="BA15" s="5">
        <v>6</v>
      </c>
      <c r="BB15" s="5">
        <v>6</v>
      </c>
      <c r="BC15" s="5">
        <v>6</v>
      </c>
      <c r="BD15" s="5">
        <v>6</v>
      </c>
      <c r="BE15" s="5">
        <v>6</v>
      </c>
      <c r="BF15" s="5">
        <v>6</v>
      </c>
      <c r="BG15" s="5">
        <v>6</v>
      </c>
      <c r="BH15" s="5">
        <v>6</v>
      </c>
    </row>
    <row r="16" spans="2:60">
      <c r="B16" s="141"/>
      <c r="C16" s="67">
        <f t="shared" si="0"/>
        <v>2025</v>
      </c>
      <c r="D16" s="171"/>
      <c r="E16" s="5">
        <v>6</v>
      </c>
      <c r="F16" s="50" t="s">
        <v>104</v>
      </c>
      <c r="G16" s="68">
        <f>+DATE(C16,PeriodosElectricos!E16,1)</f>
        <v>45809</v>
      </c>
      <c r="H16" s="68">
        <f>+G16+29</f>
        <v>45838</v>
      </c>
      <c r="I16" s="5">
        <v>6</v>
      </c>
      <c r="J16" s="5">
        <v>6</v>
      </c>
      <c r="K16" s="5">
        <v>6</v>
      </c>
      <c r="L16" s="5">
        <v>6</v>
      </c>
      <c r="M16" s="5">
        <v>6</v>
      </c>
      <c r="N16" s="5">
        <v>6</v>
      </c>
      <c r="O16" s="5">
        <v>6</v>
      </c>
      <c r="P16" s="5">
        <v>6</v>
      </c>
      <c r="Q16" s="5">
        <v>4</v>
      </c>
      <c r="R16" s="5">
        <v>3</v>
      </c>
      <c r="S16" s="5">
        <v>3</v>
      </c>
      <c r="T16" s="5">
        <v>3</v>
      </c>
      <c r="U16" s="5">
        <v>3</v>
      </c>
      <c r="V16" s="5">
        <v>4</v>
      </c>
      <c r="W16" s="5">
        <v>4</v>
      </c>
      <c r="X16" s="5">
        <v>4</v>
      </c>
      <c r="Y16" s="5">
        <v>4</v>
      </c>
      <c r="Z16" s="5">
        <v>4</v>
      </c>
      <c r="AA16" s="5">
        <v>3</v>
      </c>
      <c r="AB16" s="5">
        <v>3</v>
      </c>
      <c r="AC16" s="5">
        <v>3</v>
      </c>
      <c r="AD16" s="5">
        <v>3</v>
      </c>
      <c r="AE16" s="5">
        <v>4</v>
      </c>
      <c r="AF16" s="5">
        <v>4</v>
      </c>
      <c r="AH16" s="171"/>
      <c r="AI16" s="171"/>
      <c r="AJ16" s="50" t="s">
        <v>104</v>
      </c>
      <c r="AK16" s="5">
        <v>6</v>
      </c>
      <c r="AL16" s="5">
        <v>6</v>
      </c>
      <c r="AM16" s="5">
        <v>6</v>
      </c>
      <c r="AN16" s="5">
        <v>6</v>
      </c>
      <c r="AO16" s="5">
        <v>6</v>
      </c>
      <c r="AP16" s="5">
        <v>6</v>
      </c>
      <c r="AQ16" s="5">
        <v>6</v>
      </c>
      <c r="AR16" s="5">
        <v>6</v>
      </c>
      <c r="AS16" s="5">
        <v>6</v>
      </c>
      <c r="AT16" s="5">
        <v>6</v>
      </c>
      <c r="AU16" s="5">
        <v>6</v>
      </c>
      <c r="AV16" s="5">
        <v>6</v>
      </c>
      <c r="AW16" s="5">
        <v>6</v>
      </c>
      <c r="AX16" s="5">
        <v>6</v>
      </c>
      <c r="AY16" s="5">
        <v>6</v>
      </c>
      <c r="AZ16" s="5">
        <v>6</v>
      </c>
      <c r="BA16" s="5">
        <v>6</v>
      </c>
      <c r="BB16" s="5">
        <v>6</v>
      </c>
      <c r="BC16" s="5">
        <v>6</v>
      </c>
      <c r="BD16" s="5">
        <v>6</v>
      </c>
      <c r="BE16" s="5">
        <v>6</v>
      </c>
      <c r="BF16" s="5">
        <v>6</v>
      </c>
      <c r="BG16" s="5">
        <v>6</v>
      </c>
      <c r="BH16" s="5">
        <v>6</v>
      </c>
    </row>
    <row r="17" spans="2:60">
      <c r="B17" s="141"/>
      <c r="C17" s="67">
        <f t="shared" ref="C17:C22" si="1">+C16</f>
        <v>2025</v>
      </c>
      <c r="D17" s="171"/>
      <c r="E17" s="5">
        <v>7</v>
      </c>
      <c r="F17" s="50" t="s">
        <v>105</v>
      </c>
      <c r="G17" s="68">
        <f>+DATE(C17,PeriodosElectricos!E17,1)</f>
        <v>45839</v>
      </c>
      <c r="H17" s="68">
        <f>+G17+30</f>
        <v>45869</v>
      </c>
      <c r="I17" s="5">
        <v>6</v>
      </c>
      <c r="J17" s="5">
        <v>6</v>
      </c>
      <c r="K17" s="5">
        <v>6</v>
      </c>
      <c r="L17" s="5">
        <v>6</v>
      </c>
      <c r="M17" s="5">
        <v>6</v>
      </c>
      <c r="N17" s="5">
        <v>6</v>
      </c>
      <c r="O17" s="5">
        <v>6</v>
      </c>
      <c r="P17" s="5">
        <v>6</v>
      </c>
      <c r="Q17" s="5">
        <v>2</v>
      </c>
      <c r="R17" s="5">
        <v>1</v>
      </c>
      <c r="S17" s="5">
        <v>1</v>
      </c>
      <c r="T17" s="5">
        <v>1</v>
      </c>
      <c r="U17" s="5">
        <v>1</v>
      </c>
      <c r="V17" s="5">
        <v>2</v>
      </c>
      <c r="W17" s="5">
        <v>2</v>
      </c>
      <c r="X17" s="5">
        <v>2</v>
      </c>
      <c r="Y17" s="5">
        <v>2</v>
      </c>
      <c r="Z17" s="5">
        <v>2</v>
      </c>
      <c r="AA17" s="5">
        <v>1</v>
      </c>
      <c r="AB17" s="5">
        <v>1</v>
      </c>
      <c r="AC17" s="5">
        <v>1</v>
      </c>
      <c r="AD17" s="5">
        <v>1</v>
      </c>
      <c r="AE17" s="5">
        <v>2</v>
      </c>
      <c r="AF17" s="5">
        <v>2</v>
      </c>
      <c r="AH17" s="171"/>
      <c r="AI17" s="171"/>
      <c r="AJ17" s="50" t="s">
        <v>105</v>
      </c>
      <c r="AK17" s="5">
        <v>6</v>
      </c>
      <c r="AL17" s="5">
        <v>6</v>
      </c>
      <c r="AM17" s="5">
        <v>6</v>
      </c>
      <c r="AN17" s="5">
        <v>6</v>
      </c>
      <c r="AO17" s="5">
        <v>6</v>
      </c>
      <c r="AP17" s="5">
        <v>6</v>
      </c>
      <c r="AQ17" s="5">
        <v>6</v>
      </c>
      <c r="AR17" s="5">
        <v>6</v>
      </c>
      <c r="AS17" s="5">
        <v>6</v>
      </c>
      <c r="AT17" s="5">
        <v>6</v>
      </c>
      <c r="AU17" s="5">
        <v>6</v>
      </c>
      <c r="AV17" s="5">
        <v>6</v>
      </c>
      <c r="AW17" s="5">
        <v>6</v>
      </c>
      <c r="AX17" s="5">
        <v>6</v>
      </c>
      <c r="AY17" s="5">
        <v>6</v>
      </c>
      <c r="AZ17" s="5">
        <v>6</v>
      </c>
      <c r="BA17" s="5">
        <v>6</v>
      </c>
      <c r="BB17" s="5">
        <v>6</v>
      </c>
      <c r="BC17" s="5">
        <v>6</v>
      </c>
      <c r="BD17" s="5">
        <v>6</v>
      </c>
      <c r="BE17" s="5">
        <v>6</v>
      </c>
      <c r="BF17" s="5">
        <v>6</v>
      </c>
      <c r="BG17" s="5">
        <v>6</v>
      </c>
      <c r="BH17" s="5">
        <v>6</v>
      </c>
    </row>
    <row r="18" spans="2:60">
      <c r="B18" s="141"/>
      <c r="C18" s="67">
        <f t="shared" si="1"/>
        <v>2025</v>
      </c>
      <c r="D18" s="171"/>
      <c r="E18" s="5">
        <v>8</v>
      </c>
      <c r="F18" s="50" t="s">
        <v>106</v>
      </c>
      <c r="G18" s="68">
        <f>+DATE(C18,PeriodosElectricos!E18,1)</f>
        <v>45870</v>
      </c>
      <c r="H18" s="68">
        <f>+G18+30</f>
        <v>45900</v>
      </c>
      <c r="I18" s="5">
        <v>6</v>
      </c>
      <c r="J18" s="5">
        <v>6</v>
      </c>
      <c r="K18" s="5">
        <v>6</v>
      </c>
      <c r="L18" s="5">
        <v>6</v>
      </c>
      <c r="M18" s="5">
        <v>6</v>
      </c>
      <c r="N18" s="5">
        <v>6</v>
      </c>
      <c r="O18" s="5">
        <v>6</v>
      </c>
      <c r="P18" s="5">
        <v>6</v>
      </c>
      <c r="Q18" s="5">
        <v>4</v>
      </c>
      <c r="R18" s="5">
        <v>3</v>
      </c>
      <c r="S18" s="5">
        <v>3</v>
      </c>
      <c r="T18" s="5">
        <v>3</v>
      </c>
      <c r="U18" s="5">
        <v>3</v>
      </c>
      <c r="V18" s="5">
        <v>4</v>
      </c>
      <c r="W18" s="5">
        <v>4</v>
      </c>
      <c r="X18" s="5">
        <v>4</v>
      </c>
      <c r="Y18" s="5">
        <v>4</v>
      </c>
      <c r="Z18" s="5">
        <v>4</v>
      </c>
      <c r="AA18" s="5">
        <v>3</v>
      </c>
      <c r="AB18" s="5">
        <v>3</v>
      </c>
      <c r="AC18" s="5">
        <v>3</v>
      </c>
      <c r="AD18" s="5">
        <v>3</v>
      </c>
      <c r="AE18" s="5">
        <v>4</v>
      </c>
      <c r="AF18" s="5">
        <v>4</v>
      </c>
      <c r="AH18" s="171"/>
      <c r="AI18" s="171"/>
      <c r="AJ18" s="50" t="s">
        <v>106</v>
      </c>
      <c r="AK18" s="5">
        <v>6</v>
      </c>
      <c r="AL18" s="5">
        <v>6</v>
      </c>
      <c r="AM18" s="5">
        <v>6</v>
      </c>
      <c r="AN18" s="5">
        <v>6</v>
      </c>
      <c r="AO18" s="5">
        <v>6</v>
      </c>
      <c r="AP18" s="5">
        <v>6</v>
      </c>
      <c r="AQ18" s="5">
        <v>6</v>
      </c>
      <c r="AR18" s="5">
        <v>6</v>
      </c>
      <c r="AS18" s="5">
        <v>6</v>
      </c>
      <c r="AT18" s="5">
        <v>6</v>
      </c>
      <c r="AU18" s="5">
        <v>6</v>
      </c>
      <c r="AV18" s="5">
        <v>6</v>
      </c>
      <c r="AW18" s="5">
        <v>6</v>
      </c>
      <c r="AX18" s="5">
        <v>6</v>
      </c>
      <c r="AY18" s="5">
        <v>6</v>
      </c>
      <c r="AZ18" s="5">
        <v>6</v>
      </c>
      <c r="BA18" s="5">
        <v>6</v>
      </c>
      <c r="BB18" s="5">
        <v>6</v>
      </c>
      <c r="BC18" s="5">
        <v>6</v>
      </c>
      <c r="BD18" s="5">
        <v>6</v>
      </c>
      <c r="BE18" s="5">
        <v>6</v>
      </c>
      <c r="BF18" s="5">
        <v>6</v>
      </c>
      <c r="BG18" s="5">
        <v>6</v>
      </c>
      <c r="BH18" s="5">
        <v>6</v>
      </c>
    </row>
    <row r="19" spans="2:60">
      <c r="B19" s="141"/>
      <c r="C19" s="67">
        <f t="shared" si="1"/>
        <v>2025</v>
      </c>
      <c r="D19" s="171"/>
      <c r="E19" s="5">
        <v>9</v>
      </c>
      <c r="F19" s="50" t="s">
        <v>107</v>
      </c>
      <c r="G19" s="68">
        <f>+DATE(C19,PeriodosElectricos!E19,1)</f>
        <v>45901</v>
      </c>
      <c r="H19" s="68">
        <f>+G19+29</f>
        <v>45930</v>
      </c>
      <c r="I19" s="5">
        <v>6</v>
      </c>
      <c r="J19" s="5">
        <v>6</v>
      </c>
      <c r="K19" s="5">
        <v>6</v>
      </c>
      <c r="L19" s="5">
        <v>6</v>
      </c>
      <c r="M19" s="5">
        <v>6</v>
      </c>
      <c r="N19" s="5">
        <v>6</v>
      </c>
      <c r="O19" s="5">
        <v>6</v>
      </c>
      <c r="P19" s="5">
        <v>6</v>
      </c>
      <c r="Q19" s="5">
        <v>4</v>
      </c>
      <c r="R19" s="5">
        <v>3</v>
      </c>
      <c r="S19" s="5">
        <v>3</v>
      </c>
      <c r="T19" s="5">
        <v>3</v>
      </c>
      <c r="U19" s="5">
        <v>3</v>
      </c>
      <c r="V19" s="5">
        <v>4</v>
      </c>
      <c r="W19" s="5">
        <v>4</v>
      </c>
      <c r="X19" s="5">
        <v>4</v>
      </c>
      <c r="Y19" s="5">
        <v>4</v>
      </c>
      <c r="Z19" s="5">
        <v>4</v>
      </c>
      <c r="AA19" s="5">
        <v>3</v>
      </c>
      <c r="AB19" s="5">
        <v>3</v>
      </c>
      <c r="AC19" s="5">
        <v>3</v>
      </c>
      <c r="AD19" s="5">
        <v>3</v>
      </c>
      <c r="AE19" s="5">
        <v>4</v>
      </c>
      <c r="AF19" s="5">
        <v>4</v>
      </c>
      <c r="AH19" s="171"/>
      <c r="AI19" s="171"/>
      <c r="AJ19" s="50" t="s">
        <v>107</v>
      </c>
      <c r="AK19" s="5">
        <v>6</v>
      </c>
      <c r="AL19" s="5">
        <v>6</v>
      </c>
      <c r="AM19" s="5">
        <v>6</v>
      </c>
      <c r="AN19" s="5">
        <v>6</v>
      </c>
      <c r="AO19" s="5">
        <v>6</v>
      </c>
      <c r="AP19" s="5">
        <v>6</v>
      </c>
      <c r="AQ19" s="5">
        <v>6</v>
      </c>
      <c r="AR19" s="5">
        <v>6</v>
      </c>
      <c r="AS19" s="5">
        <v>6</v>
      </c>
      <c r="AT19" s="5">
        <v>6</v>
      </c>
      <c r="AU19" s="5">
        <v>6</v>
      </c>
      <c r="AV19" s="5">
        <v>6</v>
      </c>
      <c r="AW19" s="5">
        <v>6</v>
      </c>
      <c r="AX19" s="5">
        <v>6</v>
      </c>
      <c r="AY19" s="5">
        <v>6</v>
      </c>
      <c r="AZ19" s="5">
        <v>6</v>
      </c>
      <c r="BA19" s="5">
        <v>6</v>
      </c>
      <c r="BB19" s="5">
        <v>6</v>
      </c>
      <c r="BC19" s="5">
        <v>6</v>
      </c>
      <c r="BD19" s="5">
        <v>6</v>
      </c>
      <c r="BE19" s="5">
        <v>6</v>
      </c>
      <c r="BF19" s="5">
        <v>6</v>
      </c>
      <c r="BG19" s="5">
        <v>6</v>
      </c>
      <c r="BH19" s="5">
        <v>6</v>
      </c>
    </row>
    <row r="20" spans="2:60">
      <c r="B20" s="141"/>
      <c r="C20" s="67">
        <f t="shared" si="1"/>
        <v>2025</v>
      </c>
      <c r="D20" s="171"/>
      <c r="E20" s="5">
        <v>10</v>
      </c>
      <c r="F20" s="50" t="s">
        <v>108</v>
      </c>
      <c r="G20" s="68">
        <f>+DATE(C20,PeriodosElectricos!E20,1)</f>
        <v>45931</v>
      </c>
      <c r="H20" s="68">
        <f>+G20+30</f>
        <v>45961</v>
      </c>
      <c r="I20" s="5">
        <v>6</v>
      </c>
      <c r="J20" s="5">
        <v>6</v>
      </c>
      <c r="K20" s="5">
        <v>6</v>
      </c>
      <c r="L20" s="5">
        <v>6</v>
      </c>
      <c r="M20" s="5">
        <v>6</v>
      </c>
      <c r="N20" s="5">
        <v>6</v>
      </c>
      <c r="O20" s="5">
        <v>6</v>
      </c>
      <c r="P20" s="5">
        <v>6</v>
      </c>
      <c r="Q20" s="5">
        <v>5</v>
      </c>
      <c r="R20" s="5">
        <v>4</v>
      </c>
      <c r="S20" s="5">
        <v>4</v>
      </c>
      <c r="T20" s="5">
        <v>4</v>
      </c>
      <c r="U20" s="5">
        <v>4</v>
      </c>
      <c r="V20" s="5">
        <v>5</v>
      </c>
      <c r="W20" s="5">
        <v>5</v>
      </c>
      <c r="X20" s="5">
        <v>5</v>
      </c>
      <c r="Y20" s="5">
        <v>5</v>
      </c>
      <c r="Z20" s="5">
        <v>5</v>
      </c>
      <c r="AA20" s="5">
        <v>4</v>
      </c>
      <c r="AB20" s="5">
        <v>4</v>
      </c>
      <c r="AC20" s="5">
        <v>4</v>
      </c>
      <c r="AD20" s="5">
        <v>4</v>
      </c>
      <c r="AE20" s="5">
        <v>5</v>
      </c>
      <c r="AF20" s="5">
        <v>5</v>
      </c>
      <c r="AH20" s="171"/>
      <c r="AI20" s="171"/>
      <c r="AJ20" s="50" t="s">
        <v>108</v>
      </c>
      <c r="AK20" s="5">
        <v>6</v>
      </c>
      <c r="AL20" s="5">
        <v>6</v>
      </c>
      <c r="AM20" s="5">
        <v>6</v>
      </c>
      <c r="AN20" s="5">
        <v>6</v>
      </c>
      <c r="AO20" s="5">
        <v>6</v>
      </c>
      <c r="AP20" s="5">
        <v>6</v>
      </c>
      <c r="AQ20" s="5">
        <v>6</v>
      </c>
      <c r="AR20" s="5">
        <v>6</v>
      </c>
      <c r="AS20" s="5">
        <v>6</v>
      </c>
      <c r="AT20" s="5">
        <v>6</v>
      </c>
      <c r="AU20" s="5">
        <v>6</v>
      </c>
      <c r="AV20" s="5">
        <v>6</v>
      </c>
      <c r="AW20" s="5">
        <v>6</v>
      </c>
      <c r="AX20" s="5">
        <v>6</v>
      </c>
      <c r="AY20" s="5">
        <v>6</v>
      </c>
      <c r="AZ20" s="5">
        <v>6</v>
      </c>
      <c r="BA20" s="5">
        <v>6</v>
      </c>
      <c r="BB20" s="5">
        <v>6</v>
      </c>
      <c r="BC20" s="5">
        <v>6</v>
      </c>
      <c r="BD20" s="5">
        <v>6</v>
      </c>
      <c r="BE20" s="5">
        <v>6</v>
      </c>
      <c r="BF20" s="5">
        <v>6</v>
      </c>
      <c r="BG20" s="5">
        <v>6</v>
      </c>
      <c r="BH20" s="5">
        <v>6</v>
      </c>
    </row>
    <row r="21" spans="2:60">
      <c r="B21" s="141"/>
      <c r="C21" s="67">
        <f t="shared" si="1"/>
        <v>2025</v>
      </c>
      <c r="D21" s="171"/>
      <c r="E21" s="5">
        <v>11</v>
      </c>
      <c r="F21" s="50" t="s">
        <v>109</v>
      </c>
      <c r="G21" s="68">
        <f>+DATE(C21,PeriodosElectricos!E21,1)</f>
        <v>45962</v>
      </c>
      <c r="H21" s="68">
        <f>+G21+29</f>
        <v>45991</v>
      </c>
      <c r="I21" s="5">
        <v>6</v>
      </c>
      <c r="J21" s="5">
        <v>6</v>
      </c>
      <c r="K21" s="5">
        <v>6</v>
      </c>
      <c r="L21" s="5">
        <v>6</v>
      </c>
      <c r="M21" s="5">
        <v>6</v>
      </c>
      <c r="N21" s="5">
        <v>6</v>
      </c>
      <c r="O21" s="5">
        <v>6</v>
      </c>
      <c r="P21" s="5">
        <v>6</v>
      </c>
      <c r="Q21" s="5">
        <v>3</v>
      </c>
      <c r="R21" s="5">
        <v>2</v>
      </c>
      <c r="S21" s="5">
        <v>2</v>
      </c>
      <c r="T21" s="5">
        <v>2</v>
      </c>
      <c r="U21" s="5">
        <v>2</v>
      </c>
      <c r="V21" s="5">
        <v>3</v>
      </c>
      <c r="W21" s="5">
        <v>3</v>
      </c>
      <c r="X21" s="5">
        <v>3</v>
      </c>
      <c r="Y21" s="5">
        <v>3</v>
      </c>
      <c r="Z21" s="5">
        <v>3</v>
      </c>
      <c r="AA21" s="5">
        <v>2</v>
      </c>
      <c r="AB21" s="5">
        <v>2</v>
      </c>
      <c r="AC21" s="5">
        <v>2</v>
      </c>
      <c r="AD21" s="5">
        <v>2</v>
      </c>
      <c r="AE21" s="5">
        <v>3</v>
      </c>
      <c r="AF21" s="5">
        <v>3</v>
      </c>
      <c r="AH21" s="171"/>
      <c r="AI21" s="171"/>
      <c r="AJ21" s="50" t="s">
        <v>109</v>
      </c>
      <c r="AK21" s="5">
        <v>6</v>
      </c>
      <c r="AL21" s="5">
        <v>6</v>
      </c>
      <c r="AM21" s="5">
        <v>6</v>
      </c>
      <c r="AN21" s="5">
        <v>6</v>
      </c>
      <c r="AO21" s="5">
        <v>6</v>
      </c>
      <c r="AP21" s="5">
        <v>6</v>
      </c>
      <c r="AQ21" s="5">
        <v>6</v>
      </c>
      <c r="AR21" s="5">
        <v>6</v>
      </c>
      <c r="AS21" s="5">
        <v>6</v>
      </c>
      <c r="AT21" s="5">
        <v>6</v>
      </c>
      <c r="AU21" s="5">
        <v>6</v>
      </c>
      <c r="AV21" s="5">
        <v>6</v>
      </c>
      <c r="AW21" s="5">
        <v>6</v>
      </c>
      <c r="AX21" s="5">
        <v>6</v>
      </c>
      <c r="AY21" s="5">
        <v>6</v>
      </c>
      <c r="AZ21" s="5">
        <v>6</v>
      </c>
      <c r="BA21" s="5">
        <v>6</v>
      </c>
      <c r="BB21" s="5">
        <v>6</v>
      </c>
      <c r="BC21" s="5">
        <v>6</v>
      </c>
      <c r="BD21" s="5">
        <v>6</v>
      </c>
      <c r="BE21" s="5">
        <v>6</v>
      </c>
      <c r="BF21" s="5">
        <v>6</v>
      </c>
      <c r="BG21" s="5">
        <v>6</v>
      </c>
      <c r="BH21" s="5">
        <v>6</v>
      </c>
    </row>
    <row r="22" spans="2:60">
      <c r="B22" s="141"/>
      <c r="C22" s="67">
        <f t="shared" si="1"/>
        <v>2025</v>
      </c>
      <c r="D22" s="172"/>
      <c r="E22" s="5">
        <v>12</v>
      </c>
      <c r="F22" s="50" t="s">
        <v>110</v>
      </c>
      <c r="G22" s="68">
        <f>+DATE(C22,PeriodosElectricos!E22,1)</f>
        <v>45992</v>
      </c>
      <c r="H22" s="68">
        <f>+G22+30</f>
        <v>46022</v>
      </c>
      <c r="I22" s="5">
        <v>6</v>
      </c>
      <c r="J22" s="5">
        <v>6</v>
      </c>
      <c r="K22" s="5">
        <v>6</v>
      </c>
      <c r="L22" s="5">
        <v>6</v>
      </c>
      <c r="M22" s="5">
        <v>6</v>
      </c>
      <c r="N22" s="5">
        <v>6</v>
      </c>
      <c r="O22" s="5">
        <v>6</v>
      </c>
      <c r="P22" s="5">
        <v>6</v>
      </c>
      <c r="Q22" s="5">
        <v>2</v>
      </c>
      <c r="R22" s="5">
        <v>1</v>
      </c>
      <c r="S22" s="5">
        <v>1</v>
      </c>
      <c r="T22" s="5">
        <v>1</v>
      </c>
      <c r="U22" s="5">
        <v>1</v>
      </c>
      <c r="V22" s="5">
        <v>2</v>
      </c>
      <c r="W22" s="5">
        <v>2</v>
      </c>
      <c r="X22" s="5">
        <v>2</v>
      </c>
      <c r="Y22" s="5">
        <v>2</v>
      </c>
      <c r="Z22" s="5">
        <v>2</v>
      </c>
      <c r="AA22" s="5">
        <v>1</v>
      </c>
      <c r="AB22" s="5">
        <v>1</v>
      </c>
      <c r="AC22" s="5">
        <v>1</v>
      </c>
      <c r="AD22" s="5">
        <v>1</v>
      </c>
      <c r="AE22" s="5">
        <v>2</v>
      </c>
      <c r="AF22" s="5">
        <v>2</v>
      </c>
      <c r="AH22" s="172"/>
      <c r="AI22" s="172"/>
      <c r="AJ22" s="50" t="s">
        <v>110</v>
      </c>
      <c r="AK22" s="5">
        <v>6</v>
      </c>
      <c r="AL22" s="5">
        <v>6</v>
      </c>
      <c r="AM22" s="5">
        <v>6</v>
      </c>
      <c r="AN22" s="5">
        <v>6</v>
      </c>
      <c r="AO22" s="5">
        <v>6</v>
      </c>
      <c r="AP22" s="5">
        <v>6</v>
      </c>
      <c r="AQ22" s="5">
        <v>6</v>
      </c>
      <c r="AR22" s="5">
        <v>6</v>
      </c>
      <c r="AS22" s="5">
        <v>6</v>
      </c>
      <c r="AT22" s="5">
        <v>6</v>
      </c>
      <c r="AU22" s="5">
        <v>6</v>
      </c>
      <c r="AV22" s="5">
        <v>6</v>
      </c>
      <c r="AW22" s="5">
        <v>6</v>
      </c>
      <c r="AX22" s="5">
        <v>6</v>
      </c>
      <c r="AY22" s="5">
        <v>6</v>
      </c>
      <c r="AZ22" s="5">
        <v>6</v>
      </c>
      <c r="BA22" s="5">
        <v>6</v>
      </c>
      <c r="BB22" s="5">
        <v>6</v>
      </c>
      <c r="BC22" s="5">
        <v>6</v>
      </c>
      <c r="BD22" s="5">
        <v>6</v>
      </c>
      <c r="BE22" s="5">
        <v>6</v>
      </c>
      <c r="BF22" s="5">
        <v>6</v>
      </c>
      <c r="BG22" s="5">
        <v>6</v>
      </c>
      <c r="BH22" s="5">
        <v>6</v>
      </c>
    </row>
    <row r="26" spans="2:60">
      <c r="T26"/>
      <c r="BC26"/>
    </row>
    <row r="28" spans="2:60">
      <c r="D28"/>
    </row>
  </sheetData>
  <mergeCells count="10">
    <mergeCell ref="B2:G2"/>
    <mergeCell ref="D4:BH4"/>
    <mergeCell ref="D6:AF6"/>
    <mergeCell ref="AH6:BH6"/>
    <mergeCell ref="B8:B22"/>
    <mergeCell ref="I8:AF8"/>
    <mergeCell ref="AK8:BH8"/>
    <mergeCell ref="D11:D22"/>
    <mergeCell ref="AH11:AH22"/>
    <mergeCell ref="AI11:AI22"/>
  </mergeCells>
  <conditionalFormatting sqref="I11:AF22 AK11:BH22">
    <cfRule type="expression" dxfId="5" priority="1" stopIfTrue="1">
      <formula>IF(I11=6,TRUE,FALSE)</formula>
    </cfRule>
    <cfRule type="expression" dxfId="4" priority="2" stopIfTrue="1">
      <formula>IF(I11=5,TRUE,FALSE)</formula>
    </cfRule>
    <cfRule type="expression" dxfId="3" priority="3" stopIfTrue="1">
      <formula>IF(I11=4,TRUE,FALSE)</formula>
    </cfRule>
    <cfRule type="expression" dxfId="2" priority="4" stopIfTrue="1">
      <formula>IF(I11=3,TRUE,FALSE)</formula>
    </cfRule>
    <cfRule type="expression" dxfId="1" priority="5" stopIfTrue="1">
      <formula>IF(I11=2,TRUE,FALSE)</formula>
    </cfRule>
    <cfRule type="expression" dxfId="0" priority="6" stopIfTrue="1">
      <formula>IF(I11=1,TRUE,FALSE)</formula>
    </cfRule>
  </conditionalFormatting>
  <pageMargins left="0.7" right="0.7" top="0.75" bottom="0.75" header="0.3" footer="0.3"/>
  <pageSetup paperSize="9" orientation="portrait" r:id="rId1"/>
  <ignoredErrors>
    <ignoredError sqref="U10" twoDigitTextYear="1"/>
    <ignoredError sqref="H12 H14:H16 H19:H20 H21" formula="1"/>
  </ignoredErrors>
  <drawing r:id="rId2"/>
  <legacyDrawing r:id="rId3"/>
</worksheet>
</file>

<file path=docMetadata/LabelInfo.xml><?xml version="1.0" encoding="utf-8"?>
<clbl:labelList xmlns:clbl="http://schemas.microsoft.com/office/2020/mipLabelMetadata">
  <clbl:label id="{d1119503-6b46-4a43-a658-e1d3aca29592}" enabled="1" method="Standard" siteId="{0a25214f-ee52-483c-b96b-dc79f3227a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 planta PV agro</vt:lpstr>
      <vt:lpstr>Estructura capital</vt:lpstr>
      <vt:lpstr>Caso planta PV auto</vt:lpstr>
      <vt:lpstr>Referencias CAPEX_OPEX</vt:lpstr>
      <vt:lpstr>PeriodosElectricos</vt:lpstr>
    </vt:vector>
  </TitlesOfParts>
  <Company>Gas Natural SDG,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DDR</dc:creator>
  <cp:lastModifiedBy>DUVISON SANTIAGO, MIGUEL</cp:lastModifiedBy>
  <dcterms:created xsi:type="dcterms:W3CDTF">2015-07-23T11:00:20Z</dcterms:created>
  <dcterms:modified xsi:type="dcterms:W3CDTF">2025-12-16T13:24:26Z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119503-6b46-4a43-a658-e1d3aca29592_Enabled">
    <vt:lpwstr>true</vt:lpwstr>
  </property>
  <property fmtid="{D5CDD505-2E9C-101B-9397-08002B2CF9AE}" pid="3" name="MSIP_Label_d1119503-6b46-4a43-a658-e1d3aca29592_SetDate">
    <vt:lpwstr>2023-01-24T22:41:06Z</vt:lpwstr>
  </property>
  <property fmtid="{D5CDD505-2E9C-101B-9397-08002B2CF9AE}" pid="4" name="MSIP_Label_d1119503-6b46-4a43-a658-e1d3aca29592_Method">
    <vt:lpwstr>Standard</vt:lpwstr>
  </property>
  <property fmtid="{D5CDD505-2E9C-101B-9397-08002B2CF9AE}" pid="5" name="MSIP_Label_d1119503-6b46-4a43-a658-e1d3aca29592_Name">
    <vt:lpwstr>No Additional Protections</vt:lpwstr>
  </property>
  <property fmtid="{D5CDD505-2E9C-101B-9397-08002B2CF9AE}" pid="6" name="MSIP_Label_d1119503-6b46-4a43-a658-e1d3aca29592_SiteId">
    <vt:lpwstr>0a25214f-ee52-483c-b96b-dc79f3227a6f</vt:lpwstr>
  </property>
  <property fmtid="{D5CDD505-2E9C-101B-9397-08002B2CF9AE}" pid="7" name="MSIP_Label_d1119503-6b46-4a43-a658-e1d3aca29592_ActionId">
    <vt:lpwstr>cd3c9c23-f0b3-4a0b-a095-57b425deacfb</vt:lpwstr>
  </property>
  <property fmtid="{D5CDD505-2E9C-101B-9397-08002B2CF9AE}" pid="8" name="MSIP_Label_d1119503-6b46-4a43-a658-e1d3aca29592_ContentBits">
    <vt:lpwstr>0</vt:lpwstr>
  </property>
</Properties>
</file>